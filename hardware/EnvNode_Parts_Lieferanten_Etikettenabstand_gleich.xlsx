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Volumes/Daten/Development/EnvNode/hardware/"/>
    </mc:Choice>
  </mc:AlternateContent>
  <xr:revisionPtr revIDLastSave="0" documentId="13_ncr:1_{D69132B2-BEF8-7549-A026-1DB7EDCBCD6A}" xr6:coauthVersionLast="47" xr6:coauthVersionMax="47" xr10:uidLastSave="{00000000-0000-0000-0000-000000000000}"/>
  <bookViews>
    <workbookView xWindow="0" yWindow="0" windowWidth="38400" windowHeight="21600" activeTab="5" xr2:uid="{00000000-000D-0000-FFFF-FFFF00000000}"/>
  </bookViews>
  <sheets>
    <sheet name="Parts" sheetId="1" r:id="rId1"/>
    <sheet name="Kits" sheetId="2" r:id="rId2"/>
    <sheet name="Kit_BOM" sheetId="3" r:id="rId3"/>
    <sheet name="Order_List" sheetId="4" r:id="rId4"/>
    <sheet name="Stock" sheetId="5" r:id="rId5"/>
    <sheet name="Etiketten_Druck" sheetId="6" r:id="rId6"/>
    <sheet name="Part_Suppliers" sheetId="7" r:id="rId7"/>
    <sheet name="Suppliers" sheetId="8" r:id="rId8"/>
  </sheets>
  <definedNames>
    <definedName name="_xlnm.Print_Area" localSheetId="5">Etiketten_Druck!$A$1:$C$32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102" i="7" l="1"/>
  <c r="K102" i="7"/>
  <c r="L101" i="7"/>
  <c r="K101" i="7"/>
  <c r="L100" i="7"/>
  <c r="K100" i="7"/>
  <c r="L99" i="7"/>
  <c r="K99" i="7"/>
  <c r="L98" i="7"/>
  <c r="K98" i="7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1" i="7"/>
  <c r="K81" i="7"/>
  <c r="L80" i="7"/>
  <c r="K80" i="7"/>
  <c r="L79" i="7"/>
  <c r="K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L68" i="7"/>
  <c r="K68" i="7"/>
  <c r="L67" i="7"/>
  <c r="K67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L5" i="7"/>
  <c r="K5" i="7"/>
  <c r="I65" i="5" s="1"/>
  <c r="L4" i="7"/>
  <c r="K4" i="7"/>
  <c r="L3" i="7"/>
  <c r="K3" i="7"/>
  <c r="L2" i="7"/>
  <c r="K2" i="7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M105" i="5"/>
  <c r="L105" i="5"/>
  <c r="G105" i="5"/>
  <c r="F105" i="5"/>
  <c r="E105" i="5"/>
  <c r="D105" i="5"/>
  <c r="C105" i="5"/>
  <c r="B105" i="5"/>
  <c r="S104" i="5"/>
  <c r="M104" i="5"/>
  <c r="L104" i="5"/>
  <c r="G104" i="5"/>
  <c r="F104" i="5"/>
  <c r="E104" i="5"/>
  <c r="D104" i="5"/>
  <c r="C104" i="5"/>
  <c r="B104" i="5"/>
  <c r="S103" i="5"/>
  <c r="M103" i="5"/>
  <c r="L103" i="5"/>
  <c r="G103" i="5"/>
  <c r="F103" i="5"/>
  <c r="E103" i="5"/>
  <c r="D103" i="5"/>
  <c r="C103" i="5"/>
  <c r="B103" i="5"/>
  <c r="S102" i="5"/>
  <c r="M102" i="5"/>
  <c r="L102" i="5"/>
  <c r="G102" i="5"/>
  <c r="F102" i="5"/>
  <c r="E102" i="5"/>
  <c r="D102" i="5"/>
  <c r="C102" i="5"/>
  <c r="B102" i="5"/>
  <c r="S101" i="5"/>
  <c r="M101" i="5"/>
  <c r="L101" i="5"/>
  <c r="G101" i="5"/>
  <c r="F101" i="5"/>
  <c r="E101" i="5"/>
  <c r="D101" i="5"/>
  <c r="C101" i="5"/>
  <c r="B101" i="5"/>
  <c r="S100" i="5"/>
  <c r="M100" i="5"/>
  <c r="L100" i="5"/>
  <c r="G100" i="5"/>
  <c r="F100" i="5"/>
  <c r="E100" i="5"/>
  <c r="D100" i="5"/>
  <c r="C100" i="5"/>
  <c r="B100" i="5"/>
  <c r="S99" i="5"/>
  <c r="M99" i="5"/>
  <c r="L99" i="5"/>
  <c r="G99" i="5"/>
  <c r="F99" i="5"/>
  <c r="E99" i="5"/>
  <c r="D99" i="5"/>
  <c r="C99" i="5"/>
  <c r="B99" i="5"/>
  <c r="S98" i="5"/>
  <c r="M98" i="5"/>
  <c r="L98" i="5"/>
  <c r="G98" i="5"/>
  <c r="F98" i="5"/>
  <c r="E98" i="5"/>
  <c r="D98" i="5"/>
  <c r="C98" i="5"/>
  <c r="B98" i="5"/>
  <c r="S97" i="5"/>
  <c r="M97" i="5"/>
  <c r="L97" i="5"/>
  <c r="G97" i="5"/>
  <c r="F97" i="5"/>
  <c r="E97" i="5"/>
  <c r="D97" i="5"/>
  <c r="C97" i="5"/>
  <c r="B97" i="5"/>
  <c r="S96" i="5"/>
  <c r="M96" i="5"/>
  <c r="L96" i="5"/>
  <c r="G96" i="5"/>
  <c r="F96" i="5"/>
  <c r="E96" i="5"/>
  <c r="D96" i="5"/>
  <c r="C96" i="5"/>
  <c r="B96" i="5"/>
  <c r="S95" i="5"/>
  <c r="M95" i="5"/>
  <c r="L95" i="5"/>
  <c r="G95" i="5"/>
  <c r="F95" i="5"/>
  <c r="E95" i="5"/>
  <c r="D95" i="5"/>
  <c r="C95" i="5"/>
  <c r="B95" i="5"/>
  <c r="S94" i="5"/>
  <c r="M94" i="5"/>
  <c r="L94" i="5"/>
  <c r="G94" i="5"/>
  <c r="F94" i="5"/>
  <c r="E94" i="5"/>
  <c r="D94" i="5"/>
  <c r="C94" i="5"/>
  <c r="B94" i="5"/>
  <c r="S93" i="5"/>
  <c r="M93" i="5"/>
  <c r="L93" i="5"/>
  <c r="G93" i="5"/>
  <c r="F93" i="5"/>
  <c r="E93" i="5"/>
  <c r="D93" i="5"/>
  <c r="C93" i="5"/>
  <c r="B93" i="5"/>
  <c r="S92" i="5"/>
  <c r="M92" i="5"/>
  <c r="L92" i="5"/>
  <c r="G92" i="5"/>
  <c r="F92" i="5"/>
  <c r="E92" i="5"/>
  <c r="D92" i="5"/>
  <c r="C92" i="5"/>
  <c r="B92" i="5"/>
  <c r="S91" i="5"/>
  <c r="M91" i="5"/>
  <c r="L91" i="5"/>
  <c r="G91" i="5"/>
  <c r="F91" i="5"/>
  <c r="E91" i="5"/>
  <c r="D91" i="5"/>
  <c r="C91" i="5"/>
  <c r="B91" i="5"/>
  <c r="S90" i="5"/>
  <c r="M90" i="5"/>
  <c r="L90" i="5"/>
  <c r="G90" i="5"/>
  <c r="F90" i="5"/>
  <c r="E90" i="5"/>
  <c r="D90" i="5"/>
  <c r="C90" i="5"/>
  <c r="B90" i="5"/>
  <c r="S89" i="5"/>
  <c r="M89" i="5"/>
  <c r="L89" i="5"/>
  <c r="G89" i="5"/>
  <c r="F89" i="5"/>
  <c r="E89" i="5"/>
  <c r="D89" i="5"/>
  <c r="C89" i="5"/>
  <c r="B89" i="5"/>
  <c r="S88" i="5"/>
  <c r="M88" i="5"/>
  <c r="L88" i="5"/>
  <c r="G88" i="5"/>
  <c r="F88" i="5"/>
  <c r="E88" i="5"/>
  <c r="D88" i="5"/>
  <c r="C88" i="5"/>
  <c r="B88" i="5"/>
  <c r="S87" i="5"/>
  <c r="M87" i="5"/>
  <c r="L87" i="5"/>
  <c r="G87" i="5"/>
  <c r="F87" i="5"/>
  <c r="E87" i="5"/>
  <c r="D87" i="5"/>
  <c r="C87" i="5"/>
  <c r="B87" i="5"/>
  <c r="S86" i="5"/>
  <c r="M86" i="5"/>
  <c r="L86" i="5"/>
  <c r="G86" i="5"/>
  <c r="F86" i="5"/>
  <c r="E86" i="5"/>
  <c r="D86" i="5"/>
  <c r="C86" i="5"/>
  <c r="B86" i="5"/>
  <c r="S85" i="5"/>
  <c r="M85" i="5"/>
  <c r="L85" i="5"/>
  <c r="G85" i="5"/>
  <c r="F85" i="5"/>
  <c r="E85" i="5"/>
  <c r="D85" i="5"/>
  <c r="C85" i="5"/>
  <c r="B85" i="5"/>
  <c r="S84" i="5"/>
  <c r="M84" i="5"/>
  <c r="L84" i="5"/>
  <c r="G84" i="5"/>
  <c r="F84" i="5"/>
  <c r="E84" i="5"/>
  <c r="D84" i="5"/>
  <c r="C84" i="5"/>
  <c r="B84" i="5"/>
  <c r="S83" i="5"/>
  <c r="M83" i="5"/>
  <c r="L83" i="5"/>
  <c r="G83" i="5"/>
  <c r="F83" i="5"/>
  <c r="E83" i="5"/>
  <c r="D83" i="5"/>
  <c r="C83" i="5"/>
  <c r="B83" i="5"/>
  <c r="S82" i="5"/>
  <c r="M82" i="5"/>
  <c r="L82" i="5"/>
  <c r="G82" i="5"/>
  <c r="F82" i="5"/>
  <c r="E82" i="5"/>
  <c r="D82" i="5"/>
  <c r="C82" i="5"/>
  <c r="B82" i="5"/>
  <c r="S81" i="5"/>
  <c r="M81" i="5"/>
  <c r="L81" i="5"/>
  <c r="G81" i="5"/>
  <c r="F81" i="5"/>
  <c r="E81" i="5"/>
  <c r="D81" i="5"/>
  <c r="C81" i="5"/>
  <c r="B81" i="5"/>
  <c r="S80" i="5"/>
  <c r="M80" i="5"/>
  <c r="L80" i="5"/>
  <c r="G80" i="5"/>
  <c r="F80" i="5"/>
  <c r="E80" i="5"/>
  <c r="D80" i="5"/>
  <c r="C80" i="5"/>
  <c r="B80" i="5"/>
  <c r="S79" i="5"/>
  <c r="M79" i="5"/>
  <c r="L79" i="5"/>
  <c r="G79" i="5"/>
  <c r="F79" i="5"/>
  <c r="E79" i="5"/>
  <c r="D79" i="5"/>
  <c r="C79" i="5"/>
  <c r="B79" i="5"/>
  <c r="S78" i="5"/>
  <c r="M78" i="5"/>
  <c r="L78" i="5"/>
  <c r="G78" i="5"/>
  <c r="F78" i="5"/>
  <c r="E78" i="5"/>
  <c r="D78" i="5"/>
  <c r="C78" i="5"/>
  <c r="B78" i="5"/>
  <c r="S77" i="5"/>
  <c r="M77" i="5"/>
  <c r="L77" i="5"/>
  <c r="G77" i="5"/>
  <c r="F77" i="5"/>
  <c r="E77" i="5"/>
  <c r="D77" i="5"/>
  <c r="C77" i="5"/>
  <c r="B77" i="5"/>
  <c r="S76" i="5"/>
  <c r="M76" i="5"/>
  <c r="L76" i="5"/>
  <c r="G76" i="5"/>
  <c r="F76" i="5"/>
  <c r="E76" i="5"/>
  <c r="D76" i="5"/>
  <c r="C76" i="5"/>
  <c r="B76" i="5"/>
  <c r="S75" i="5"/>
  <c r="M75" i="5"/>
  <c r="L75" i="5"/>
  <c r="G75" i="5"/>
  <c r="F75" i="5"/>
  <c r="E75" i="5"/>
  <c r="D75" i="5"/>
  <c r="C75" i="5"/>
  <c r="B75" i="5"/>
  <c r="S74" i="5"/>
  <c r="M74" i="5"/>
  <c r="L74" i="5"/>
  <c r="G74" i="5"/>
  <c r="F74" i="5"/>
  <c r="E74" i="5"/>
  <c r="D74" i="5"/>
  <c r="C74" i="5"/>
  <c r="B74" i="5"/>
  <c r="S73" i="5"/>
  <c r="M73" i="5"/>
  <c r="L73" i="5"/>
  <c r="G73" i="5"/>
  <c r="F73" i="5"/>
  <c r="E73" i="5"/>
  <c r="D73" i="5"/>
  <c r="C73" i="5"/>
  <c r="B73" i="5"/>
  <c r="S72" i="5"/>
  <c r="M72" i="5"/>
  <c r="L72" i="5"/>
  <c r="G72" i="5"/>
  <c r="F72" i="5"/>
  <c r="E72" i="5"/>
  <c r="D72" i="5"/>
  <c r="C72" i="5"/>
  <c r="B72" i="5"/>
  <c r="S71" i="5"/>
  <c r="M71" i="5"/>
  <c r="L71" i="5"/>
  <c r="G71" i="5"/>
  <c r="F71" i="5"/>
  <c r="E71" i="5"/>
  <c r="D71" i="5"/>
  <c r="C71" i="5"/>
  <c r="B71" i="5"/>
  <c r="S70" i="5"/>
  <c r="M70" i="5"/>
  <c r="L70" i="5"/>
  <c r="G70" i="5"/>
  <c r="F70" i="5"/>
  <c r="E70" i="5"/>
  <c r="D70" i="5"/>
  <c r="C70" i="5"/>
  <c r="B70" i="5"/>
  <c r="S69" i="5"/>
  <c r="M69" i="5"/>
  <c r="L69" i="5"/>
  <c r="G69" i="5"/>
  <c r="F69" i="5"/>
  <c r="E69" i="5"/>
  <c r="D69" i="5"/>
  <c r="C69" i="5"/>
  <c r="B69" i="5"/>
  <c r="S68" i="5"/>
  <c r="M68" i="5"/>
  <c r="L68" i="5"/>
  <c r="G68" i="5"/>
  <c r="F68" i="5"/>
  <c r="E68" i="5"/>
  <c r="D68" i="5"/>
  <c r="C68" i="5"/>
  <c r="B68" i="5"/>
  <c r="S67" i="5"/>
  <c r="M67" i="5"/>
  <c r="L67" i="5"/>
  <c r="G67" i="5"/>
  <c r="F67" i="5"/>
  <c r="E67" i="5"/>
  <c r="D67" i="5"/>
  <c r="C67" i="5"/>
  <c r="B67" i="5"/>
  <c r="S66" i="5"/>
  <c r="M66" i="5"/>
  <c r="L66" i="5"/>
  <c r="G66" i="5"/>
  <c r="F66" i="5"/>
  <c r="E66" i="5"/>
  <c r="D66" i="5"/>
  <c r="C66" i="5"/>
  <c r="B66" i="5"/>
  <c r="S65" i="5"/>
  <c r="M65" i="5"/>
  <c r="L65" i="5"/>
  <c r="G65" i="5"/>
  <c r="F65" i="5"/>
  <c r="E65" i="5"/>
  <c r="D65" i="5"/>
  <c r="C65" i="5"/>
  <c r="B65" i="5"/>
  <c r="S64" i="5"/>
  <c r="M64" i="5"/>
  <c r="L64" i="5"/>
  <c r="G64" i="5"/>
  <c r="F64" i="5"/>
  <c r="E64" i="5"/>
  <c r="D64" i="5"/>
  <c r="C64" i="5"/>
  <c r="B64" i="5"/>
  <c r="S63" i="5"/>
  <c r="M63" i="5"/>
  <c r="L63" i="5"/>
  <c r="G63" i="5"/>
  <c r="F63" i="5"/>
  <c r="E63" i="5"/>
  <c r="D63" i="5"/>
  <c r="C63" i="5"/>
  <c r="B63" i="5"/>
  <c r="S62" i="5"/>
  <c r="M62" i="5"/>
  <c r="L62" i="5"/>
  <c r="G62" i="5"/>
  <c r="F62" i="5"/>
  <c r="E62" i="5"/>
  <c r="D62" i="5"/>
  <c r="C62" i="5"/>
  <c r="B62" i="5"/>
  <c r="S61" i="5"/>
  <c r="M61" i="5"/>
  <c r="L61" i="5"/>
  <c r="I61" i="5"/>
  <c r="D44" i="4" s="1"/>
  <c r="G61" i="5"/>
  <c r="F61" i="5"/>
  <c r="E61" i="5"/>
  <c r="D61" i="5"/>
  <c r="C61" i="5"/>
  <c r="B61" i="5"/>
  <c r="S60" i="5"/>
  <c r="M60" i="5"/>
  <c r="L60" i="5"/>
  <c r="G60" i="5"/>
  <c r="F60" i="5"/>
  <c r="E60" i="5"/>
  <c r="D60" i="5"/>
  <c r="C60" i="5"/>
  <c r="B60" i="5"/>
  <c r="S59" i="5"/>
  <c r="M59" i="5"/>
  <c r="L59" i="5"/>
  <c r="G59" i="5"/>
  <c r="F59" i="5"/>
  <c r="E59" i="5"/>
  <c r="D59" i="5"/>
  <c r="C59" i="5"/>
  <c r="B59" i="5"/>
  <c r="S58" i="5"/>
  <c r="M58" i="5"/>
  <c r="L58" i="5"/>
  <c r="G58" i="5"/>
  <c r="F58" i="5"/>
  <c r="E58" i="5"/>
  <c r="D58" i="5"/>
  <c r="C58" i="5"/>
  <c r="B58" i="5"/>
  <c r="S57" i="5"/>
  <c r="M57" i="5"/>
  <c r="L57" i="5"/>
  <c r="G57" i="5"/>
  <c r="F57" i="5"/>
  <c r="E57" i="5"/>
  <c r="D57" i="5"/>
  <c r="C57" i="5"/>
  <c r="B57" i="5"/>
  <c r="S56" i="5"/>
  <c r="M56" i="5"/>
  <c r="L56" i="5"/>
  <c r="G56" i="5"/>
  <c r="F56" i="5"/>
  <c r="E56" i="5"/>
  <c r="D56" i="5"/>
  <c r="C56" i="5"/>
  <c r="B56" i="5"/>
  <c r="S55" i="5"/>
  <c r="M55" i="5"/>
  <c r="L55" i="5"/>
  <c r="G55" i="5"/>
  <c r="F55" i="5"/>
  <c r="E55" i="5"/>
  <c r="D55" i="5"/>
  <c r="C55" i="5"/>
  <c r="B55" i="5"/>
  <c r="S54" i="5"/>
  <c r="M54" i="5"/>
  <c r="L54" i="5"/>
  <c r="G54" i="5"/>
  <c r="F54" i="5"/>
  <c r="E54" i="5"/>
  <c r="D54" i="5"/>
  <c r="C54" i="5"/>
  <c r="B54" i="5"/>
  <c r="S53" i="5"/>
  <c r="M53" i="5"/>
  <c r="L53" i="5"/>
  <c r="I53" i="5"/>
  <c r="G53" i="5"/>
  <c r="F53" i="5"/>
  <c r="E53" i="5"/>
  <c r="D53" i="5"/>
  <c r="C53" i="5"/>
  <c r="B53" i="5"/>
  <c r="S52" i="5"/>
  <c r="M52" i="5"/>
  <c r="L52" i="5"/>
  <c r="I52" i="5"/>
  <c r="G52" i="5"/>
  <c r="F52" i="5"/>
  <c r="E52" i="5"/>
  <c r="D52" i="5"/>
  <c r="C52" i="5"/>
  <c r="B52" i="5"/>
  <c r="S51" i="5"/>
  <c r="M51" i="5"/>
  <c r="L51" i="5"/>
  <c r="G51" i="5"/>
  <c r="F51" i="5"/>
  <c r="E51" i="5"/>
  <c r="D51" i="5"/>
  <c r="C51" i="5"/>
  <c r="B51" i="5"/>
  <c r="S50" i="5"/>
  <c r="M50" i="5"/>
  <c r="L50" i="5"/>
  <c r="G50" i="5"/>
  <c r="F50" i="5"/>
  <c r="E50" i="5"/>
  <c r="D50" i="5"/>
  <c r="C50" i="5"/>
  <c r="B50" i="5"/>
  <c r="S49" i="5"/>
  <c r="M49" i="5"/>
  <c r="L49" i="5"/>
  <c r="I49" i="5"/>
  <c r="G49" i="5"/>
  <c r="F49" i="5"/>
  <c r="E49" i="5"/>
  <c r="D49" i="5"/>
  <c r="C49" i="5"/>
  <c r="B49" i="5"/>
  <c r="S48" i="5"/>
  <c r="M48" i="5"/>
  <c r="L48" i="5"/>
  <c r="I48" i="5"/>
  <c r="G48" i="5"/>
  <c r="F48" i="5"/>
  <c r="E48" i="5"/>
  <c r="D48" i="5"/>
  <c r="C48" i="5"/>
  <c r="B48" i="5"/>
  <c r="S47" i="5"/>
  <c r="M47" i="5"/>
  <c r="L47" i="5"/>
  <c r="G47" i="5"/>
  <c r="F47" i="5"/>
  <c r="E47" i="5"/>
  <c r="D47" i="5"/>
  <c r="C47" i="5"/>
  <c r="B47" i="5"/>
  <c r="S46" i="5"/>
  <c r="M46" i="5"/>
  <c r="L46" i="5"/>
  <c r="G46" i="5"/>
  <c r="F46" i="5"/>
  <c r="E46" i="5"/>
  <c r="D46" i="5"/>
  <c r="C46" i="5"/>
  <c r="B46" i="5"/>
  <c r="S45" i="5"/>
  <c r="M45" i="5"/>
  <c r="L45" i="5"/>
  <c r="I45" i="5"/>
  <c r="G45" i="5"/>
  <c r="F45" i="5"/>
  <c r="E45" i="5"/>
  <c r="D45" i="5"/>
  <c r="C45" i="5"/>
  <c r="B45" i="5"/>
  <c r="S44" i="5"/>
  <c r="M44" i="5"/>
  <c r="L44" i="5"/>
  <c r="I44" i="5"/>
  <c r="G44" i="5"/>
  <c r="F44" i="5"/>
  <c r="E44" i="5"/>
  <c r="D44" i="5"/>
  <c r="C44" i="5"/>
  <c r="B44" i="5"/>
  <c r="S43" i="5"/>
  <c r="M43" i="5"/>
  <c r="L43" i="5"/>
  <c r="G43" i="5"/>
  <c r="F43" i="5"/>
  <c r="E43" i="5"/>
  <c r="D43" i="5"/>
  <c r="C43" i="5"/>
  <c r="B43" i="5"/>
  <c r="S42" i="5"/>
  <c r="M42" i="5"/>
  <c r="L42" i="5"/>
  <c r="G42" i="5"/>
  <c r="F42" i="5"/>
  <c r="E42" i="5"/>
  <c r="D42" i="5"/>
  <c r="C42" i="5"/>
  <c r="B42" i="5"/>
  <c r="S41" i="5"/>
  <c r="M41" i="5"/>
  <c r="L41" i="5"/>
  <c r="I41" i="5"/>
  <c r="G41" i="5"/>
  <c r="F41" i="5"/>
  <c r="E41" i="5"/>
  <c r="D41" i="5"/>
  <c r="C41" i="5"/>
  <c r="B41" i="5"/>
  <c r="S40" i="5"/>
  <c r="M40" i="5"/>
  <c r="L40" i="5"/>
  <c r="I40" i="5"/>
  <c r="D39" i="4" s="1"/>
  <c r="G40" i="5"/>
  <c r="F40" i="5"/>
  <c r="E40" i="5"/>
  <c r="D40" i="5"/>
  <c r="C40" i="5"/>
  <c r="B40" i="5"/>
  <c r="S39" i="5"/>
  <c r="M39" i="5"/>
  <c r="L39" i="5"/>
  <c r="I39" i="5"/>
  <c r="D38" i="4" s="1"/>
  <c r="G39" i="5"/>
  <c r="F39" i="5"/>
  <c r="E39" i="5"/>
  <c r="D39" i="5"/>
  <c r="C39" i="5"/>
  <c r="B39" i="5"/>
  <c r="S38" i="5"/>
  <c r="M38" i="5"/>
  <c r="L38" i="5"/>
  <c r="G38" i="5"/>
  <c r="F38" i="5"/>
  <c r="E38" i="5"/>
  <c r="D38" i="5"/>
  <c r="C38" i="5"/>
  <c r="B38" i="5"/>
  <c r="S37" i="5"/>
  <c r="M37" i="5"/>
  <c r="L37" i="5"/>
  <c r="I37" i="5"/>
  <c r="D36" i="4" s="1"/>
  <c r="G37" i="5"/>
  <c r="F37" i="5"/>
  <c r="E37" i="5"/>
  <c r="D37" i="5"/>
  <c r="C37" i="5"/>
  <c r="B37" i="5"/>
  <c r="S36" i="5"/>
  <c r="M36" i="5"/>
  <c r="L36" i="5"/>
  <c r="G36" i="5"/>
  <c r="F36" i="5"/>
  <c r="E36" i="5"/>
  <c r="D36" i="5"/>
  <c r="C36" i="5"/>
  <c r="B36" i="5"/>
  <c r="S35" i="5"/>
  <c r="M35" i="5"/>
  <c r="L35" i="5"/>
  <c r="G35" i="5"/>
  <c r="F35" i="5"/>
  <c r="E35" i="5"/>
  <c r="D35" i="5"/>
  <c r="C35" i="5"/>
  <c r="B35" i="5"/>
  <c r="S34" i="5"/>
  <c r="M34" i="5"/>
  <c r="L34" i="5"/>
  <c r="G34" i="5"/>
  <c r="F34" i="5"/>
  <c r="E34" i="5"/>
  <c r="D34" i="5"/>
  <c r="C34" i="5"/>
  <c r="B34" i="5"/>
  <c r="S33" i="5"/>
  <c r="M33" i="5"/>
  <c r="L33" i="5"/>
  <c r="I33" i="5"/>
  <c r="D33" i="4" s="1"/>
  <c r="G33" i="5"/>
  <c r="F33" i="5"/>
  <c r="E33" i="5"/>
  <c r="D33" i="5"/>
  <c r="C33" i="5"/>
  <c r="B33" i="5"/>
  <c r="S32" i="5"/>
  <c r="M32" i="5"/>
  <c r="L32" i="5"/>
  <c r="I32" i="5"/>
  <c r="D32" i="4" s="1"/>
  <c r="G32" i="5"/>
  <c r="F32" i="5"/>
  <c r="E32" i="5"/>
  <c r="D32" i="5"/>
  <c r="C32" i="5"/>
  <c r="B32" i="5"/>
  <c r="S31" i="5"/>
  <c r="M31" i="5"/>
  <c r="L31" i="5"/>
  <c r="I31" i="5"/>
  <c r="D31" i="4" s="1"/>
  <c r="G31" i="5"/>
  <c r="F31" i="5"/>
  <c r="E31" i="5"/>
  <c r="D31" i="5"/>
  <c r="C31" i="5"/>
  <c r="B31" i="5"/>
  <c r="S30" i="5"/>
  <c r="M30" i="5"/>
  <c r="L30" i="5"/>
  <c r="G30" i="5"/>
  <c r="F30" i="5"/>
  <c r="E30" i="5"/>
  <c r="D30" i="5"/>
  <c r="C30" i="5"/>
  <c r="B30" i="5"/>
  <c r="S29" i="5"/>
  <c r="M29" i="5"/>
  <c r="L29" i="5"/>
  <c r="G29" i="5"/>
  <c r="F29" i="5"/>
  <c r="E29" i="5"/>
  <c r="D29" i="5"/>
  <c r="C29" i="5"/>
  <c r="B29" i="5"/>
  <c r="S28" i="5"/>
  <c r="M28" i="5"/>
  <c r="L28" i="5"/>
  <c r="I28" i="5"/>
  <c r="D29" i="4" s="1"/>
  <c r="G28" i="5"/>
  <c r="F28" i="5"/>
  <c r="E28" i="5"/>
  <c r="D28" i="5"/>
  <c r="C28" i="5"/>
  <c r="B28" i="5"/>
  <c r="S27" i="5"/>
  <c r="M27" i="5"/>
  <c r="L27" i="5"/>
  <c r="G27" i="5"/>
  <c r="F27" i="5"/>
  <c r="E27" i="5"/>
  <c r="D27" i="5"/>
  <c r="C27" i="5"/>
  <c r="B27" i="5"/>
  <c r="S26" i="5"/>
  <c r="M26" i="5"/>
  <c r="L26" i="5"/>
  <c r="G26" i="5"/>
  <c r="F26" i="5"/>
  <c r="E26" i="5"/>
  <c r="D26" i="5"/>
  <c r="C26" i="5"/>
  <c r="B26" i="5"/>
  <c r="S25" i="5"/>
  <c r="M25" i="5"/>
  <c r="L25" i="5"/>
  <c r="I25" i="5"/>
  <c r="G25" i="5"/>
  <c r="F25" i="5"/>
  <c r="E25" i="5"/>
  <c r="D25" i="5"/>
  <c r="C25" i="5"/>
  <c r="B25" i="5"/>
  <c r="S24" i="5"/>
  <c r="M24" i="5"/>
  <c r="L24" i="5"/>
  <c r="I24" i="5"/>
  <c r="G24" i="5"/>
  <c r="F24" i="5"/>
  <c r="E24" i="5"/>
  <c r="D24" i="5"/>
  <c r="C24" i="5"/>
  <c r="B24" i="5"/>
  <c r="S23" i="5"/>
  <c r="M23" i="5"/>
  <c r="L23" i="5"/>
  <c r="I23" i="5"/>
  <c r="D26" i="4" s="1"/>
  <c r="G23" i="5"/>
  <c r="F23" i="5"/>
  <c r="E23" i="5"/>
  <c r="D23" i="5"/>
  <c r="C23" i="5"/>
  <c r="B23" i="5"/>
  <c r="S22" i="5"/>
  <c r="M22" i="5"/>
  <c r="L22" i="5"/>
  <c r="G22" i="5"/>
  <c r="F22" i="5"/>
  <c r="E22" i="5"/>
  <c r="D22" i="5"/>
  <c r="C22" i="5"/>
  <c r="B22" i="5"/>
  <c r="S21" i="5"/>
  <c r="M21" i="5"/>
  <c r="L21" i="5"/>
  <c r="G21" i="5"/>
  <c r="F21" i="5"/>
  <c r="E21" i="5"/>
  <c r="D21" i="5"/>
  <c r="C21" i="5"/>
  <c r="B21" i="5"/>
  <c r="S20" i="5"/>
  <c r="M20" i="5"/>
  <c r="L20" i="5"/>
  <c r="G20" i="5"/>
  <c r="F20" i="5"/>
  <c r="E20" i="5"/>
  <c r="D20" i="5"/>
  <c r="C20" i="5"/>
  <c r="B20" i="5"/>
  <c r="S19" i="5"/>
  <c r="M19" i="5"/>
  <c r="L19" i="5"/>
  <c r="I19" i="5"/>
  <c r="G19" i="5"/>
  <c r="F19" i="5"/>
  <c r="E19" i="5"/>
  <c r="D19" i="5"/>
  <c r="C19" i="5"/>
  <c r="B19" i="5"/>
  <c r="S18" i="5"/>
  <c r="M18" i="5"/>
  <c r="L18" i="5"/>
  <c r="G18" i="5"/>
  <c r="F18" i="5"/>
  <c r="E18" i="5"/>
  <c r="D18" i="5"/>
  <c r="C18" i="5"/>
  <c r="B18" i="5"/>
  <c r="S17" i="5"/>
  <c r="M17" i="5"/>
  <c r="L17" i="5"/>
  <c r="I17" i="5"/>
  <c r="D22" i="4" s="1"/>
  <c r="G17" i="5"/>
  <c r="F17" i="5"/>
  <c r="E17" i="5"/>
  <c r="D17" i="5"/>
  <c r="C17" i="5"/>
  <c r="B17" i="5"/>
  <c r="S16" i="5"/>
  <c r="M16" i="5"/>
  <c r="L16" i="5"/>
  <c r="I16" i="5"/>
  <c r="D21" i="4" s="1"/>
  <c r="G16" i="5"/>
  <c r="F16" i="5"/>
  <c r="E16" i="5"/>
  <c r="D16" i="5"/>
  <c r="C16" i="5"/>
  <c r="B16" i="5"/>
  <c r="S15" i="5"/>
  <c r="M15" i="5"/>
  <c r="L15" i="5"/>
  <c r="I15" i="5"/>
  <c r="G15" i="5"/>
  <c r="F15" i="5"/>
  <c r="E15" i="5"/>
  <c r="D15" i="5"/>
  <c r="C15" i="5"/>
  <c r="B15" i="5"/>
  <c r="S14" i="5"/>
  <c r="M14" i="5"/>
  <c r="L14" i="5"/>
  <c r="G14" i="5"/>
  <c r="F14" i="5"/>
  <c r="E14" i="5"/>
  <c r="D14" i="5"/>
  <c r="C14" i="5"/>
  <c r="B14" i="5"/>
  <c r="S13" i="5"/>
  <c r="M13" i="5"/>
  <c r="L13" i="5"/>
  <c r="G13" i="5"/>
  <c r="F13" i="5"/>
  <c r="E13" i="5"/>
  <c r="D13" i="5"/>
  <c r="C13" i="5"/>
  <c r="B13" i="5"/>
  <c r="S12" i="5"/>
  <c r="M12" i="5"/>
  <c r="L12" i="5"/>
  <c r="G12" i="5"/>
  <c r="F12" i="5"/>
  <c r="E12" i="5"/>
  <c r="D12" i="5"/>
  <c r="C12" i="5"/>
  <c r="B12" i="5"/>
  <c r="S11" i="5"/>
  <c r="M11" i="5"/>
  <c r="L11" i="5"/>
  <c r="I11" i="5"/>
  <c r="D17" i="4" s="1"/>
  <c r="G11" i="5"/>
  <c r="F11" i="5"/>
  <c r="E11" i="5"/>
  <c r="D11" i="5"/>
  <c r="C11" i="5"/>
  <c r="B11" i="5"/>
  <c r="S10" i="5"/>
  <c r="M10" i="5"/>
  <c r="L10" i="5"/>
  <c r="G10" i="5"/>
  <c r="F10" i="5"/>
  <c r="E10" i="5"/>
  <c r="D10" i="5"/>
  <c r="C10" i="5"/>
  <c r="B10" i="5"/>
  <c r="S9" i="5"/>
  <c r="M9" i="5"/>
  <c r="L9" i="5"/>
  <c r="I9" i="5"/>
  <c r="D15" i="4" s="1"/>
  <c r="G9" i="5"/>
  <c r="F9" i="5"/>
  <c r="E9" i="5"/>
  <c r="D9" i="5"/>
  <c r="C9" i="5"/>
  <c r="B9" i="5"/>
  <c r="S8" i="5"/>
  <c r="M8" i="5"/>
  <c r="L8" i="5"/>
  <c r="I8" i="5"/>
  <c r="G8" i="5"/>
  <c r="F8" i="5"/>
  <c r="E8" i="5"/>
  <c r="D8" i="5"/>
  <c r="C8" i="5"/>
  <c r="B8" i="5"/>
  <c r="S7" i="5"/>
  <c r="M7" i="5"/>
  <c r="L7" i="5"/>
  <c r="I7" i="5"/>
  <c r="G7" i="5"/>
  <c r="F7" i="5"/>
  <c r="E7" i="5"/>
  <c r="D7" i="5"/>
  <c r="C7" i="5"/>
  <c r="B7" i="5"/>
  <c r="S6" i="5"/>
  <c r="M6" i="5"/>
  <c r="L6" i="5"/>
  <c r="I6" i="5"/>
  <c r="G6" i="5"/>
  <c r="F6" i="5"/>
  <c r="E6" i="5"/>
  <c r="D6" i="5"/>
  <c r="C6" i="5"/>
  <c r="B6" i="5"/>
  <c r="S5" i="5"/>
  <c r="M5" i="5"/>
  <c r="L5" i="5"/>
  <c r="I5" i="5"/>
  <c r="G5" i="5"/>
  <c r="F5" i="5"/>
  <c r="E5" i="5"/>
  <c r="D5" i="5"/>
  <c r="C5" i="5"/>
  <c r="B5" i="5"/>
  <c r="R4" i="5"/>
  <c r="R3" i="5"/>
  <c r="P66" i="4"/>
  <c r="M65" i="4"/>
  <c r="L65" i="4"/>
  <c r="E65" i="4"/>
  <c r="C65" i="4"/>
  <c r="B65" i="4"/>
  <c r="M64" i="4"/>
  <c r="L64" i="4"/>
  <c r="E64" i="4"/>
  <c r="C64" i="4"/>
  <c r="H64" i="4" s="1"/>
  <c r="B64" i="4"/>
  <c r="M63" i="4"/>
  <c r="L63" i="4"/>
  <c r="E63" i="4"/>
  <c r="C63" i="4"/>
  <c r="F63" i="4" s="1"/>
  <c r="B63" i="4"/>
  <c r="M62" i="4"/>
  <c r="L62" i="4"/>
  <c r="E62" i="4"/>
  <c r="C62" i="4"/>
  <c r="K62" i="4" s="1"/>
  <c r="B62" i="4"/>
  <c r="M61" i="4"/>
  <c r="L61" i="4"/>
  <c r="E61" i="4"/>
  <c r="C61" i="4"/>
  <c r="K61" i="4" s="1"/>
  <c r="B61" i="4"/>
  <c r="M60" i="4"/>
  <c r="L60" i="4"/>
  <c r="E60" i="4"/>
  <c r="C60" i="4"/>
  <c r="H60" i="4" s="1"/>
  <c r="B60" i="4"/>
  <c r="M59" i="4"/>
  <c r="L59" i="4"/>
  <c r="E59" i="4"/>
  <c r="C59" i="4"/>
  <c r="F59" i="4" s="1"/>
  <c r="B59" i="4"/>
  <c r="M58" i="4"/>
  <c r="L58" i="4"/>
  <c r="E58" i="4"/>
  <c r="J58" i="4" s="1"/>
  <c r="C58" i="4"/>
  <c r="K58" i="4" s="1"/>
  <c r="B58" i="4"/>
  <c r="M57" i="4"/>
  <c r="L57" i="4"/>
  <c r="E57" i="4"/>
  <c r="J57" i="4" s="1"/>
  <c r="C57" i="4"/>
  <c r="K57" i="4" s="1"/>
  <c r="B57" i="4"/>
  <c r="M56" i="4"/>
  <c r="L56" i="4"/>
  <c r="E56" i="4"/>
  <c r="G56" i="4" s="1"/>
  <c r="C56" i="4"/>
  <c r="H56" i="4" s="1"/>
  <c r="B56" i="4"/>
  <c r="M55" i="4"/>
  <c r="L55" i="4"/>
  <c r="E55" i="4"/>
  <c r="G55" i="4" s="1"/>
  <c r="C55" i="4"/>
  <c r="F55" i="4" s="1"/>
  <c r="B55" i="4"/>
  <c r="M54" i="4"/>
  <c r="L54" i="4"/>
  <c r="E54" i="4"/>
  <c r="J54" i="4" s="1"/>
  <c r="C54" i="4"/>
  <c r="K54" i="4" s="1"/>
  <c r="B54" i="4"/>
  <c r="M53" i="4"/>
  <c r="L53" i="4"/>
  <c r="E53" i="4"/>
  <c r="J53" i="4" s="1"/>
  <c r="C53" i="4"/>
  <c r="H53" i="4" s="1"/>
  <c r="B53" i="4"/>
  <c r="M52" i="4"/>
  <c r="L52" i="4"/>
  <c r="E52" i="4"/>
  <c r="G52" i="4" s="1"/>
  <c r="C52" i="4"/>
  <c r="H52" i="4" s="1"/>
  <c r="B52" i="4"/>
  <c r="M51" i="4"/>
  <c r="L51" i="4"/>
  <c r="E51" i="4"/>
  <c r="J51" i="4" s="1"/>
  <c r="C51" i="4"/>
  <c r="F51" i="4" s="1"/>
  <c r="B51" i="4"/>
  <c r="M50" i="4"/>
  <c r="L50" i="4"/>
  <c r="E50" i="4"/>
  <c r="J50" i="4" s="1"/>
  <c r="C50" i="4"/>
  <c r="K50" i="4" s="1"/>
  <c r="B50" i="4"/>
  <c r="M49" i="4"/>
  <c r="L49" i="4"/>
  <c r="E49" i="4"/>
  <c r="J49" i="4" s="1"/>
  <c r="C49" i="4"/>
  <c r="K49" i="4" s="1"/>
  <c r="B49" i="4"/>
  <c r="M48" i="4"/>
  <c r="L48" i="4"/>
  <c r="E48" i="4"/>
  <c r="G48" i="4" s="1"/>
  <c r="C48" i="4"/>
  <c r="H48" i="4" s="1"/>
  <c r="B48" i="4"/>
  <c r="M47" i="4"/>
  <c r="L47" i="4"/>
  <c r="E47" i="4"/>
  <c r="G47" i="4" s="1"/>
  <c r="C47" i="4"/>
  <c r="F47" i="4" s="1"/>
  <c r="B47" i="4"/>
  <c r="M46" i="4"/>
  <c r="L46" i="4"/>
  <c r="E46" i="4"/>
  <c r="J46" i="4" s="1"/>
  <c r="C46" i="4"/>
  <c r="K46" i="4" s="1"/>
  <c r="B46" i="4"/>
  <c r="M45" i="4"/>
  <c r="L45" i="4"/>
  <c r="E45" i="4"/>
  <c r="J45" i="4" s="1"/>
  <c r="C45" i="4"/>
  <c r="B45" i="4"/>
  <c r="M44" i="4"/>
  <c r="L44" i="4"/>
  <c r="E44" i="4"/>
  <c r="C44" i="4"/>
  <c r="B44" i="4"/>
  <c r="M43" i="4"/>
  <c r="L43" i="4"/>
  <c r="E43" i="4"/>
  <c r="C43" i="4"/>
  <c r="K43" i="4" s="1"/>
  <c r="B43" i="4"/>
  <c r="M42" i="4"/>
  <c r="L42" i="4"/>
  <c r="E42" i="4"/>
  <c r="C42" i="4"/>
  <c r="K42" i="4" s="1"/>
  <c r="B42" i="4"/>
  <c r="M41" i="4"/>
  <c r="L41" i="4"/>
  <c r="E41" i="4"/>
  <c r="C41" i="4"/>
  <c r="K41" i="4" s="1"/>
  <c r="B41" i="4"/>
  <c r="M40" i="4"/>
  <c r="L40" i="4"/>
  <c r="E40" i="4"/>
  <c r="J40" i="4" s="1"/>
  <c r="C40" i="4"/>
  <c r="K40" i="4" s="1"/>
  <c r="B40" i="4"/>
  <c r="M39" i="4"/>
  <c r="L39" i="4"/>
  <c r="E39" i="4"/>
  <c r="J39" i="4" s="1"/>
  <c r="C39" i="4"/>
  <c r="B39" i="4"/>
  <c r="M38" i="4"/>
  <c r="L38" i="4"/>
  <c r="E38" i="4"/>
  <c r="J38" i="4" s="1"/>
  <c r="C38" i="4"/>
  <c r="K38" i="4" s="1"/>
  <c r="B38" i="4"/>
  <c r="M37" i="4"/>
  <c r="L37" i="4"/>
  <c r="E37" i="4"/>
  <c r="J37" i="4" s="1"/>
  <c r="C37" i="4"/>
  <c r="K37" i="4" s="1"/>
  <c r="B37" i="4"/>
  <c r="M36" i="4"/>
  <c r="L36" i="4"/>
  <c r="E36" i="4"/>
  <c r="J36" i="4" s="1"/>
  <c r="C36" i="4"/>
  <c r="K36" i="4" s="1"/>
  <c r="B36" i="4"/>
  <c r="M35" i="4"/>
  <c r="L35" i="4"/>
  <c r="E35" i="4"/>
  <c r="J35" i="4" s="1"/>
  <c r="C35" i="4"/>
  <c r="B35" i="4"/>
  <c r="M34" i="4"/>
  <c r="L34" i="4"/>
  <c r="E34" i="4"/>
  <c r="J34" i="4" s="1"/>
  <c r="C34" i="4"/>
  <c r="K34" i="4" s="1"/>
  <c r="B34" i="4"/>
  <c r="M33" i="4"/>
  <c r="L33" i="4"/>
  <c r="E33" i="4"/>
  <c r="J33" i="4" s="1"/>
  <c r="C33" i="4"/>
  <c r="K33" i="4" s="1"/>
  <c r="B33" i="4"/>
  <c r="M32" i="4"/>
  <c r="L32" i="4"/>
  <c r="E32" i="4"/>
  <c r="J32" i="4" s="1"/>
  <c r="C32" i="4"/>
  <c r="B32" i="4"/>
  <c r="M31" i="4"/>
  <c r="L31" i="4"/>
  <c r="E31" i="4"/>
  <c r="J31" i="4" s="1"/>
  <c r="C31" i="4"/>
  <c r="B31" i="4"/>
  <c r="M30" i="4"/>
  <c r="L30" i="4"/>
  <c r="E30" i="4"/>
  <c r="C30" i="4"/>
  <c r="K30" i="4" s="1"/>
  <c r="B30" i="4"/>
  <c r="M29" i="4"/>
  <c r="L29" i="4"/>
  <c r="E29" i="4"/>
  <c r="C29" i="4"/>
  <c r="K29" i="4" s="1"/>
  <c r="B29" i="4"/>
  <c r="M28" i="4"/>
  <c r="L28" i="4"/>
  <c r="E28" i="4"/>
  <c r="J28" i="4" s="1"/>
  <c r="C28" i="4"/>
  <c r="B28" i="4"/>
  <c r="M27" i="4"/>
  <c r="L27" i="4"/>
  <c r="E27" i="4"/>
  <c r="J27" i="4" s="1"/>
  <c r="D27" i="4"/>
  <c r="C27" i="4"/>
  <c r="B27" i="4"/>
  <c r="M26" i="4"/>
  <c r="L26" i="4"/>
  <c r="E26" i="4"/>
  <c r="J26" i="4" s="1"/>
  <c r="C26" i="4"/>
  <c r="K26" i="4" s="1"/>
  <c r="B26" i="4"/>
  <c r="M25" i="4"/>
  <c r="L25" i="4"/>
  <c r="E25" i="4"/>
  <c r="J25" i="4" s="1"/>
  <c r="C25" i="4"/>
  <c r="K25" i="4" s="1"/>
  <c r="B25" i="4"/>
  <c r="M24" i="4"/>
  <c r="L24" i="4"/>
  <c r="E24" i="4"/>
  <c r="J24" i="4" s="1"/>
  <c r="C24" i="4"/>
  <c r="B24" i="4"/>
  <c r="M23" i="4"/>
  <c r="L23" i="4"/>
  <c r="E23" i="4"/>
  <c r="J23" i="4" s="1"/>
  <c r="C23" i="4"/>
  <c r="B23" i="4"/>
  <c r="M22" i="4"/>
  <c r="L22" i="4"/>
  <c r="E22" i="4"/>
  <c r="J22" i="4" s="1"/>
  <c r="C22" i="4"/>
  <c r="K22" i="4" s="1"/>
  <c r="B22" i="4"/>
  <c r="M21" i="4"/>
  <c r="L21" i="4"/>
  <c r="E21" i="4"/>
  <c r="C21" i="4"/>
  <c r="K21" i="4" s="1"/>
  <c r="B21" i="4"/>
  <c r="M20" i="4"/>
  <c r="L20" i="4"/>
  <c r="E20" i="4"/>
  <c r="J20" i="4" s="1"/>
  <c r="C20" i="4"/>
  <c r="K20" i="4" s="1"/>
  <c r="B20" i="4"/>
  <c r="M19" i="4"/>
  <c r="L19" i="4"/>
  <c r="E19" i="4"/>
  <c r="C19" i="4"/>
  <c r="K19" i="4" s="1"/>
  <c r="B19" i="4"/>
  <c r="M18" i="4"/>
  <c r="L18" i="4"/>
  <c r="E18" i="4"/>
  <c r="C18" i="4"/>
  <c r="K18" i="4" s="1"/>
  <c r="B18" i="4"/>
  <c r="M17" i="4"/>
  <c r="L17" i="4"/>
  <c r="E17" i="4"/>
  <c r="C17" i="4"/>
  <c r="K17" i="4" s="1"/>
  <c r="B17" i="4"/>
  <c r="M16" i="4"/>
  <c r="L16" i="4"/>
  <c r="E16" i="4"/>
  <c r="C16" i="4"/>
  <c r="K16" i="4" s="1"/>
  <c r="B16" i="4"/>
  <c r="M15" i="4"/>
  <c r="L15" i="4"/>
  <c r="E15" i="4"/>
  <c r="C15" i="4"/>
  <c r="K15" i="4" s="1"/>
  <c r="B15" i="4"/>
  <c r="M14" i="4"/>
  <c r="L14" i="4"/>
  <c r="E14" i="4"/>
  <c r="J14" i="4" s="1"/>
  <c r="D14" i="4"/>
  <c r="C14" i="4"/>
  <c r="K14" i="4" s="1"/>
  <c r="B14" i="4"/>
  <c r="M84" i="3"/>
  <c r="K84" i="3"/>
  <c r="L84" i="3" s="1"/>
  <c r="J84" i="3"/>
  <c r="I84" i="3"/>
  <c r="M83" i="3"/>
  <c r="K83" i="3"/>
  <c r="L83" i="3" s="1"/>
  <c r="J83" i="3"/>
  <c r="I83" i="3"/>
  <c r="M82" i="3"/>
  <c r="K82" i="3"/>
  <c r="L82" i="3" s="1"/>
  <c r="J82" i="3"/>
  <c r="I82" i="3"/>
  <c r="M81" i="3"/>
  <c r="K81" i="3"/>
  <c r="L81" i="3" s="1"/>
  <c r="J81" i="3"/>
  <c r="I81" i="3"/>
  <c r="M80" i="3"/>
  <c r="K80" i="3"/>
  <c r="L80" i="3" s="1"/>
  <c r="J80" i="3"/>
  <c r="I80" i="3"/>
  <c r="M79" i="3"/>
  <c r="K79" i="3"/>
  <c r="L79" i="3" s="1"/>
  <c r="J79" i="3"/>
  <c r="I79" i="3"/>
  <c r="M78" i="3"/>
  <c r="K78" i="3"/>
  <c r="L78" i="3" s="1"/>
  <c r="J78" i="3"/>
  <c r="I78" i="3"/>
  <c r="M77" i="3"/>
  <c r="K77" i="3"/>
  <c r="L77" i="3" s="1"/>
  <c r="J77" i="3"/>
  <c r="I77" i="3"/>
  <c r="M76" i="3"/>
  <c r="K76" i="3"/>
  <c r="L76" i="3" s="1"/>
  <c r="J76" i="3"/>
  <c r="I76" i="3"/>
  <c r="M75" i="3"/>
  <c r="K75" i="3"/>
  <c r="L75" i="3" s="1"/>
  <c r="J75" i="3"/>
  <c r="I75" i="3"/>
  <c r="M74" i="3"/>
  <c r="K74" i="3"/>
  <c r="L74" i="3" s="1"/>
  <c r="J74" i="3"/>
  <c r="I74" i="3"/>
  <c r="M73" i="3"/>
  <c r="K73" i="3"/>
  <c r="L73" i="3" s="1"/>
  <c r="J73" i="3"/>
  <c r="I73" i="3"/>
  <c r="M72" i="3"/>
  <c r="K72" i="3"/>
  <c r="L72" i="3" s="1"/>
  <c r="J72" i="3"/>
  <c r="I72" i="3"/>
  <c r="M71" i="3"/>
  <c r="K71" i="3"/>
  <c r="L71" i="3" s="1"/>
  <c r="J71" i="3"/>
  <c r="I71" i="3"/>
  <c r="M70" i="3"/>
  <c r="K70" i="3"/>
  <c r="L70" i="3" s="1"/>
  <c r="J70" i="3"/>
  <c r="I70" i="3"/>
  <c r="M69" i="3"/>
  <c r="K69" i="3"/>
  <c r="L69" i="3" s="1"/>
  <c r="J69" i="3"/>
  <c r="I69" i="3"/>
  <c r="M68" i="3"/>
  <c r="K68" i="3"/>
  <c r="L68" i="3" s="1"/>
  <c r="J68" i="3"/>
  <c r="I68" i="3"/>
  <c r="M67" i="3"/>
  <c r="K67" i="3"/>
  <c r="L67" i="3" s="1"/>
  <c r="J67" i="3"/>
  <c r="I67" i="3"/>
  <c r="M66" i="3"/>
  <c r="K66" i="3"/>
  <c r="L66" i="3" s="1"/>
  <c r="J66" i="3"/>
  <c r="I66" i="3"/>
  <c r="M65" i="3"/>
  <c r="K65" i="3"/>
  <c r="L65" i="3" s="1"/>
  <c r="J65" i="3"/>
  <c r="I65" i="3"/>
  <c r="M64" i="3"/>
  <c r="K64" i="3"/>
  <c r="L64" i="3" s="1"/>
  <c r="J64" i="3"/>
  <c r="I64" i="3"/>
  <c r="M63" i="3"/>
  <c r="K63" i="3"/>
  <c r="L63" i="3" s="1"/>
  <c r="J63" i="3"/>
  <c r="I63" i="3"/>
  <c r="M62" i="3"/>
  <c r="K62" i="3"/>
  <c r="L62" i="3" s="1"/>
  <c r="J62" i="3"/>
  <c r="I62" i="3"/>
  <c r="M61" i="3"/>
  <c r="K61" i="3"/>
  <c r="L61" i="3" s="1"/>
  <c r="J61" i="3"/>
  <c r="I61" i="3"/>
  <c r="M60" i="3"/>
  <c r="K60" i="3"/>
  <c r="L60" i="3" s="1"/>
  <c r="J60" i="3"/>
  <c r="I60" i="3"/>
  <c r="M59" i="3"/>
  <c r="K59" i="3"/>
  <c r="L59" i="3" s="1"/>
  <c r="J59" i="3"/>
  <c r="I59" i="3"/>
  <c r="M58" i="3"/>
  <c r="K58" i="3"/>
  <c r="L58" i="3" s="1"/>
  <c r="J58" i="3"/>
  <c r="I58" i="3"/>
  <c r="M57" i="3"/>
  <c r="K57" i="3"/>
  <c r="L57" i="3" s="1"/>
  <c r="J57" i="3"/>
  <c r="I57" i="3"/>
  <c r="M56" i="3"/>
  <c r="K56" i="3"/>
  <c r="L56" i="3" s="1"/>
  <c r="J56" i="3"/>
  <c r="I56" i="3"/>
  <c r="M55" i="3"/>
  <c r="K55" i="3"/>
  <c r="L55" i="3" s="1"/>
  <c r="J55" i="3"/>
  <c r="I55" i="3"/>
  <c r="M54" i="3"/>
  <c r="K54" i="3"/>
  <c r="L54" i="3" s="1"/>
  <c r="J54" i="3"/>
  <c r="I54" i="3"/>
  <c r="M53" i="3"/>
  <c r="K53" i="3"/>
  <c r="L53" i="3" s="1"/>
  <c r="J53" i="3"/>
  <c r="I53" i="3"/>
  <c r="M52" i="3"/>
  <c r="K52" i="3"/>
  <c r="L52" i="3" s="1"/>
  <c r="J52" i="3"/>
  <c r="I52" i="3"/>
  <c r="M51" i="3"/>
  <c r="K51" i="3"/>
  <c r="L51" i="3" s="1"/>
  <c r="J51" i="3"/>
  <c r="I51" i="3"/>
  <c r="M50" i="3"/>
  <c r="K50" i="3"/>
  <c r="L50" i="3" s="1"/>
  <c r="J50" i="3"/>
  <c r="I50" i="3"/>
  <c r="M49" i="3"/>
  <c r="K49" i="3"/>
  <c r="L49" i="3" s="1"/>
  <c r="J49" i="3"/>
  <c r="I49" i="3"/>
  <c r="M48" i="3"/>
  <c r="K48" i="3"/>
  <c r="L48" i="3" s="1"/>
  <c r="J48" i="3"/>
  <c r="I48" i="3"/>
  <c r="M47" i="3"/>
  <c r="K47" i="3"/>
  <c r="L47" i="3" s="1"/>
  <c r="J47" i="3"/>
  <c r="I47" i="3"/>
  <c r="M46" i="3"/>
  <c r="K46" i="3"/>
  <c r="L46" i="3" s="1"/>
  <c r="J46" i="3"/>
  <c r="I46" i="3"/>
  <c r="M45" i="3"/>
  <c r="K45" i="3"/>
  <c r="L45" i="3" s="1"/>
  <c r="J45" i="3"/>
  <c r="I45" i="3"/>
  <c r="M44" i="3"/>
  <c r="K44" i="3"/>
  <c r="L44" i="3" s="1"/>
  <c r="J44" i="3"/>
  <c r="I44" i="3"/>
  <c r="M43" i="3"/>
  <c r="K43" i="3"/>
  <c r="L43" i="3" s="1"/>
  <c r="J43" i="3"/>
  <c r="I43" i="3"/>
  <c r="M42" i="3"/>
  <c r="K42" i="3"/>
  <c r="L42" i="3" s="1"/>
  <c r="J42" i="3"/>
  <c r="I42" i="3"/>
  <c r="M41" i="3"/>
  <c r="K41" i="3"/>
  <c r="L41" i="3" s="1"/>
  <c r="J41" i="3"/>
  <c r="I41" i="3"/>
  <c r="M40" i="3"/>
  <c r="K40" i="3"/>
  <c r="L40" i="3" s="1"/>
  <c r="J40" i="3"/>
  <c r="I40" i="3"/>
  <c r="M39" i="3"/>
  <c r="K39" i="3"/>
  <c r="L39" i="3" s="1"/>
  <c r="J39" i="3"/>
  <c r="I39" i="3"/>
  <c r="M38" i="3"/>
  <c r="K38" i="3"/>
  <c r="L38" i="3" s="1"/>
  <c r="J38" i="3"/>
  <c r="I38" i="3"/>
  <c r="M37" i="3"/>
  <c r="K37" i="3"/>
  <c r="L37" i="3" s="1"/>
  <c r="J37" i="3"/>
  <c r="I37" i="3"/>
  <c r="M36" i="3"/>
  <c r="K36" i="3"/>
  <c r="L36" i="3" s="1"/>
  <c r="J36" i="3"/>
  <c r="I36" i="3"/>
  <c r="M35" i="3"/>
  <c r="K35" i="3"/>
  <c r="L35" i="3" s="1"/>
  <c r="J35" i="3"/>
  <c r="I35" i="3"/>
  <c r="M34" i="3"/>
  <c r="K34" i="3"/>
  <c r="L34" i="3" s="1"/>
  <c r="J34" i="3"/>
  <c r="I34" i="3"/>
  <c r="M33" i="3"/>
  <c r="K33" i="3"/>
  <c r="L33" i="3" s="1"/>
  <c r="J33" i="3"/>
  <c r="I33" i="3"/>
  <c r="M32" i="3"/>
  <c r="K32" i="3"/>
  <c r="L32" i="3" s="1"/>
  <c r="J32" i="3"/>
  <c r="I32" i="3"/>
  <c r="M31" i="3"/>
  <c r="K31" i="3"/>
  <c r="L31" i="3" s="1"/>
  <c r="J31" i="3"/>
  <c r="I31" i="3"/>
  <c r="M30" i="3"/>
  <c r="K30" i="3"/>
  <c r="L30" i="3" s="1"/>
  <c r="J30" i="3"/>
  <c r="I30" i="3"/>
  <c r="M29" i="3"/>
  <c r="K29" i="3"/>
  <c r="L29" i="3" s="1"/>
  <c r="J29" i="3"/>
  <c r="I29" i="3"/>
  <c r="M28" i="3"/>
  <c r="K28" i="3"/>
  <c r="L28" i="3" s="1"/>
  <c r="J28" i="3"/>
  <c r="I28" i="3"/>
  <c r="M27" i="3"/>
  <c r="K27" i="3"/>
  <c r="L27" i="3" s="1"/>
  <c r="J27" i="3"/>
  <c r="I27" i="3"/>
  <c r="M26" i="3"/>
  <c r="K26" i="3"/>
  <c r="L26" i="3" s="1"/>
  <c r="J26" i="3"/>
  <c r="I26" i="3"/>
  <c r="M25" i="3"/>
  <c r="K25" i="3"/>
  <c r="L25" i="3" s="1"/>
  <c r="J25" i="3"/>
  <c r="I25" i="3"/>
  <c r="M24" i="3"/>
  <c r="K24" i="3"/>
  <c r="L24" i="3" s="1"/>
  <c r="J24" i="3"/>
  <c r="I24" i="3"/>
  <c r="M23" i="3"/>
  <c r="K23" i="3"/>
  <c r="L23" i="3" s="1"/>
  <c r="J23" i="3"/>
  <c r="I23" i="3"/>
  <c r="M22" i="3"/>
  <c r="K22" i="3"/>
  <c r="L22" i="3" s="1"/>
  <c r="J22" i="3"/>
  <c r="I22" i="3"/>
  <c r="M21" i="3"/>
  <c r="K21" i="3"/>
  <c r="L21" i="3" s="1"/>
  <c r="J21" i="3"/>
  <c r="I21" i="3"/>
  <c r="M20" i="3"/>
  <c r="K20" i="3"/>
  <c r="L20" i="3" s="1"/>
  <c r="J20" i="3"/>
  <c r="I20" i="3"/>
  <c r="M19" i="3"/>
  <c r="K19" i="3"/>
  <c r="L19" i="3" s="1"/>
  <c r="J19" i="3"/>
  <c r="I19" i="3"/>
  <c r="M18" i="3"/>
  <c r="K18" i="3"/>
  <c r="L18" i="3" s="1"/>
  <c r="J18" i="3"/>
  <c r="I18" i="3"/>
  <c r="M17" i="3"/>
  <c r="K17" i="3"/>
  <c r="L17" i="3" s="1"/>
  <c r="J17" i="3"/>
  <c r="I17" i="3"/>
  <c r="M16" i="3"/>
  <c r="K16" i="3"/>
  <c r="L16" i="3" s="1"/>
  <c r="J16" i="3"/>
  <c r="I16" i="3"/>
  <c r="M15" i="3"/>
  <c r="K15" i="3"/>
  <c r="L15" i="3" s="1"/>
  <c r="J15" i="3"/>
  <c r="I15" i="3"/>
  <c r="M14" i="3"/>
  <c r="K14" i="3"/>
  <c r="L14" i="3" s="1"/>
  <c r="J14" i="3"/>
  <c r="I14" i="3"/>
  <c r="M13" i="3"/>
  <c r="K13" i="3"/>
  <c r="L13" i="3" s="1"/>
  <c r="J13" i="3"/>
  <c r="I13" i="3"/>
  <c r="M12" i="3"/>
  <c r="K12" i="3"/>
  <c r="L12" i="3" s="1"/>
  <c r="J12" i="3"/>
  <c r="I12" i="3"/>
  <c r="M11" i="3"/>
  <c r="K11" i="3"/>
  <c r="L11" i="3" s="1"/>
  <c r="J11" i="3"/>
  <c r="I11" i="3"/>
  <c r="M10" i="3"/>
  <c r="K10" i="3"/>
  <c r="L10" i="3" s="1"/>
  <c r="J10" i="3"/>
  <c r="I10" i="3"/>
  <c r="M9" i="3"/>
  <c r="K9" i="3"/>
  <c r="L9" i="3" s="1"/>
  <c r="J9" i="3"/>
  <c r="I9" i="3"/>
  <c r="M8" i="3"/>
  <c r="K8" i="3"/>
  <c r="L8" i="3" s="1"/>
  <c r="J8" i="3"/>
  <c r="I8" i="3"/>
  <c r="M7" i="3"/>
  <c r="K7" i="3"/>
  <c r="L7" i="3" s="1"/>
  <c r="J7" i="3"/>
  <c r="I7" i="3"/>
  <c r="M6" i="3"/>
  <c r="K6" i="3"/>
  <c r="L6" i="3" s="1"/>
  <c r="J6" i="3"/>
  <c r="I6" i="3"/>
  <c r="M5" i="3"/>
  <c r="K5" i="3"/>
  <c r="L5" i="3" s="1"/>
  <c r="J5" i="3"/>
  <c r="I5" i="3"/>
  <c r="M4" i="3"/>
  <c r="K4" i="3"/>
  <c r="L4" i="3" s="1"/>
  <c r="J4" i="3"/>
  <c r="I4" i="3"/>
  <c r="M3" i="3"/>
  <c r="K3" i="3"/>
  <c r="L3" i="3" s="1"/>
  <c r="J3" i="3"/>
  <c r="I3" i="3"/>
  <c r="M2" i="3"/>
  <c r="K2" i="3"/>
  <c r="L2" i="3" s="1"/>
  <c r="J2" i="3"/>
  <c r="I2" i="3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I20" i="5" l="1"/>
  <c r="D23" i="4" s="1"/>
  <c r="I29" i="5"/>
  <c r="I89" i="5"/>
  <c r="D62" i="4" s="1"/>
  <c r="I12" i="5"/>
  <c r="D18" i="4" s="1"/>
  <c r="J18" i="4" s="1"/>
  <c r="I21" i="5"/>
  <c r="D24" i="4" s="1"/>
  <c r="I35" i="5"/>
  <c r="D34" i="4" s="1"/>
  <c r="I13" i="5"/>
  <c r="D19" i="4" s="1"/>
  <c r="I27" i="5"/>
  <c r="D28" i="4" s="1"/>
  <c r="I36" i="5"/>
  <c r="D35" i="4" s="1"/>
  <c r="I57" i="5"/>
  <c r="D40" i="4" s="1"/>
  <c r="I87" i="5"/>
  <c r="I69" i="5"/>
  <c r="D47" i="4" s="1"/>
  <c r="I73" i="5"/>
  <c r="D51" i="4" s="1"/>
  <c r="I77" i="5"/>
  <c r="D55" i="4" s="1"/>
  <c r="I81" i="5"/>
  <c r="I85" i="5"/>
  <c r="D60" i="4" s="1"/>
  <c r="I10" i="5"/>
  <c r="D16" i="4" s="1"/>
  <c r="I14" i="5"/>
  <c r="D20" i="4" s="1"/>
  <c r="I18" i="5"/>
  <c r="I22" i="5"/>
  <c r="D25" i="4" s="1"/>
  <c r="I26" i="5"/>
  <c r="I30" i="5"/>
  <c r="D30" i="4" s="1"/>
  <c r="I34" i="5"/>
  <c r="I38" i="5"/>
  <c r="D37" i="4" s="1"/>
  <c r="I42" i="5"/>
  <c r="I46" i="5"/>
  <c r="I50" i="5"/>
  <c r="I54" i="5"/>
  <c r="I58" i="5"/>
  <c r="D41" i="4" s="1"/>
  <c r="I62" i="5"/>
  <c r="I66" i="5"/>
  <c r="I70" i="5"/>
  <c r="D48" i="4" s="1"/>
  <c r="I74" i="5"/>
  <c r="D52" i="4" s="1"/>
  <c r="I78" i="5"/>
  <c r="D56" i="4" s="1"/>
  <c r="I82" i="5"/>
  <c r="I43" i="5"/>
  <c r="I47" i="5"/>
  <c r="I51" i="5"/>
  <c r="I55" i="5"/>
  <c r="I59" i="5"/>
  <c r="D42" i="4" s="1"/>
  <c r="J42" i="4" s="1"/>
  <c r="I63" i="5"/>
  <c r="D45" i="4" s="1"/>
  <c r="I67" i="5"/>
  <c r="I71" i="5"/>
  <c r="D49" i="4" s="1"/>
  <c r="I75" i="5"/>
  <c r="D53" i="4" s="1"/>
  <c r="I79" i="5"/>
  <c r="D57" i="4" s="1"/>
  <c r="I83" i="5"/>
  <c r="I56" i="5"/>
  <c r="I60" i="5"/>
  <c r="D43" i="4" s="1"/>
  <c r="J43" i="4" s="1"/>
  <c r="I64" i="5"/>
  <c r="I68" i="5"/>
  <c r="D46" i="4" s="1"/>
  <c r="I72" i="5"/>
  <c r="D50" i="4" s="1"/>
  <c r="I76" i="5"/>
  <c r="D54" i="4" s="1"/>
  <c r="I80" i="5"/>
  <c r="D58" i="4" s="1"/>
  <c r="I84" i="5"/>
  <c r="D59" i="4" s="1"/>
  <c r="N18" i="4"/>
  <c r="J29" i="4"/>
  <c r="J15" i="4"/>
  <c r="I86" i="5"/>
  <c r="J21" i="4"/>
  <c r="I105" i="5"/>
  <c r="I88" i="5"/>
  <c r="D61" i="4" s="1"/>
  <c r="I93" i="5"/>
  <c r="D64" i="4" s="1"/>
  <c r="N45" i="4"/>
  <c r="O45" i="4" s="1"/>
  <c r="N49" i="4"/>
  <c r="O49" i="4" s="1"/>
  <c r="N53" i="4"/>
  <c r="O53" i="4" s="1"/>
  <c r="N57" i="4"/>
  <c r="O57" i="4" s="1"/>
  <c r="I101" i="5"/>
  <c r="N60" i="4"/>
  <c r="N63" i="4"/>
  <c r="O63" i="4" s="1"/>
  <c r="J30" i="4"/>
  <c r="N59" i="4"/>
  <c r="O59" i="4" s="1"/>
  <c r="I91" i="5"/>
  <c r="I97" i="5"/>
  <c r="N61" i="4"/>
  <c r="G14" i="4"/>
  <c r="N17" i="4"/>
  <c r="O17" i="4" s="1"/>
  <c r="N44" i="4"/>
  <c r="N48" i="4"/>
  <c r="O48" i="4" s="1"/>
  <c r="N52" i="4"/>
  <c r="O52" i="4" s="1"/>
  <c r="N56" i="4"/>
  <c r="O56" i="4" s="1"/>
  <c r="N43" i="4"/>
  <c r="N47" i="4"/>
  <c r="O47" i="4" s="1"/>
  <c r="N51" i="4"/>
  <c r="O51" i="4" s="1"/>
  <c r="N55" i="4"/>
  <c r="O55" i="4" s="1"/>
  <c r="N14" i="4"/>
  <c r="O14" i="4" s="1"/>
  <c r="J41" i="4"/>
  <c r="J62" i="4"/>
  <c r="K65" i="4"/>
  <c r="F65" i="4"/>
  <c r="J19" i="4"/>
  <c r="N21" i="4"/>
  <c r="C30" i="6"/>
  <c r="N46" i="4"/>
  <c r="O46" i="4" s="1"/>
  <c r="N50" i="4"/>
  <c r="O50" i="4" s="1"/>
  <c r="N54" i="4"/>
  <c r="O54" i="4" s="1"/>
  <c r="N58" i="4"/>
  <c r="O58" i="4" s="1"/>
  <c r="J61" i="4"/>
  <c r="N62" i="4"/>
  <c r="J65" i="4"/>
  <c r="J17" i="4"/>
  <c r="J16" i="4"/>
  <c r="I90" i="5"/>
  <c r="I94" i="5"/>
  <c r="D65" i="4" s="1"/>
  <c r="I98" i="5"/>
  <c r="I102" i="5"/>
  <c r="I95" i="5"/>
  <c r="I99" i="5"/>
  <c r="I103" i="5"/>
  <c r="N64" i="4"/>
  <c r="I92" i="5"/>
  <c r="D63" i="4" s="1"/>
  <c r="J63" i="4" s="1"/>
  <c r="I96" i="5"/>
  <c r="I100" i="5"/>
  <c r="I104" i="5"/>
  <c r="F23" i="4"/>
  <c r="H23" i="4"/>
  <c r="N24" i="4"/>
  <c r="O24" i="4" s="1"/>
  <c r="F31" i="4"/>
  <c r="H31" i="4"/>
  <c r="N32" i="4"/>
  <c r="O32" i="4" s="1"/>
  <c r="F35" i="4"/>
  <c r="H35" i="4"/>
  <c r="N36" i="4"/>
  <c r="O36" i="4" s="1"/>
  <c r="F39" i="4"/>
  <c r="H39" i="4"/>
  <c r="N40" i="4"/>
  <c r="O40" i="4" s="1"/>
  <c r="H44" i="4"/>
  <c r="F44" i="4"/>
  <c r="G44" i="4" s="1"/>
  <c r="H45" i="4"/>
  <c r="F45" i="4"/>
  <c r="F27" i="4"/>
  <c r="H27" i="4"/>
  <c r="N28" i="4"/>
  <c r="O28" i="4" s="1"/>
  <c r="F15" i="4"/>
  <c r="G15" i="4" s="1"/>
  <c r="H15" i="4"/>
  <c r="N16" i="4"/>
  <c r="O16" i="4" s="1"/>
  <c r="F19" i="4"/>
  <c r="G19" i="4" s="1"/>
  <c r="H19" i="4"/>
  <c r="N20" i="4"/>
  <c r="O20" i="4" s="1"/>
  <c r="G22" i="4"/>
  <c r="G26" i="4"/>
  <c r="G34" i="4"/>
  <c r="G38" i="4"/>
  <c r="H28" i="4"/>
  <c r="F28" i="4"/>
  <c r="H32" i="4"/>
  <c r="F32" i="4"/>
  <c r="H36" i="4"/>
  <c r="F36" i="4"/>
  <c r="H40" i="4"/>
  <c r="F40" i="4"/>
  <c r="N41" i="4"/>
  <c r="H24" i="4"/>
  <c r="F24" i="4"/>
  <c r="H16" i="4"/>
  <c r="F16" i="4"/>
  <c r="G16" i="4" s="1"/>
  <c r="H20" i="4"/>
  <c r="F20" i="4"/>
  <c r="G20" i="4" s="1"/>
  <c r="G23" i="4"/>
  <c r="N25" i="4"/>
  <c r="O25" i="4" s="1"/>
  <c r="G27" i="4"/>
  <c r="N29" i="4"/>
  <c r="G31" i="4"/>
  <c r="N33" i="4"/>
  <c r="O33" i="4" s="1"/>
  <c r="G35" i="4"/>
  <c r="N37" i="4"/>
  <c r="O37" i="4" s="1"/>
  <c r="G39" i="4"/>
  <c r="N42" i="4"/>
  <c r="K45" i="4"/>
  <c r="H29" i="4"/>
  <c r="F29" i="4"/>
  <c r="G29" i="4" s="1"/>
  <c r="H33" i="4"/>
  <c r="F33" i="4"/>
  <c r="H37" i="4"/>
  <c r="F37" i="4"/>
  <c r="H41" i="4"/>
  <c r="F41" i="4"/>
  <c r="G41" i="4" s="1"/>
  <c r="K44" i="4"/>
  <c r="H25" i="4"/>
  <c r="F25" i="4"/>
  <c r="H17" i="4"/>
  <c r="F17" i="4"/>
  <c r="G17" i="4" s="1"/>
  <c r="H21" i="4"/>
  <c r="F21" i="4"/>
  <c r="G21" i="4" s="1"/>
  <c r="N22" i="4"/>
  <c r="O22" i="4" s="1"/>
  <c r="K23" i="4"/>
  <c r="G24" i="4"/>
  <c r="N26" i="4"/>
  <c r="O26" i="4" s="1"/>
  <c r="K27" i="4"/>
  <c r="G28" i="4"/>
  <c r="N30" i="4"/>
  <c r="K31" i="4"/>
  <c r="G32" i="4"/>
  <c r="N34" i="4"/>
  <c r="O34" i="4" s="1"/>
  <c r="K35" i="4"/>
  <c r="G36" i="4"/>
  <c r="N38" i="4"/>
  <c r="O38" i="4" s="1"/>
  <c r="K39" i="4"/>
  <c r="G40" i="4"/>
  <c r="I48" i="4"/>
  <c r="I52" i="4"/>
  <c r="I56" i="4"/>
  <c r="H26" i="4"/>
  <c r="F26" i="4"/>
  <c r="N27" i="4"/>
  <c r="O27" i="4" s="1"/>
  <c r="H30" i="4"/>
  <c r="F30" i="4"/>
  <c r="G30" i="4" s="1"/>
  <c r="N31" i="4"/>
  <c r="O31" i="4" s="1"/>
  <c r="H34" i="4"/>
  <c r="F34" i="4"/>
  <c r="N35" i="4"/>
  <c r="O35" i="4" s="1"/>
  <c r="H38" i="4"/>
  <c r="F38" i="4"/>
  <c r="N39" i="4"/>
  <c r="O39" i="4" s="1"/>
  <c r="F43" i="4"/>
  <c r="G43" i="4" s="1"/>
  <c r="H43" i="4"/>
  <c r="N23" i="4"/>
  <c r="O23" i="4" s="1"/>
  <c r="H14" i="4"/>
  <c r="F14" i="4"/>
  <c r="N15" i="4"/>
  <c r="O15" i="4" s="1"/>
  <c r="H18" i="4"/>
  <c r="F18" i="4"/>
  <c r="G18" i="4" s="1"/>
  <c r="N19" i="4"/>
  <c r="O19" i="4" s="1"/>
  <c r="H22" i="4"/>
  <c r="F22" i="4"/>
  <c r="K24" i="4"/>
  <c r="G25" i="4"/>
  <c r="K28" i="4"/>
  <c r="K32" i="4"/>
  <c r="G33" i="4"/>
  <c r="G37" i="4"/>
  <c r="G59" i="4"/>
  <c r="G63" i="4"/>
  <c r="G51" i="4"/>
  <c r="K53" i="4"/>
  <c r="F42" i="4"/>
  <c r="G42" i="4" s="1"/>
  <c r="J44" i="4"/>
  <c r="F46" i="4"/>
  <c r="H47" i="4"/>
  <c r="I47" i="4" s="1"/>
  <c r="J48" i="4"/>
  <c r="F50" i="4"/>
  <c r="H51" i="4"/>
  <c r="J52" i="4"/>
  <c r="F54" i="4"/>
  <c r="H55" i="4"/>
  <c r="I55" i="4" s="1"/>
  <c r="J56" i="4"/>
  <c r="F58" i="4"/>
  <c r="H59" i="4"/>
  <c r="J60" i="4"/>
  <c r="F62" i="4"/>
  <c r="G62" i="4" s="1"/>
  <c r="H63" i="4"/>
  <c r="J64" i="4"/>
  <c r="C1" i="6"/>
  <c r="B4" i="6"/>
  <c r="A7" i="6"/>
  <c r="C9" i="6"/>
  <c r="B12" i="6"/>
  <c r="A15" i="6"/>
  <c r="C17" i="6"/>
  <c r="B20" i="6"/>
  <c r="A23" i="6"/>
  <c r="C25" i="6"/>
  <c r="B28" i="6"/>
  <c r="A31" i="6"/>
  <c r="G46" i="4"/>
  <c r="K48" i="4"/>
  <c r="G54" i="4"/>
  <c r="K56" i="4"/>
  <c r="G58" i="4"/>
  <c r="K60" i="4"/>
  <c r="K64" i="4"/>
  <c r="A2" i="6"/>
  <c r="C4" i="6"/>
  <c r="B7" i="6"/>
  <c r="A10" i="6"/>
  <c r="C12" i="6"/>
  <c r="B15" i="6"/>
  <c r="A18" i="6"/>
  <c r="C20" i="6"/>
  <c r="B23" i="6"/>
  <c r="A26" i="6"/>
  <c r="C28" i="6"/>
  <c r="B31" i="6"/>
  <c r="G50" i="4"/>
  <c r="K52" i="4"/>
  <c r="H42" i="4"/>
  <c r="H46" i="4"/>
  <c r="J47" i="4"/>
  <c r="F49" i="4"/>
  <c r="H50" i="4"/>
  <c r="F53" i="4"/>
  <c r="H54" i="4"/>
  <c r="J55" i="4"/>
  <c r="F57" i="4"/>
  <c r="H58" i="4"/>
  <c r="J59" i="4"/>
  <c r="F61" i="4"/>
  <c r="O61" i="4" s="1"/>
  <c r="H62" i="4"/>
  <c r="N65" i="4"/>
  <c r="B2" i="6"/>
  <c r="A5" i="6"/>
  <c r="C7" i="6"/>
  <c r="B10" i="6"/>
  <c r="A13" i="6"/>
  <c r="C15" i="6"/>
  <c r="B18" i="6"/>
  <c r="A21" i="6"/>
  <c r="C23" i="6"/>
  <c r="B26" i="6"/>
  <c r="A29" i="6"/>
  <c r="C31" i="6"/>
  <c r="G49" i="4"/>
  <c r="K51" i="4"/>
  <c r="G57" i="4"/>
  <c r="K59" i="4"/>
  <c r="K63" i="4"/>
  <c r="G65" i="4"/>
  <c r="C2" i="6"/>
  <c r="B5" i="6"/>
  <c r="A8" i="6"/>
  <c r="C10" i="6"/>
  <c r="B13" i="6"/>
  <c r="A16" i="6"/>
  <c r="C18" i="6"/>
  <c r="B21" i="6"/>
  <c r="A24" i="6"/>
  <c r="C26" i="6"/>
  <c r="B29" i="6"/>
  <c r="A32" i="6"/>
  <c r="G45" i="4"/>
  <c r="I45" i="4" s="1"/>
  <c r="K47" i="4"/>
  <c r="G53" i="4"/>
  <c r="I53" i="4" s="1"/>
  <c r="K55" i="4"/>
  <c r="F48" i="4"/>
  <c r="H49" i="4"/>
  <c r="F52" i="4"/>
  <c r="F56" i="4"/>
  <c r="H57" i="4"/>
  <c r="F60" i="4"/>
  <c r="G60" i="4" s="1"/>
  <c r="I60" i="4" s="1"/>
  <c r="H61" i="4"/>
  <c r="F64" i="4"/>
  <c r="G64" i="4" s="1"/>
  <c r="I64" i="4" s="1"/>
  <c r="H65" i="4"/>
  <c r="A3" i="6"/>
  <c r="C5" i="6"/>
  <c r="B8" i="6"/>
  <c r="A11" i="6"/>
  <c r="C13" i="6"/>
  <c r="B16" i="6"/>
  <c r="A19" i="6"/>
  <c r="C21" i="6"/>
  <c r="B24" i="6"/>
  <c r="A27" i="6"/>
  <c r="C29" i="6"/>
  <c r="B32" i="6"/>
  <c r="B3" i="6"/>
  <c r="A6" i="6"/>
  <c r="C8" i="6"/>
  <c r="B11" i="6"/>
  <c r="A14" i="6"/>
  <c r="C16" i="6"/>
  <c r="B19" i="6"/>
  <c r="A22" i="6"/>
  <c r="C24" i="6"/>
  <c r="B27" i="6"/>
  <c r="A30" i="6"/>
  <c r="C32" i="6"/>
  <c r="A1" i="6"/>
  <c r="C3" i="6"/>
  <c r="B6" i="6"/>
  <c r="A9" i="6"/>
  <c r="C11" i="6"/>
  <c r="B14" i="6"/>
  <c r="A17" i="6"/>
  <c r="C19" i="6"/>
  <c r="B22" i="6"/>
  <c r="A25" i="6"/>
  <c r="C27" i="6"/>
  <c r="B30" i="6"/>
  <c r="B1" i="6"/>
  <c r="A4" i="6"/>
  <c r="C6" i="6"/>
  <c r="B9" i="6"/>
  <c r="A12" i="6"/>
  <c r="C14" i="6"/>
  <c r="B17" i="6"/>
  <c r="A20" i="6"/>
  <c r="C22" i="6"/>
  <c r="B25" i="6"/>
  <c r="A28" i="6"/>
  <c r="I44" i="4" l="1"/>
  <c r="I25" i="4"/>
  <c r="I14" i="4"/>
  <c r="I28" i="4"/>
  <c r="O65" i="4"/>
  <c r="I42" i="4"/>
  <c r="I36" i="4"/>
  <c r="I29" i="4"/>
  <c r="I27" i="4"/>
  <c r="I30" i="4"/>
  <c r="O44" i="4"/>
  <c r="G61" i="4"/>
  <c r="I61" i="4" s="1"/>
  <c r="I58" i="4"/>
  <c r="O41" i="4"/>
  <c r="I50" i="4"/>
  <c r="I40" i="4"/>
  <c r="O30" i="4"/>
  <c r="I39" i="4"/>
  <c r="I20" i="4"/>
  <c r="I35" i="4"/>
  <c r="I62" i="4"/>
  <c r="I31" i="4"/>
  <c r="I37" i="4"/>
  <c r="I65" i="4"/>
  <c r="I33" i="4"/>
  <c r="I32" i="4"/>
  <c r="I41" i="4"/>
  <c r="O62" i="4"/>
  <c r="O29" i="4"/>
  <c r="I22" i="4"/>
  <c r="I21" i="4"/>
  <c r="N66" i="4"/>
  <c r="O42" i="4"/>
  <c r="I54" i="4"/>
  <c r="I18" i="4"/>
  <c r="O64" i="4"/>
  <c r="I17" i="4"/>
  <c r="I23" i="4"/>
  <c r="I19" i="4"/>
  <c r="I57" i="4"/>
  <c r="O60" i="4"/>
  <c r="I38" i="4"/>
  <c r="I51" i="4"/>
  <c r="I46" i="4"/>
  <c r="I63" i="4"/>
  <c r="I34" i="4"/>
  <c r="O18" i="4"/>
  <c r="I49" i="4"/>
  <c r="I59" i="4"/>
  <c r="I43" i="4"/>
  <c r="I24" i="4"/>
  <c r="I16" i="4"/>
  <c r="O21" i="4"/>
  <c r="I26" i="4"/>
  <c r="I15" i="4"/>
  <c r="O43" i="4"/>
  <c r="O66" i="4" l="1"/>
</calcChain>
</file>

<file path=xl/sharedStrings.xml><?xml version="1.0" encoding="utf-8"?>
<sst xmlns="http://schemas.openxmlformats.org/spreadsheetml/2006/main" count="2760" uniqueCount="969">
  <si>
    <t>Part_ID</t>
  </si>
  <si>
    <t>Category</t>
  </si>
  <si>
    <t>Description</t>
  </si>
  <si>
    <t>Value_Rating</t>
  </si>
  <si>
    <t>Package_Footprint</t>
  </si>
  <si>
    <t>Manufacturer</t>
  </si>
  <si>
    <t>MPN</t>
  </si>
  <si>
    <t>Found_In</t>
  </si>
  <si>
    <t>KiCad_References</t>
  </si>
  <si>
    <t>Source</t>
  </si>
  <si>
    <t>Review_Status</t>
  </si>
  <si>
    <t>Notes</t>
  </si>
  <si>
    <t>Duplicate_Check_Key</t>
  </si>
  <si>
    <t>ENP-00001</t>
  </si>
  <si>
    <t>Kabelsatz</t>
  </si>
  <si>
    <t>Set, SET JST-PH 4-polig 2.00mm vertikaler PCB-Stecker, Buchse THT</t>
  </si>
  <si>
    <t>JST-PH, 4-polig, Set</t>
  </si>
  <si>
    <t>JST</t>
  </si>
  <si>
    <t>EnvNode</t>
  </si>
  <si>
    <t>GPIO's</t>
  </si>
  <si>
    <t>BOM_Mainboard.xlsx</t>
  </si>
  <si>
    <t>OK</t>
  </si>
  <si>
    <t>GPIO-Anschlüsse; exakte Herstellerartikelnummer vor Bestellung gegen Footprint und Orientierung prüfen Set-Inhalt gegenüber dem separat aus KiCad abgeleiteten PCB-Header prüfen.</t>
  </si>
  <si>
    <t>SET, SET JST-PH 4-POLIG 2.00MM VERTIKALER PCB-STECKER, BUCHSE THT|</t>
  </si>
  <si>
    <t>ENP-00002</t>
  </si>
  <si>
    <t>Qwiic/JST-SH, 4-poliges Pigtail JST</t>
  </si>
  <si>
    <t>JST-SH/Qwiic, 4-polig</t>
  </si>
  <si>
    <t>I2CA0 1-3 I2C1 1-3</t>
  </si>
  <si>
    <t>Qwiic-Konvention: GND=schwarz, 3V3=rot, SDA=blau, SCL=gelb; Kabelbelegung vor Anschluss prüfen Pigtail ist ein Beschaffungsartikel und nicht der PCB-Steckverbinder.</t>
  </si>
  <si>
    <t>QWIIC/JST-SH, 4-POLIGES PIGTAIL JST|</t>
  </si>
  <si>
    <t>ENP-00003</t>
  </si>
  <si>
    <t>Steckverbinder</t>
  </si>
  <si>
    <t>PinSocket 1x4, 2.54 mm</t>
  </si>
  <si>
    <t>1x4, 2,54 mm</t>
  </si>
  <si>
    <t>PinSocket_1x04_P2.54mm_Vertical</t>
  </si>
  <si>
    <t>fischer Elektronik</t>
  </si>
  <si>
    <t>EnvNode; RainDetector</t>
  </si>
  <si>
    <t>EnvNode I2C0_4,I2C1_4; RainDetector J3,J4</t>
  </si>
  <si>
    <t>Für interne Qwiic-Breakouts; Bauhöhe und Ausführung passend zur Mechanik wählen</t>
  </si>
  <si>
    <t>10120946</t>
  </si>
  <si>
    <t>ENP-00004</t>
  </si>
  <si>
    <t>PinSocket 1x20, 2.54mm, cut to 19 Pins</t>
  </si>
  <si>
    <t>1x20, 2,54 mm, trennbar</t>
  </si>
  <si>
    <t>BL1.20 G</t>
  </si>
  <si>
    <t>ESP32</t>
  </si>
  <si>
    <t>Für ESP32-DevKitC mit 38 Pins; alternativ eine geeignete 38-Pin-ESP32-Fassung verwenden</t>
  </si>
  <si>
    <t>ENP-00005</t>
  </si>
  <si>
    <t>Widerstand</t>
  </si>
  <si>
    <t>4.7 kOhm 1% SMD 1206</t>
  </si>
  <si>
    <t>4,7 kΩ, 1 %, 250 mW</t>
  </si>
  <si>
    <t>Resistor_SMD:R_1206_3216Metric_Pad1.30x1.75mm_HandSolder</t>
  </si>
  <si>
    <t>Vishay</t>
  </si>
  <si>
    <t>CRCW12064K70FKEA</t>
  </si>
  <si>
    <t>EnvNode; EnvNodeMini Rev 0.2; AnalogInput Rev 0.1; AnalogHydroPressure</t>
  </si>
  <si>
    <t>EnvNode R1-R4; EnvNodeMini Rev 0.2 R1-R4; AnalogInput Rev 0.1 R2; AnalogHydroPressure R2</t>
  </si>
  <si>
    <t>I2C-Pull-ups für die beiden I2C-Busse</t>
  </si>
  <si>
    <t>ENP-00006</t>
  </si>
  <si>
    <t>Kondensator</t>
  </si>
  <si>
    <t>100 nF Keramik SMD</t>
  </si>
  <si>
    <t>100 nF, 10 %, X7R, 100 V</t>
  </si>
  <si>
    <t>Capacitor_SMD:C_1206_3216Metric_Pad1.33x1.80mm_HandSolder</t>
  </si>
  <si>
    <t>Kyocera</t>
  </si>
  <si>
    <t>C1206F104K1RACTU</t>
  </si>
  <si>
    <t>EnvNode; EnvNodeMini Rev 0.2; AnalogHydroPressure; RainDetector; SolarRadiation; Empty FullSize/HalfSize SMD/THT; DuoRelay Rev 0.2</t>
  </si>
  <si>
    <t>EnvNode C3,C4; EnvNodeMini Rev 0.2 C1,C4,C5; AnalogHydroPressure C1,C3,C8; RainDetector C1; SolarRadiation C1; Empty-Boards C1; DuoRelay Rev 0.2 C1</t>
  </si>
  <si>
    <t>Spannungsfestigkeit, Dielektrikum und Bauform vor Bestellung gegen Schaltplan und Footprint prüfen; C1 ist in allen vier aktuellen Empty-Schemata derzeit DNP; C1 ist im aktuellen DuoRelay-Schema derzeit DNP</t>
  </si>
  <si>
    <t>ENP-00007</t>
  </si>
  <si>
    <t>10 uF Keramik SMD</t>
  </si>
  <si>
    <t>10 µF, 25 V, X7R</t>
  </si>
  <si>
    <t>Kyocera AVX</t>
  </si>
  <si>
    <t>12063C106KAT2A</t>
  </si>
  <si>
    <t>EnvNode; EnvNodeMini Rev 0.2</t>
  </si>
  <si>
    <t>EnvNode C1; EnvNodeMini Rev 0.2 C2</t>
  </si>
  <si>
    <t>Spannungsfestigkeit, Dielektrikum und Bauform vor Bestellung gegen Schaltplan und Footprint prüfen</t>
  </si>
  <si>
    <t>ENP-00008</t>
  </si>
  <si>
    <t>47 uF 10V Tantal</t>
  </si>
  <si>
    <t>47 µF, 10 V</t>
  </si>
  <si>
    <t>Capacitor_Tantalum_SMD:CP_EIA-3528-21_Kemet-B</t>
  </si>
  <si>
    <t>TAJB476K010RNJ</t>
  </si>
  <si>
    <t>EnvNode C2; EnvNodeMini Rev 0.2 C3</t>
  </si>
  <si>
    <t>Polarisiert; Bauform B</t>
  </si>
  <si>
    <t>ENP-00009</t>
  </si>
  <si>
    <t>Spannungsregler</t>
  </si>
  <si>
    <t>LDO 3.3V SOT-223</t>
  </si>
  <si>
    <t>3,3 V, 1 A</t>
  </si>
  <si>
    <t>Package_TO_SOT_SMD:SOT-223-3_TabPin2</t>
  </si>
  <si>
    <t>Texas Instruments</t>
  </si>
  <si>
    <t>LM3940IMP-3.3/NOPB</t>
  </si>
  <si>
    <t>EnvNode U1; EnvNodeMini Rev 0.2 U3</t>
  </si>
  <si>
    <t>Footprint und thermische Auslegung vor Bestückung prüfen</t>
  </si>
  <si>
    <t>ENP-00010</t>
  </si>
  <si>
    <t>Entwicklungsmodul</t>
  </si>
  <si>
    <t>ESP32-DevKitC</t>
  </si>
  <si>
    <t>38 Pin</t>
  </si>
  <si>
    <t>PCM_Espressif:ESP32-DevKitC</t>
  </si>
  <si>
    <t>Espressif Systems</t>
  </si>
  <si>
    <t>EnvNode U2; EnvNodeMini Rev 0.2 U1</t>
  </si>
  <si>
    <t>Exakte Modulvariante und Pinout vor Bestückung prüfen Hersteller/MPN aus verschobenen Altdaten korrigiert; genaue DevKitC-Variante fehlt.</t>
  </si>
  <si>
    <t>ESP32-DEVKITC|PCM_ESPRESSIF:ESP32-DEVKITC</t>
  </si>
  <si>
    <t>ENP-00011</t>
  </si>
  <si>
    <t>PCB</t>
  </si>
  <si>
    <t>EnvNode Mainboard Rev 0.1</t>
  </si>
  <si>
    <t>Revision 0.1</t>
  </si>
  <si>
    <t>JLCPCB</t>
  </si>
  <si>
    <t>Unbestückte Leiterplatte; SMD-Lötjumper sind PCB-Strukturen und keine Kaufteile Historische PCB-Revision; aktueller KiCad-Stand ist Revision 0.2.</t>
  </si>
  <si>
    <t>ENVNODE MAINBOARD REV 0.1|</t>
  </si>
  <si>
    <t>ENP-00012</t>
  </si>
  <si>
    <t>JST - Stiftleiste, gerade, 1x2-polig - PH</t>
  </si>
  <si>
    <t>JST-PH, 2-polig, 2,00 mm</t>
  </si>
  <si>
    <t>Connector_JST:JST_PH_B2B-PH-K_1x02_P2.00mm_Vertical</t>
  </si>
  <si>
    <t>B2B-PH-K-S</t>
  </si>
  <si>
    <t>EnvNode J1; EnvNodeMini Rev 0.2 J1</t>
  </si>
  <si>
    <t>ENP-00013</t>
  </si>
  <si>
    <t>MOSFET</t>
  </si>
  <si>
    <t>MOSFET, N-Ch 30V 5,7A 0,018R, SOT-23</t>
  </si>
  <si>
    <t>N-Kanal, 30 V, 5,7 A</t>
  </si>
  <si>
    <t>Package_TO_SOT_SMD:SOT-23</t>
  </si>
  <si>
    <t>Alpha&amp;Omega Semiconductor</t>
  </si>
  <si>
    <t>AO3400A</t>
  </si>
  <si>
    <t>RainDetector</t>
  </si>
  <si>
    <t>Q1</t>
  </si>
  <si>
    <t>ENP-00014</t>
  </si>
  <si>
    <t>Sensormodul</t>
  </si>
  <si>
    <t>Arduino - Temperatur- &amp; Feuchtigkeitssensor, SHTC3</t>
  </si>
  <si>
    <t>SHTC3 Breakout</t>
  </si>
  <si>
    <t>Soldered</t>
  </si>
  <si>
    <t>Sensor</t>
  </si>
  <si>
    <t>333032</t>
  </si>
  <si>
    <t>ENP-00015</t>
  </si>
  <si>
    <t>Entwicklerboards - ADC, 4 Kanal, 16-Bit, ADS1115</t>
  </si>
  <si>
    <t>ADS1115 Breakout, 4 Kanal, 16 Bit</t>
  </si>
  <si>
    <t>A/D Wandler</t>
  </si>
  <si>
    <t>333095</t>
  </si>
  <si>
    <t>ENP-00016</t>
  </si>
  <si>
    <t>SMD-Widerstand, 1206, 100 kOhm, 250 mW, 0,1%</t>
  </si>
  <si>
    <t>100 kΩ, 0,1 %, 250 mW</t>
  </si>
  <si>
    <t>Panasonic</t>
  </si>
  <si>
    <t>ERA8AEB104V</t>
  </si>
  <si>
    <t>RainDetector; DuoRelay; AnalogHydroPressure</t>
  </si>
  <si>
    <t>RainDetector R2,R4; DuoRelay R3,R4; AnalogHydroPressure R7</t>
  </si>
  <si>
    <t>Lieferanten-Bestellnummer in der Altdatei enthält vermischte Angaben.</t>
  </si>
  <si>
    <t>ENP-00017</t>
  </si>
  <si>
    <t>SMD-Widerstand, 1206, 100 Ohm, 250 mW, 5%</t>
  </si>
  <si>
    <t>100 Ω, 5 %, 250 mW</t>
  </si>
  <si>
    <t>YAGEO</t>
  </si>
  <si>
    <t>RC1206JR-07100RL</t>
  </si>
  <si>
    <t>RainDetector; SolarRadiation</t>
  </si>
  <si>
    <t>RainDetector R1; SolarRadiation R2</t>
  </si>
  <si>
    <t>ENP-00018</t>
  </si>
  <si>
    <t>SMD-Widerstand, 1206, 10 kOhm, 250 mW, 0,1%</t>
  </si>
  <si>
    <t>10 kΩ, 0,1 %, 250 mW</t>
  </si>
  <si>
    <t>ERA8AEB103V</t>
  </si>
  <si>
    <t>R3</t>
  </si>
  <si>
    <t>Offensichtlich zusammengesetzte MPN aus Altdaten normalisiert.</t>
  </si>
  <si>
    <t>ENP-00019</t>
  </si>
  <si>
    <t>Stiftleiste, 8-polig, Raster 2,54mm</t>
  </si>
  <si>
    <t>1x8, 2,54 mm</t>
  </si>
  <si>
    <t>Connector_PinHeader_2.54mm:PinHeader_1x08_P2.54mm_Vertical</t>
  </si>
  <si>
    <t>BKL Electronic</t>
  </si>
  <si>
    <t>J1,J2</t>
  </si>
  <si>
    <t>10120505</t>
  </si>
  <si>
    <t>ENP-00020</t>
  </si>
  <si>
    <t>IC</t>
  </si>
  <si>
    <t>Timer-IC, Typ 555, SO-8</t>
  </si>
  <si>
    <t>CMOS 555</t>
  </si>
  <si>
    <t>Package_SO:SOIC-8_3.9x4.9mm_P1.27mm</t>
  </si>
  <si>
    <t>Renesas</t>
  </si>
  <si>
    <t>ICM7555IBAZ</t>
  </si>
  <si>
    <t>U1</t>
  </si>
  <si>
    <t>ENP-00021</t>
  </si>
  <si>
    <t>PinSocket 1x8, 2,54mm SMD</t>
  </si>
  <si>
    <t>1x8, 2,54 mm, SMD</t>
  </si>
  <si>
    <t>BL 3 8 G</t>
  </si>
  <si>
    <t>Stall.biz/Weatherman-Detektorplatine</t>
  </si>
  <si>
    <t>Mechanischer Gegenstecker zu RainDetector J1/J2; nicht im RainDetector-KiCad geführt</t>
  </si>
  <si>
    <t>BOM_Mainboard.xlsx; Nutzerklärung 2026-09-01</t>
  </si>
  <si>
    <t>1×8-SMD-Buchsenleiste sitzt physisch auf der Stall.biz/Weatherman-Detektorplatine. Auf der RainDetector-Platine werden für J1/J2 die 1×8-THT-Stiftleisten ENP-00019 bestückt.</t>
  </si>
  <si>
    <t>ENP-00022</t>
  </si>
  <si>
    <t>SMD-Widerstand, 1206, 47 Ohm, 250 mW, 5%</t>
  </si>
  <si>
    <t>47 Ω</t>
  </si>
  <si>
    <t>RND components</t>
  </si>
  <si>
    <t>RND 1551206S4J0470T5E</t>
  </si>
  <si>
    <t>Detector</t>
  </si>
  <si>
    <t>ENP-00023</t>
  </si>
  <si>
    <t>Relais</t>
  </si>
  <si>
    <t>Steck-Printrelais, 1 CO, 6 A, 5 V DC sensitiv</t>
  </si>
  <si>
    <t>5 V, 1 Wechsler, 6 A</t>
  </si>
  <si>
    <t>Relay_THT:Relay_SPDT_Finder_34.51_Vertical</t>
  </si>
  <si>
    <t>finder</t>
  </si>
  <si>
    <t>34.51.7.005.0010</t>
  </si>
  <si>
    <t>DuoRelay</t>
  </si>
  <si>
    <t>K1,K2</t>
  </si>
  <si>
    <t>ENP-00024</t>
  </si>
  <si>
    <t>I²C-EEPROM 2 Kbit mit vorprogrammierter EUI-64 und zwei Adresspins</t>
  </si>
  <si>
    <t>2 Kbit, I²C, EUI-64, A0/A1, 1,7–5,5 V</t>
  </si>
  <si>
    <t>Package_TO_SOT_SMD:SOT-23-6</t>
  </si>
  <si>
    <t>Microchip Technology</t>
  </si>
  <si>
    <t>24AA025E64T-I/OT</t>
  </si>
  <si>
    <t>EnvNode; EnvNodeMini Rev 0.2; Empty FullSize/HalfSize SMD/THT; DuoRelay; AnalogHydroPressure</t>
  </si>
  <si>
    <t>EnvNode U3; EnvNodeMini Rev 0.2 U2; Empty-Boards U1; DuoRelay U1; AnalogHydroPressure U1</t>
  </si>
  <si>
    <t>KiCad; Microchip datasheet DS20002124G; DigiKey Produktseite, abgerufen 2026-09-02</t>
  </si>
  <si>
    <t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 Bezug als Cut Tape bei DigiKey; keine parametrischen Ersatztypen ohne vorprogrammierte EUI-64 verwenden.</t>
  </si>
  <si>
    <t>ENP-00025</t>
  </si>
  <si>
    <t>JST-PH Stiftleiste, 4-polig, vertikal</t>
  </si>
  <si>
    <t>4-polig, 2,00 mm</t>
  </si>
  <si>
    <t>Connector_JST:JST_PH_B4B-PH-K_1x04_P2.00mm_Vertical</t>
  </si>
  <si>
    <t>B4B-PH-K-S</t>
  </si>
  <si>
    <t>GPIO4, GPIO13-19, GPIO23, GPIO32-36, GPIO39</t>
  </si>
  <si>
    <t>KiCad</t>
  </si>
  <si>
    <t>Mögliche Überschneidung mit dem vorhandenen JST-PH-Set prüfen.</t>
  </si>
  <si>
    <t>ENP-00026</t>
  </si>
  <si>
    <t>JST-SH Stiftleiste, 4-polig, horizontal</t>
  </si>
  <si>
    <t>4-polig, 1,00 mm</t>
  </si>
  <si>
    <t>Connector_JST:JST_SH_SM04B-SRSS-TB_1x04-1MP_P1.00mm_Horizontal</t>
  </si>
  <si>
    <t>SM04B-SRSS-TB</t>
  </si>
  <si>
    <t>EnvNode; EnvNodeMini Rev 0.2; SolarRadiation</t>
  </si>
  <si>
    <t>EnvNode I2C0_1-3,I2C1_1-3; EnvNodeMini Rev 0.2 J4,J5; SolarRadiation I2C1</t>
  </si>
  <si>
    <t>MPN-Suffix und Verpackungsform festlegen; nicht mit Qwiic-Pigtail zusammenführen.</t>
  </si>
  <si>
    <t>ENP-00027</t>
  </si>
  <si>
    <t>16-Bit ADC mit I²C</t>
  </si>
  <si>
    <t>ADS1115IDGS</t>
  </si>
  <si>
    <t>Package_SO:TSSOP-10_3x3mm_P0.5mm</t>
  </si>
  <si>
    <t>AnalogInput; SolarRadiation; AnalogHydroPressure</t>
  </si>
  <si>
    <t>jeweils U1; AnalogHydroPressure U2</t>
  </si>
  <si>
    <t>Nicht mit dem vorhandenen ADS1115-Entwicklungsboard zusammenführen.</t>
  </si>
  <si>
    <t>ENP-00028</t>
  </si>
  <si>
    <t>Keramikkondensator 1 µF SMD</t>
  </si>
  <si>
    <t>1 µF</t>
  </si>
  <si>
    <t>12065C105JAT2A</t>
  </si>
  <si>
    <t>AnalogInput; AnalogHydroPressure</t>
  </si>
  <si>
    <t>C1; AnalogHydroPressure C4,C7</t>
  </si>
  <si>
    <t>ENP-00029</t>
  </si>
  <si>
    <t>Diode</t>
  </si>
  <si>
    <t>Dual-Schottky-Diode BAT54S</t>
  </si>
  <si>
    <t>BAT54S</t>
  </si>
  <si>
    <t>Diotec</t>
  </si>
  <si>
    <t>D1; AnalogHydroPressure D1</t>
  </si>
  <si>
    <t>Aktuelles AnalogHydroPressure verwendet SOT-23 und stimmt damit mit dem Artikel-Footprint überein; Gehäuse der bestellten Variante dennoch prüfen.</t>
  </si>
  <si>
    <t>ENP-00030</t>
  </si>
  <si>
    <t>Buchsenleiste 2x4, vertikal</t>
  </si>
  <si>
    <t>2x4, 2,54 mm</t>
  </si>
  <si>
    <t>PinSocket_2x04_P2.54mm_Vertical / EnvNode Bottom-Variante</t>
  </si>
  <si>
    <t>Legacy Rev 0.1: EnvNodeMini; AnalogInput; DuoRelay</t>
  </si>
  <si>
    <t>AnalogInput J1,J2; DuoRelay J1,J2; EnvNodeMini J1,J2,J4,J5</t>
  </si>
  <si>
    <t>Legacy</t>
  </si>
  <si>
    <t>Legacy-Artikel für die Modulsteckverbindung Rev 0.1; nicht für die aktuellen 2x7-Steckplätze verwenden.</t>
  </si>
  <si>
    <t>BUCHSENLEISTE 2X4, VERTIKAL|PINSOCKET_2X04_P2.54MM_VERTICAL / ENVNODE BOTTOM-VARIANTE</t>
  </si>
  <si>
    <t>ENP-00031</t>
  </si>
  <si>
    <t>Buchsenleiste 1x2, vertikal</t>
  </si>
  <si>
    <t>1x2, 2,54 mm</t>
  </si>
  <si>
    <t>Connector_PinSocket_2.54mm:PinSocket_1x02_P2.54mm_Vertical</t>
  </si>
  <si>
    <t>J3; AnalogHydroPressure J3</t>
  </si>
  <si>
    <t>BUCHSENLEISTE 1X2, VERTIKAL|CONNECTOR_PINSOCKET_2.54MM:PINSOCKET_1X02_P2.54MM_VERTICAL</t>
  </si>
  <si>
    <t>ENP-00032</t>
  </si>
  <si>
    <t>Widerstand, Metallschicht, 150 Ohm, 0207, 250 mW, 0,1%</t>
  </si>
  <si>
    <t>150 Ω, 0,1 %, ≤25 ppm/K, &gt;0,125 W</t>
  </si>
  <si>
    <t>Resistor_THT:R_Axial_DIN0207_L6.3mm_D2.5mm_P7.62mm_Horizontal</t>
  </si>
  <si>
    <t>Arcol</t>
  </si>
  <si>
    <t>MRA0207 150R B 15PPM TA</t>
  </si>
  <si>
    <t>R1; AnalogHydroPressure R3</t>
  </si>
  <si>
    <t>ENP-00033</t>
  </si>
  <si>
    <t>Schnelle Schaltdiode 1N4148W</t>
  </si>
  <si>
    <t>1N4148W</t>
  </si>
  <si>
    <t>Diode_SMD:D_SOD-123</t>
  </si>
  <si>
    <t>D1,D2</t>
  </si>
  <si>
    <t>ENP-00034</t>
  </si>
  <si>
    <t>Schraubklemme 1x3, horizontal</t>
  </si>
  <si>
    <t>3-polig, 5,08 mm</t>
  </si>
  <si>
    <t>TerminalBlock_Phoenix:TerminalBlock_Phoenix_MKDS-3-3-5.08_1x03_P5.08mm_Horizontal</t>
  </si>
  <si>
    <t>Phoenix Contact</t>
  </si>
  <si>
    <t>J3,J4</t>
  </si>
  <si>
    <t>Exakte Hersteller-MPN ergänzen.</t>
  </si>
  <si>
    <t>SCHRAUBKLEMME 1X3, HORIZONTAL|TERMINALBLOCK_PHOENIX:TERMINALBLOCK_PHOENIX_MKDS-3-3-5.08_1X03_P5.08MM_HORIZONTAL</t>
  </si>
  <si>
    <t>ENP-00035</t>
  </si>
  <si>
    <t>Transistor</t>
  </si>
  <si>
    <t>NPN-Transistor BC817</t>
  </si>
  <si>
    <t>BC817</t>
  </si>
  <si>
    <t>Package_TO_SOT_SMD:SOT-23_Handsoldering</t>
  </si>
  <si>
    <t>Q1,Q2</t>
  </si>
  <si>
    <t>ENP-00036</t>
  </si>
  <si>
    <t>Widerstand 1 kΩ SMD</t>
  </si>
  <si>
    <t>1 kΩ</t>
  </si>
  <si>
    <t>CRCW12061K00FKEA</t>
  </si>
  <si>
    <t>R1,R2</t>
  </si>
  <si>
    <t>ENP-00037</t>
  </si>
  <si>
    <t>Elektrolytkondensator 47 µF radial</t>
  </si>
  <si>
    <t>47 µF, 50 V</t>
  </si>
  <si>
    <t>Capacitor_SMD:CP_Elec_6.3x7.7</t>
  </si>
  <si>
    <t>Europe ChemiCon</t>
  </si>
  <si>
    <t>HHXC500ARA470MHA0G</t>
  </si>
  <si>
    <t>EnvNodeMini Rev 0.1</t>
  </si>
  <si>
    <t>EnvNodeMini Rev 0.1 C1</t>
  </si>
  <si>
    <t>ENP-00038</t>
  </si>
  <si>
    <t>Schottky-Diode STPS3L60S</t>
  </si>
  <si>
    <t>B360B-13-F</t>
  </si>
  <si>
    <t>Diode_SMD:D_SMB_Handsoldering</t>
  </si>
  <si>
    <t>Diodes</t>
  </si>
  <si>
    <t>STPS3L60S</t>
  </si>
  <si>
    <t>EnvNodeMini Rev 0.1 D1</t>
  </si>
  <si>
    <t>ENP-00039</t>
  </si>
  <si>
    <t>Schutzdiode</t>
  </si>
  <si>
    <t>TVS-Diode SMBJ24A</t>
  </si>
  <si>
    <t>24 V</t>
  </si>
  <si>
    <t>Littelfuse</t>
  </si>
  <si>
    <t>SMBJ24A</t>
  </si>
  <si>
    <t>EnvNodeMini Rev 0.1 D2</t>
  </si>
  <si>
    <t>ENP-00040</t>
  </si>
  <si>
    <t>Sicherung</t>
  </si>
  <si>
    <t>Sicherung 2 A</t>
  </si>
  <si>
    <t>2 A</t>
  </si>
  <si>
    <t>Fuse:Fuse_Littelfuse-NANO2-451_453</t>
  </si>
  <si>
    <t>EnvNodeMini Rev 0.1 F1</t>
  </si>
  <si>
    <t>Exakte Serie/MPN und Auslösecharakteristik ergänzen.</t>
  </si>
  <si>
    <t>SICHERUNG 2 A|FUSE:FUSE_LITTELFUSE-NANO2-451_453</t>
  </si>
  <si>
    <t>ENP-00041</t>
  </si>
  <si>
    <t>Schraubklemme 1x2, horizontal</t>
  </si>
  <si>
    <t>2-polig, 5,00 mm</t>
  </si>
  <si>
    <t>TerminalBlock_RND:TerminalBlock_RND_205-00001_1x02_P5.00mm_Horizontal</t>
  </si>
  <si>
    <t>RND</t>
  </si>
  <si>
    <t>205-00001</t>
  </si>
  <si>
    <t>EnvNodeMini Rev 0.1 J3</t>
  </si>
  <si>
    <t>ENP-00042</t>
  </si>
  <si>
    <t>DC/DC-Wandler</t>
  </si>
  <si>
    <t>Schaltreglermodul 5 V</t>
  </si>
  <si>
    <t>TSR 1-2450</t>
  </si>
  <si>
    <t>Converter_DCDC:Converter_DCDC_TRACO_TSR-1_THT</t>
  </si>
  <si>
    <t>Traco Power</t>
  </si>
  <si>
    <t>EnvNodeMini Rev 0.1 U3</t>
  </si>
  <si>
    <t>ENP-00043</t>
  </si>
  <si>
    <t>Schaltreglermodul 3,3 V</t>
  </si>
  <si>
    <t>TSR 1-2433</t>
  </si>
  <si>
    <t>EnvNodeMini Rev 0.1 U4</t>
  </si>
  <si>
    <t>KiCad-Library-ID basiert auf TSR_1-2450; Wert und tatsächliches Teil prüfen.</t>
  </si>
  <si>
    <t>ENP-00044</t>
  </si>
  <si>
    <t>Keramikkondensator 10 nF SMD</t>
  </si>
  <si>
    <t>10 nF</t>
  </si>
  <si>
    <t>12061C103JAT2A</t>
  </si>
  <si>
    <t>SolarRadiation</t>
  </si>
  <si>
    <t>C2</t>
  </si>
  <si>
    <t>ENP-00045</t>
  </si>
  <si>
    <t>Widerstand, Metallschicht, 2 Ohm, 0207, 600 mW, 0,1%</t>
  </si>
  <si>
    <t>2 Ω</t>
  </si>
  <si>
    <t>Yageo</t>
  </si>
  <si>
    <t>MF0207FTE52-2R</t>
  </si>
  <si>
    <t>R1</t>
  </si>
  <si>
    <t>ENP-00046</t>
  </si>
  <si>
    <t>Solarzelle</t>
  </si>
  <si>
    <t>Solarzelle KXOB25-14X1F-TB</t>
  </si>
  <si>
    <t>KXOB25-14X1F-TB</t>
  </si>
  <si>
    <t>EnvNode-Footprints:KXOB25-14X1F</t>
  </si>
  <si>
    <t>SC1</t>
  </si>
  <si>
    <t>Prüfen</t>
  </si>
  <si>
    <t>ENP-00047</t>
  </si>
  <si>
    <t>Sensor-IC</t>
  </si>
  <si>
    <t>Temperatursensor TMP100</t>
  </si>
  <si>
    <t>TMP100</t>
  </si>
  <si>
    <t>U2</t>
  </si>
  <si>
    <t>Vollständige bestellbare MPN einschließlich Genauigkeits-/Gehäusevariante ergänzen.</t>
  </si>
  <si>
    <t>ENP-00048</t>
  </si>
  <si>
    <t>EnvNode Mainboard PCB</t>
  </si>
  <si>
    <t>Revision 0.2</t>
  </si>
  <si>
    <t>PCB: EnvNode.kicad_pcb</t>
  </si>
  <si>
    <t>Aktueller KiCad-Stand; Fertiger und konkrete Fertigungsvariante festlegen.</t>
  </si>
  <si>
    <t>ENVNODE MAINBOARD PCB|PCB: ENVNODE.KICAD_PCB</t>
  </si>
  <si>
    <t>ENP-00049</t>
  </si>
  <si>
    <t>EnvNode Mini PCB</t>
  </si>
  <si>
    <t>PCB: EnvNodeMini.kicad_pcb</t>
  </si>
  <si>
    <t>Legacy-Leiterplatte Revision 0.1; für Revision 0.2 existiert ein eigener Artikel.</t>
  </si>
  <si>
    <t>ENVNODE MINI PCB|PCB: ENVNODEMINI.KICAD_PCB</t>
  </si>
  <si>
    <t>ENP-00050</t>
  </si>
  <si>
    <t>AnalogInput HalfSize PCB</t>
  </si>
  <si>
    <t>PCB: AnalogInput.kicad_pcb</t>
  </si>
  <si>
    <t>AnalogInput</t>
  </si>
  <si>
    <t>Fertiger und konkrete Fertigungsvariante festlegen.</t>
  </si>
  <si>
    <t>ANALOGINPUT HALFSIZE PCB|PCB: ANALOGINPUT.KICAD_PCB</t>
  </si>
  <si>
    <t>ENP-00051</t>
  </si>
  <si>
    <t>DuoRelay FullSize PCB Rev 0.1</t>
  </si>
  <si>
    <t>PCB: DuoRelay.kicad_pcb</t>
  </si>
  <si>
    <t>DuoRelay Rev 0.1</t>
  </si>
  <si>
    <t>Legacy-Leiterplatte Revision 0.1; der aktuelle KiCad-Stand ist Revision 0.2 und besitzt einen eigenen Artikel.</t>
  </si>
  <si>
    <t>DUORELAY FULLSIZE PCB REV 0.1|PCB: DUORELAY.KICAD_PCB</t>
  </si>
  <si>
    <t>ENP-00052</t>
  </si>
  <si>
    <t>SolarRadiation PCB</t>
  </si>
  <si>
    <t>PCB: SolarRadiation.kicad_pcb</t>
  </si>
  <si>
    <t>SOLARRADIATION PCB|PCB: SOLARRADIATION.KICAD_PCB</t>
  </si>
  <si>
    <t>ENP-00053</t>
  </si>
  <si>
    <t>RainDetector PCB</t>
  </si>
  <si>
    <t>Revision 1.0</t>
  </si>
  <si>
    <t>PCB: Raindetector.kicad_pcb</t>
  </si>
  <si>
    <t>RAINDETECTOR PCB|PCB: RAINDETECTOR.KICAD_PCB</t>
  </si>
  <si>
    <t>ENP-00054</t>
  </si>
  <si>
    <t>Buchsenleiste 2x7, 2,54 mm, vertikal</t>
  </si>
  <si>
    <t>2x7, 2,54 mm, THT, vertikal, vergoldet, Bauhöhe 8,4 mm</t>
  </si>
  <si>
    <t>Connector_PinSocket_2.54mm:PinSocket_2x07_P2.54mm_Vertical</t>
  </si>
  <si>
    <t>Würth Elektronik</t>
  </si>
  <si>
    <t>61301421821</t>
  </si>
  <si>
    <t>EnvNodeMini Rev 0.2</t>
  </si>
  <si>
    <t>J2,J3</t>
  </si>
  <si>
    <t>KiCad; Würth Produktkatalog; DigiKey, abgerufen 2026-09-01</t>
  </si>
  <si>
    <t>Würth WR-PHD Dual Socket Header, 14 Kontakte, 2,54 mm, THT, vergoldet, 3 A/250 V AC. Der generische KiCad-Footprint bildet Raster und THT-Anordnung ab; Gehäusekontur/Courtyard sind nicht herstellerspezifisch.</t>
  </si>
  <si>
    <t>BUCHSENLEISTE 2X7 2,54 MM VERTIKAL|CONNECTOR_PINSOCKET_2.54MM:PINSOCKET_2X07_P2.54MM_VERTICAL</t>
  </si>
  <si>
    <t>ENP-00055</t>
  </si>
  <si>
    <t>Schottky-Diode SS14, SMA</t>
  </si>
  <si>
    <t>SS14, 1 A, 40 V, UF max. 0,5 V, IFSM 40 A</t>
  </si>
  <si>
    <t>Diode_SMD:D_SMA</t>
  </si>
  <si>
    <t>SS14-E3/61T</t>
  </si>
  <si>
    <t>KiCad; Vishay; Reichelt, abgerufen 2026-09-01</t>
  </si>
  <si>
    <t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t>
  </si>
  <si>
    <t>ENP-00056</t>
  </si>
  <si>
    <t>Elektrolytkondensator 10 µF SMD</t>
  </si>
  <si>
    <t>10 µF, ±20 %, 25 V, 85 °C, 2000 h</t>
  </si>
  <si>
    <t>Capacitor_SMD:CP_Elec_5x5.4</t>
  </si>
  <si>
    <t>EEE1EA100SR</t>
  </si>
  <si>
    <t>C6</t>
  </si>
  <si>
    <t>KiCad; Panasonic; Reichelt, abgerufen 2026-09-01</t>
  </si>
  <si>
    <t>Panasonic SMD-Aluminium-Elektrolytkondensator, 10 µF ±20 %, 25 V, 85 °C, 2000 h. Abmessungen Ø 5,0 × 5,4 mm passen exakt zum zugewiesenen KiCad-Footprint. C6 liegt zwischen +3V3_SYS und GND; 25 V bieten deutliche Spannungsreserve. Polarität beachten.</t>
  </si>
  <si>
    <t>ENP-00057</t>
  </si>
  <si>
    <t>EnvNode Mini PCB Rev 0.2</t>
  </si>
  <si>
    <t>PCB: MainBoards/EnvNode Mini/EnvNode Mini.kicad_pcb</t>
  </si>
  <si>
    <t>ENVNODE MINI PCB REV 0.2|PCB: MAINBOARDS/ENVNODE MINI/ENVNODE MINI.KICAD_PCB</t>
  </si>
  <si>
    <t>ENP-00058</t>
  </si>
  <si>
    <t>Stiftleiste 2x7, 2,54 mm, SMD</t>
  </si>
  <si>
    <t>2x7, 2,54 mm, SMD, vertikal, vergoldet, 6,0 mm Stecklänge</t>
  </si>
  <si>
    <t>EnvNode-Footprints:J_Wurth_WR-PHD_61031421121</t>
  </si>
  <si>
    <t>61031421121</t>
  </si>
  <si>
    <t>Empty FullSize/HalfSize SMD</t>
  </si>
  <si>
    <t>J1</t>
  </si>
  <si>
    <t>KiCad; Würth Datenblatt; DigiKey, abgerufen 2026-09-01</t>
  </si>
  <si>
    <t>Würth WR-PHD SMD-Stiftleiste, 14 Kontakte, 2,54 mm, vergoldet, 3 A/250 V. Exakter Artikel für den Projekt-Footprint J_Wurth_WR-PHD_61031421121. Einzelpreis Gurtabschnitt, Stand 2026-09-01; Preis und Verfügbarkeit vor Bestellung prüfen.</t>
  </si>
  <si>
    <t>ENP-00059</t>
  </si>
  <si>
    <t>Stiftleiste 2x7, 2,54 mm, vertikal, Bottom-Mount</t>
  </si>
  <si>
    <t>2x7, 2,54 mm, THT, vertikal, vergoldet, 6,1 mm Stecklänge, 3,0 mm Lötstift</t>
  </si>
  <si>
    <t>EnvNode-Footprints:PinHeader_2x07_P2.54mm_Vertical_Bottom</t>
  </si>
  <si>
    <t>ECON Connect</t>
  </si>
  <si>
    <t>SL14G2</t>
  </si>
  <si>
    <t>Empty FullSize/HalfSize THT; DuoRelay Rev 0.2; AnalogHydroPressure</t>
  </si>
  <si>
    <t>J1; DuoRelay Rev 0.2 J1; AnalogHydroPressure J1</t>
  </si>
  <si>
    <t>KiCad; ECON Connect Datenblatt; Reichelt, abgerufen 2026-09-01</t>
  </si>
  <si>
    <t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t>
  </si>
  <si>
    <t>STIFTLEISTE 2X7 2,54 MM THT BOTTOM|ENVNODE-FOOTPRINTS:PINHEADER_2X07_P2.54MM_VERTICAL_BOTTOM</t>
  </si>
  <si>
    <t>ENP-00060</t>
  </si>
  <si>
    <t>Empty FullSize SMD PCB</t>
  </si>
  <si>
    <t>Revision offen</t>
  </si>
  <si>
    <t>PCB: Modules/FullSize/Empty-SMD/Empty-SMD.kicad_pcb</t>
  </si>
  <si>
    <t>Empty FullSize SMD</t>
  </si>
  <si>
    <t>Aktueller KiCad-Stand; Revision, Fertiger und konkrete Fertigungsvariante festlegen.</t>
  </si>
  <si>
    <t>EMPTY FULLSIZE SMD PCB|PCB: MODULES/FULLSIZE/EMPTY-SMD/EMPTY-SMD.KICAD_PCB</t>
  </si>
  <si>
    <t>ENP-00061</t>
  </si>
  <si>
    <t>Empty FullSize THT PCB</t>
  </si>
  <si>
    <t>PCB: Modules/FullSize/Empty-THT/Empty-THT.kicad_pcb</t>
  </si>
  <si>
    <t>Empty FullSize THT</t>
  </si>
  <si>
    <t>EMPTY FULLSIZE THT PCB|PCB: MODULES/FULLSIZE/EMPTY-THT/EMPTY-THT.KICAD_PCB</t>
  </si>
  <si>
    <t>ENP-00062</t>
  </si>
  <si>
    <t>Empty HalfSize SMD PCB</t>
  </si>
  <si>
    <t>PCB: Modules/HalfSize/Empty-SMD/Empty-SMD.kicad_pcb</t>
  </si>
  <si>
    <t>Empty HalfSize SMD</t>
  </si>
  <si>
    <t>EMPTY HALFSIZE SMD PCB|PCB: MODULES/HALFSIZE/EMPTY-SMD/EMPTY-SMD.KICAD_PCB</t>
  </si>
  <si>
    <t>ENP-00063</t>
  </si>
  <si>
    <t>Empty HalfSize THT PCB</t>
  </si>
  <si>
    <t>PCB: Modules/HalfSize/Empty-THT/Empty-THT.kicad_pcb</t>
  </si>
  <si>
    <t>Empty HalfSize THT</t>
  </si>
  <si>
    <t>EMPTY HALFSIZE THT PCB|PCB: MODULES/HALFSIZE/EMPTY-THT/EMPTY-THT.KICAD_PCB</t>
  </si>
  <si>
    <t>ENP-00064</t>
  </si>
  <si>
    <t>LED</t>
  </si>
  <si>
    <t>LED SMD 1206, rot</t>
  </si>
  <si>
    <t>Hyperrot, 645 nm, 250 mcd, 140°, Vf 2,0–2,5 V, IF max. 30 mA</t>
  </si>
  <si>
    <t>LED_SMD:LED_1206_3216Metric_Pad1.42x1.75mm_HandSolder</t>
  </si>
  <si>
    <t>Kingbright</t>
  </si>
  <si>
    <t>KP-3216SURC</t>
  </si>
  <si>
    <t>DuoRelay Rev 0.2</t>
  </si>
  <si>
    <t>D3,D4</t>
  </si>
  <si>
    <t>KiCad; Kingbright; Reichelt, abgerufen 2026-09-01</t>
  </si>
  <si>
    <t>Kingbright SMD-LED im 1206-/3216-Gehäuse, hyperrot, 250 mcd, 140° Abstrahlwinkel, Bauhöhe 1,1 mm. Im DuoRelay liegen D3/D4 über je 1,5 kΩ an +5 V; bei etwa 2 V Vorwärtsspannung fließen rund 2 mA.</t>
  </si>
  <si>
    <t>ENP-00065</t>
  </si>
  <si>
    <t>Widerstand 1,5 kΩ SMD</t>
  </si>
  <si>
    <t>1,5 kΩ, 1 %, 0,25 W, 1206</t>
  </si>
  <si>
    <t>CRCW12061K50FKEA</t>
  </si>
  <si>
    <t>R5,R6</t>
  </si>
  <si>
    <t>KiCad; Reichelt, abgerufen 2026-09-01</t>
  </si>
  <si>
    <t>Exakt passend als Vorwiderstand der Relais-LEDs. Einzelpreis, Stand 2026-09-01; Preis und Verfügbarkeit vor Bestellung prüfen.</t>
  </si>
  <si>
    <t>1,5 KOHM|RESISTOR_SMD:R_1206_3216METRIC_PAD1.30X1.75MM_HANDSOLDER</t>
  </si>
  <si>
    <t>ENP-00066</t>
  </si>
  <si>
    <t>DuoRelay FullSize PCB Rev 0.2</t>
  </si>
  <si>
    <t>PCB: Modules/FullSize/DuoRelay/DuoRelay.kicad_pcb</t>
  </si>
  <si>
    <t>DUORELAY FULLSIZE PCB REV 0.2|PCB: MODULES/FULLSIZE/DUORELAY/DUORELAY.KICAD_PCB</t>
  </si>
  <si>
    <t>ENP-00067</t>
  </si>
  <si>
    <t>Keramikkondensator 4,7 µF SMD</t>
  </si>
  <si>
    <t>4,7 µF, 25 V, X7R, ±10 %, 1206</t>
  </si>
  <si>
    <t>Samsung Electro-Mechanics</t>
  </si>
  <si>
    <t>CL31B475KAHNNNE</t>
  </si>
  <si>
    <t>AnalogHydroPressure</t>
  </si>
  <si>
    <t>25-V-Ausführung übertrifft die geforderten mindestens 10 V. Einzelpreis, Stand 2026-09-01; Preis und Verfügbarkeit vor Bestellung prüfen.</t>
  </si>
  <si>
    <t>4,7 UF 10 V|CAPACITOR_SMD:C_1206_3216METRIC_PAD1.33X1.80MM_HANDSOLDER</t>
  </si>
  <si>
    <t>ENP-00068</t>
  </si>
  <si>
    <t>4,7 µF, 50 V, X7R, ±10 %, 1210</t>
  </si>
  <si>
    <t>Capacitor_SMD:C_1210_3225Metric_Pad1.33x2.70mm_HandSolder</t>
  </si>
  <si>
    <t>CL32B475KBJVPNE</t>
  </si>
  <si>
    <t>C9</t>
  </si>
  <si>
    <t>Passende 50-V-/1210-Ausführung für den Ausgang des 24-V-Boosters. Einzelpreis, Stand 2026-09-01; Preis und Verfügbarkeit vor Bestellung prüfen.</t>
  </si>
  <si>
    <t>4,7 UF 50 V|CAPACITOR_SMD:C_1210_3225METRIC_PAD1.33X2.70MM_HANDSOLDER</t>
  </si>
  <si>
    <t>ENP-00069</t>
  </si>
  <si>
    <t>Schottky-Diode SMD</t>
  </si>
  <si>
    <t>Typ und elektrische Daten offen</t>
  </si>
  <si>
    <t>Diode_SMD:D_SOD-323F</t>
  </si>
  <si>
    <t>D3</t>
  </si>
  <si>
    <t>Schema enthält nur den generischen Wert D_Schottky; Sperrspannung, Strom, Hersteller und MPN festlegen. Einkaufsdaten bleiben offen, bis Sperrspannung und Strombelastbarkeit festgelegt sind.</t>
  </si>
  <si>
    <t>SCHOTTKY|DIODE_SMD:D_SOD-323F</t>
  </si>
  <si>
    <t>ENP-00070</t>
  </si>
  <si>
    <t>Induktivität</t>
  </si>
  <si>
    <t>Leistungsinduktivität 0,68 µH</t>
  </si>
  <si>
    <t>0,68 µH, 8,2 A, DCR 9 mΩ, WE-MAPI 3012</t>
  </si>
  <si>
    <t>Inductor_SMD:L_Wuerth_MAPI-3012</t>
  </si>
  <si>
    <t>744383560068</t>
  </si>
  <si>
    <t>L1</t>
  </si>
  <si>
    <t>KiCad; Würth Datenblatt; Mouser, abgerufen 2026-09-01</t>
  </si>
  <si>
    <t>Exakte MAPI-3012-Ausführung: 680 nH, 8,2 A, DCR 9 mΩ, AEC-Q200. Einzelpreis, Stand 2026-09-01; Preis und Verfügbarkeit vor Bestellung prüfen.</t>
  </si>
  <si>
    <t>0,68 UH|INDUCTOR_SMD:L_WUERTH_MAPI-3012</t>
  </si>
  <si>
    <t>ENP-00071</t>
  </si>
  <si>
    <t>Widerstand 1 MΩ SMD</t>
  </si>
  <si>
    <t>1 MΩ, 1 %, 0,25 W, 1206</t>
  </si>
  <si>
    <t>CRCW12061M00FKEA</t>
  </si>
  <si>
    <t>R5</t>
  </si>
  <si>
    <t>Elektrisch und mechanisch passend. Einzelpreis, Stand 2026-09-01; Preis und Verfügbarkeit vor Bestellung prüfen.</t>
  </si>
  <si>
    <t>1 MOHM 1%|RESISTOR_SMD:R_1206_3216METRIC_PAD1.30X1.75MM_HANDSOLDER</t>
  </si>
  <si>
    <t>ENP-00072</t>
  </si>
  <si>
    <t>Widerstand 71,5 kΩ SMD</t>
  </si>
  <si>
    <t>71,5 kΩ, 1 %, 0,25 W, 1206</t>
  </si>
  <si>
    <t>RC1206FR-0771K5L</t>
  </si>
  <si>
    <t>R6</t>
  </si>
  <si>
    <t>KiCad; DigiKey, abgerufen 2026-09-01</t>
  </si>
  <si>
    <t>Exakter Wert für den Feedback-Widerstand; DigiKey-Bestellnummer auf der Produktseite vor Bestellung ergänzen. Einzelpreis, Stand 2026-09-01; Preis und Verfügbarkeit vor Bestellung prüfen.</t>
  </si>
  <si>
    <t>71,5 KOHM 1%|RESISTOR_SMD:R_1206_3216METRIC_PAD1.30X1.75MM_HANDSOLDER</t>
  </si>
  <si>
    <t>ENP-00073</t>
  </si>
  <si>
    <t>Widerstand 220 kΩ SMD</t>
  </si>
  <si>
    <t>220 kΩ, 1 %, 0,25 W, 1206</t>
  </si>
  <si>
    <t>Walsin</t>
  </si>
  <si>
    <t>WR12X2203FTL</t>
  </si>
  <si>
    <t>R8</t>
  </si>
  <si>
    <t>KiCad; TME, abgerufen 2026-09-01</t>
  </si>
  <si>
    <t>Exakte 1-%-Ausführung; der gefundene Reichelt-Typ mit 5 % wurde nicht übernommen. Einzelpreis, Stand 2026-09-01; Preis und Verfügbarkeit vor Bestellung prüfen.</t>
  </si>
  <si>
    <t>220 KOHM 1%|RESISTOR_SMD:R_1206_3216METRIC_PAD1.30X1.75MM_HANDSOLDER</t>
  </si>
  <si>
    <t>ENP-00074</t>
  </si>
  <si>
    <t>Schalter</t>
  </si>
  <si>
    <t>Schiebeschalter DPDT</t>
  </si>
  <si>
    <t>DPDT</t>
  </si>
  <si>
    <t>EnvNode-Footprints:SW_Slide_CK_OS202011MS2QS1</t>
  </si>
  <si>
    <t>C&amp;K</t>
  </si>
  <si>
    <t>OS202011MS2QS1</t>
  </si>
  <si>
    <t>SW1</t>
  </si>
  <si>
    <t>KiCad; C&amp;K Datenblatt; Mouser, abgerufen 2026-09-01</t>
  </si>
  <si>
    <t>Exakt der dem Projekt-Footprint zugrunde liegende DPDT-On-On-Schalter. Einzelpreis, Stand 2026-09-01; Preis und Verfügbarkeit vor Bestellung prüfen.</t>
  </si>
  <si>
    <t>ENP-00075</t>
  </si>
  <si>
    <t>Boost-Regler LT8330</t>
  </si>
  <si>
    <t>LT8330, 3…40 V Eingang, 60 V/1 A Schalter, TSOT-23-6</t>
  </si>
  <si>
    <t>Analog Devices</t>
  </si>
  <si>
    <t>LT8330ES6#TRMPBF</t>
  </si>
  <si>
    <t>U4</t>
  </si>
  <si>
    <t>KiCad; Analog Devices Datenblatt; Mouser, abgerufen 2026-09-01</t>
  </si>
  <si>
    <t>Bestellbare E-Temperaturvariante im geforderten TSOT-23-6, Cut Tape. Einzelpreis, Stand 2026-09-01; Preis und Verfügbarkeit vor Bestellung prüfen.</t>
  </si>
  <si>
    <t>LT8330|PACKAGE_TO_SOT_SMD:SOT-23-6</t>
  </si>
  <si>
    <t>ENP-00076</t>
  </si>
  <si>
    <t>AnalogHydroPressure FullSize PCB Rev 0.2</t>
  </si>
  <si>
    <t>PCB: Modules/FullSize/AnalogHydroPressure/AnalogHydroPressure.kicad_pcb</t>
  </si>
  <si>
    <t>Aktueller KiCad-Stand einschließlich Busumschaltung auf Modulseite und F.Cu-Backfill; Fertiger und Fertigungsvariante festlegen.</t>
  </si>
  <si>
    <t>ANALOGHYDROPRESSURE FULLSIZE PCB REV 0.2|PCB: MODULES/FULLSIZE/ANALOGHYDROPRESSURE/ANALOGHYDROPRESSURE.KICAD_PCB</t>
  </si>
  <si>
    <t>ENP-00077</t>
  </si>
  <si>
    <t>Adapter</t>
  </si>
  <si>
    <t>SMD-Adapter SOT23-3 auf Raster 2,54 mm</t>
  </si>
  <si>
    <t>SOT23-3, Pitch 0,95 mm auf RM 2,54 mm</t>
  </si>
  <si>
    <t>ROTH-ELEKTRONIK</t>
  </si>
  <si>
    <t>RE909</t>
  </si>
  <si>
    <t>Bestand/Werkstatt</t>
  </si>
  <si>
    <t>Reichelt-Bestellung; Nutzerangabe 2026-09-01</t>
  </si>
  <si>
    <t>Prototyping-Adapter, 8,6 × 13,2 mm; derzeit keinem Kit oder KiCad-BOM zugeordnet.</t>
  </si>
  <si>
    <t>ENP-00078</t>
  </si>
  <si>
    <t>Metalloxidwiderstand 100 Ohm, 1 W, 5 %</t>
  </si>
  <si>
    <t>100 Ω, 1 W, 5 %, 500 V</t>
  </si>
  <si>
    <t>Resistor_THT:R_Axial_DIN0207_L6.3mm_D2.5mm_P10.16mm_Horizontal</t>
  </si>
  <si>
    <t>VITROHM</t>
  </si>
  <si>
    <t>POS100JT-52-100RAA</t>
  </si>
  <si>
    <t>Gegurteter THT-Metalloxidwiderstand, Bauform 0207; derzeit keinem Kit oder KiCad-BOM zugeordnet.</t>
  </si>
  <si>
    <t>ENP-00079</t>
  </si>
  <si>
    <t>Metalloxidwiderstand 100 kOhm, 1 W, 5 %</t>
  </si>
  <si>
    <t>100 kΩ, 1 W, 5 %, 500 V</t>
  </si>
  <si>
    <t>POS100JT-52-100KAA</t>
  </si>
  <si>
    <t>ENP-00080</t>
  </si>
  <si>
    <t>WEIPU SP13 Gehäusebuchse, 2-polig</t>
  </si>
  <si>
    <t>2-polig, Buchsenkontakte, IP68 gesteckt, Lötanschluss, Hinterwandmontage</t>
  </si>
  <si>
    <t>WEIPU</t>
  </si>
  <si>
    <t>SP1312/S2-N</t>
  </si>
  <si>
    <t>Gehäusemontage (offen)</t>
  </si>
  <si>
    <t>WEIPU SP13 Katalog, abgerufen 2026-09-01</t>
  </si>
  <si>
    <t>Passend zu Kabelstecker SP1310/P2-N (ENP-00081). 13 A / 250 V AC; Panel-Ausschnitt Ø13 mm. Einsatz und Pinbelegung im Kit festlegen.</t>
  </si>
  <si>
    <t>ENP-00081</t>
  </si>
  <si>
    <t>WEIPU SP13 Kabelstecker, 2-polig</t>
  </si>
  <si>
    <t>2-polig, Stiftkontakte, IP68 gesteckt, Lötanschluss</t>
  </si>
  <si>
    <t>SP1310/P2-N</t>
  </si>
  <si>
    <t>Passend zu Gehäusebuchse SP1312/S2-N (ENP-00080). 13 A / 250 V AC. Standardvariante I für Kabel-Ø 4–6,5 mm; Variante II für 5–8 mm vor Bestellung prüfen.</t>
  </si>
  <si>
    <t>ENP-00082</t>
  </si>
  <si>
    <t>WEIPU SP13 Gehäusestecker, 2-polig</t>
  </si>
  <si>
    <t>2-polig, Stiftkontakte, IP68 gesteckt, Lötanschluss, Hinterwandmontage</t>
  </si>
  <si>
    <t>SP1312/P2-N</t>
  </si>
  <si>
    <t>Passend zu Kabelbuchse SP1310/S2-N (ENP-00083). 13 A / 250 V AC; Panel-Ausschnitt Ø13 mm. Einsatz und Pinbelegung im Kit festlegen.</t>
  </si>
  <si>
    <t>ENP-00083</t>
  </si>
  <si>
    <t>WEIPU SP13 Kabelbuchse, 2-polig</t>
  </si>
  <si>
    <t>2-polig, Buchsenkontakte, IP68 gesteckt, Lötanschluss</t>
  </si>
  <si>
    <t>SP1310/S2-N</t>
  </si>
  <si>
    <t>Passend zu Gehäusestecker SP1312/P2-N (ENP-00082). 13 A / 250 V AC. Standardvariante I für Kabel-Ø 4–6,5 mm; Variante II für 5–8 mm vor Bestellung prüfen.</t>
  </si>
  <si>
    <t>ENP-00084</t>
  </si>
  <si>
    <t>WEIPU SP13 Gehäusebuchse, 4-polig</t>
  </si>
  <si>
    <t>4-polig, Buchsenkontakte, IP68 gesteckt, Lötanschluss, Hinterwandmontage</t>
  </si>
  <si>
    <t>SP1312/S4-N</t>
  </si>
  <si>
    <t>Passend zu Kabelstecker SP1310/P4-N (ENP-00085). 5 A / 200 V AC; Panel-Ausschnitt Ø13 mm. Vorgesehen für I2C/GPIO/Sensorik.</t>
  </si>
  <si>
    <t>ENP-00085</t>
  </si>
  <si>
    <t>WEIPU SP13 Kabelstecker, 4-polig</t>
  </si>
  <si>
    <t>4-polig, Stiftkontakte, IP68 gesteckt, Lötanschluss</t>
  </si>
  <si>
    <t>SP1310/P4-N</t>
  </si>
  <si>
    <t>Passend zu Gehäusebuchse SP1312/S4-N (ENP-00084). 5 A / 200 V AC. Standardvariante I für Kabel-Ø 4–6,5 mm; Variante II für 5–8 mm vor Bestellung prüfen.</t>
  </si>
  <si>
    <t>ENP-00086</t>
  </si>
  <si>
    <t>WEIPU SP13 Gehäusestecker, 4-polig</t>
  </si>
  <si>
    <t>4-polig, Stiftkontakte, IP68 gesteckt, Lötanschluss, Hinterwandmontage</t>
  </si>
  <si>
    <t>SP1312/P4-N</t>
  </si>
  <si>
    <t>Passend zu Kabelbuchse SP1310/S4-N (ENP-00087). 5 A / 200 V AC; Panel-Ausschnitt Ø13 mm. Vorgesehen für I2C/GPIO/Sensorik.</t>
  </si>
  <si>
    <t>ENP-00087</t>
  </si>
  <si>
    <t>WEIPU SP13 Kabelbuchse, 4-polig</t>
  </si>
  <si>
    <t>4-polig, Buchsenkontakte, IP68 gesteckt, Lötanschluss</t>
  </si>
  <si>
    <t>SP1310/S4-N</t>
  </si>
  <si>
    <t>Passend zu Gehäusestecker SP1312/P4-N (ENP-00086). 5 A / 200 V AC. Standardvariante I für Kabel-Ø 4–6,5 mm; Variante II für 5–8 mm vor Bestellung prüfen.</t>
  </si>
  <si>
    <t>ENP-00088</t>
  </si>
  <si>
    <t>DC-Einbaubuchse 5,5/2,1 mm – EnvNode 5-V-Versorgung</t>
  </si>
  <si>
    <t>5,5 × 2,1 mm, 2-polig, 20 V DC / 10 A, Lötanschluss</t>
  </si>
  <si>
    <t>Delock</t>
  </si>
  <si>
    <t>90174</t>
  </si>
  <si>
    <t>Reichelt Produktseite, abgerufen 2026-09-01</t>
  </si>
  <si>
    <t>Für 5-V-Versorgung in trockener Umgebung. Passend für DC-Stecker 5,5/2,1 mm mit 9,5 oder 12 mm Stiftlänge. Polarität im Kit verbindlich festlegen, empfohlen: Plus am Innenkontakt.</t>
  </si>
  <si>
    <t>ENP-00089</t>
  </si>
  <si>
    <t>USB-C-Buchse, 16-polig, USB 2.0, Top-Mount</t>
  </si>
  <si>
    <t>USB Type-C Receptacle, 16 Signalpins (+ 8 Dummy), 5 A, 48 V DC, SMD/TH, horizontal</t>
  </si>
  <si>
    <t>Connector_USB:USB_C_Receptacle_GCT_USB4105-xx-A_16P_TopMnt_Horizontal</t>
  </si>
  <si>
    <t>GCT</t>
  </si>
  <si>
    <t>USB4105-GF-A</t>
  </si>
  <si>
    <t>EnvNode Rev 0.2</t>
  </si>
  <si>
    <t>USB-C-Power-Eingang</t>
  </si>
  <si>
    <t>GCT USB4105 Spezifikation; KiCad Standardbibliothek; DigiKey, abgerufen 2026-09-02</t>
  </si>
  <si>
    <t>Power-only mit Symbol Connector:USB_C_Receptacle_USB2.0_16P. Robuste Top-Mount-Ausführung mit vier durchkontaktierten Shield-/Haltezungen. D+/D− und SBU1/SBU2 NC; Shield an GND; CC1 und CC2 jeweils separat über 5,1 kΩ nach GND.</t>
  </si>
  <si>
    <t>ENP-00090</t>
  </si>
  <si>
    <t>SMD-Widerstand 5,1 kOhm, 1 %, 1206</t>
  </si>
  <si>
    <t>5,1 kΩ, 1 %, 250 mW</t>
  </si>
  <si>
    <t>Vishay Dale</t>
  </si>
  <si>
    <t>CRCW12065K10FKEA</t>
  </si>
  <si>
    <t>USB-C CC1/CC2 (2×)</t>
  </si>
  <si>
    <t>DigiKey Produktseite, abgerufen 2026-09-02</t>
  </si>
  <si>
    <t>Zwei Stück als getrennte Rd-Widerstände: je einer von CC1 bzw. CC2 nach GND; CC1 und CC2 nicht miteinander verbinden.</t>
  </si>
  <si>
    <t>ENP-00091</t>
  </si>
  <si>
    <t>Präzisions-Buchsenleiste 1x8, 2,54 mm, gerade</t>
  </si>
  <si>
    <t>1x8, 2,54 mm, THT, gerade, Präzisionskontakte, 3 A / 150 V</t>
  </si>
  <si>
    <t>Connector_PinSocket_2.54mm:PinSocket_1x08_P2.54mm_Vertical</t>
  </si>
  <si>
    <t>Binder MPE</t>
  </si>
  <si>
    <t>115-1-008-1-0-MTF-XS0</t>
  </si>
  <si>
    <t>Reichelt Produktseite, abgerufen 2026-09-03</t>
  </si>
  <si>
    <t>Gerade THT-Präzisionsbuchsenleiste mit gedrehten Kontakten; Höhe 7 mm, UL 94V-0, Temperaturbereich −55 bis +125 °C. Derzeit keinem Kit oder KiCad-BOM zugeordnet.</t>
  </si>
  <si>
    <t>ENP-00092</t>
  </si>
  <si>
    <t>Dual-MOSFET N-/P-Kanal, SO-8</t>
  </si>
  <si>
    <t>N-/P-Kanal, ±30 V, 1,4 W</t>
  </si>
  <si>
    <t>Infineon</t>
  </si>
  <si>
    <t>IRF7309PBF</t>
  </si>
  <si>
    <t>Komplementäres N-/P-Kanal-MOSFET-Paar im SO-8-Gehäuse; derzeit keinem Kit oder KiCad-BOM zugeordnet.</t>
  </si>
  <si>
    <t>ENP-00093</t>
  </si>
  <si>
    <t>SMD-Widerstand 100 kOhm, 5 %, 1206</t>
  </si>
  <si>
    <t>100 kΩ, 5 %, 250 mW, 200 V, ±100 ppm/K</t>
  </si>
  <si>
    <t>RC1206JR-07100KL</t>
  </si>
  <si>
    <t>Nicht mit ENP-00016 zusammenführen: Dieser Artikel hat 5 % Toleranz; ENP-00016 hat 0,1 %. Derzeit keinem Kit oder KiCad-BOM zugeordnet.</t>
  </si>
  <si>
    <t>ENP-00094</t>
  </si>
  <si>
    <t>SMD-Widerstand 10 kOhm, 5 %, 1206</t>
  </si>
  <si>
    <t>10 kΩ, 5 %, 250 mW, 200 V, ±100 ppm/K</t>
  </si>
  <si>
    <t>RC1206JR-0710KL</t>
  </si>
  <si>
    <t>Nicht mit ENP-00018 zusammenführen: Dieser Artikel hat 5 % Toleranz; ENP-00018 hat 0,1 %. Derzeit keinem Kit oder KiCad-BOM zugeordnet.</t>
  </si>
  <si>
    <t>ENP-00095</t>
  </si>
  <si>
    <t>Hex-Inverter mit Schmitt-Trigger, SO-14</t>
  </si>
  <si>
    <t>4000B, 6-fach, 3–15 V, SO-14</t>
  </si>
  <si>
    <t>Package_SO:SOIC-14_3.9x8.7mm_P1.27mm</t>
  </si>
  <si>
    <t>FREI</t>
  </si>
  <si>
    <t>Reichelt nennt keinen konkreten Hersteller und keine MPN; funktional als HEF40106/HCF40106/CD40106 beschrieben. Vor BOM-Zuordnung die tatsächliche Gehäusebeschriftung prüfen.</t>
  </si>
  <si>
    <t>SMD 40106</t>
  </si>
  <si>
    <t>ENP-00096</t>
  </si>
  <si>
    <t>Elektrolytkondensator 220 µF SMD, Low ESR</t>
  </si>
  <si>
    <t>220 µF, ±20 %, 16 V, 105 °C, 2000 h, ESR 160 mΩ</t>
  </si>
  <si>
    <t>EEEFPC221XAP</t>
  </si>
  <si>
    <t>Panasonic Serie V-FP; Ø 6,3 × 7,7 mm, Ripple-Strom 600 mA. Polarität beachten; derzeit keinem Kit oder KiCad-BOM zugeordnet.</t>
  </si>
  <si>
    <t>ENP-00097</t>
  </si>
  <si>
    <t>Elektrolytkondensator 470 µF SMD, Low ESR</t>
  </si>
  <si>
    <t>470 µF, ±20 %, 16 V, 105 °C, 5000 h, ESR 160 mΩ</t>
  </si>
  <si>
    <t>Capacitor_SMD:CP_Elec_8x10.2</t>
  </si>
  <si>
    <t>Europe Chemi-Con</t>
  </si>
  <si>
    <t>EMZL160ARA471MHA0G</t>
  </si>
  <si>
    <t>Europe Chemi-Con Serie MZL; Ø 8 × 10 mm, Ripple-Strom 600 mA. Polarität beachten; derzeit keinem Kit oder KiCad-BOM zugeordnet.</t>
  </si>
  <si>
    <t>ENP-00098</t>
  </si>
  <si>
    <t>JST-XH Stiftleiste 1x2, abgewinkelt</t>
  </si>
  <si>
    <t>1x2, 2,50 mm, THT, 90°, 250 V / 3 A</t>
  </si>
  <si>
    <t>Connector_JST:JST_XH_S2B-XH-A-1_1x02_P2.50mm_Horizontal</t>
  </si>
  <si>
    <t>S2B-XH-A</t>
  </si>
  <si>
    <t>Abgewinkelte Print-Stiftleiste der JST-XH-Serie; Rastermaß 2,50 mm, nicht 2,54 mm. Derzeit keinem Kit oder KiCad-BOM zugeordnet.</t>
  </si>
  <si>
    <t>ENP-00099</t>
  </si>
  <si>
    <t>SMD-Widerstand 1 kOhm, 1 %, 1206</t>
  </si>
  <si>
    <t>1 kΩ, 1 %, 250 mW, 200 V, ±100 ppm/K</t>
  </si>
  <si>
    <t>WR12X1001FTL</t>
  </si>
  <si>
    <t>Nicht mit ENP-00036 zusammenführen: gleicher Nennwert und gleiche Toleranz, aber anderer Hersteller und andere MPN. Derzeit keinem Kit oder KiCad-BOM zugeordnet.</t>
  </si>
  <si>
    <t>ENP-00100</t>
  </si>
  <si>
    <t>Rot, 624 nm, 40 mcd, 160°, Vf max. 1,7 V, IF max. 20 mA</t>
  </si>
  <si>
    <t>Everlight</t>
  </si>
  <si>
    <t>15-21SURD/S530-A3/TR8</t>
  </si>
  <si>
    <t>Nicht mit ENP-00064 zusammenführen: andere MPN, Lichtstärke, Wellenlänge und Abstrahlwinkel. Polarität beachten; derzeit keinem Kit oder KiCad-BOM zugeordnet.</t>
  </si>
  <si>
    <t>ENP-00101</t>
  </si>
  <si>
    <t>Steckbrücke</t>
  </si>
  <si>
    <t>Kurzschlussbrücke 2,54 mm, schwarz, mit Grifflasche</t>
  </si>
  <si>
    <t>2-polig, Raster 2,54 mm, vergoldet, schwarz, mit Grifflasche</t>
  </si>
  <si>
    <t>Reichelt nennt keinen konkreten Hersteller und keine MPN. Lose Steckbrücke für 2,54-mm-Stiftleisten; derzeit keinem Kit oder KiCad-BOM zugeordnet.</t>
  </si>
  <si>
    <t>JUMPER 2,54GL SW</t>
  </si>
  <si>
    <t>Kit_ID</t>
  </si>
  <si>
    <t>Kit_Name</t>
  </si>
  <si>
    <t>Revision</t>
  </si>
  <si>
    <t>Status</t>
  </si>
  <si>
    <t>KiCad_Schematic</t>
  </si>
  <si>
    <t>KiCad_PCB</t>
  </si>
  <si>
    <t>ENK-00001</t>
  </si>
  <si>
    <t>EnvNode Mini Bausatz</t>
  </si>
  <si>
    <t>0.2</t>
  </si>
  <si>
    <t>Entwurf</t>
  </si>
  <si>
    <t>hardware/kicad/MainBoards/EnvNode Mini/EnvNode Mini.kicad_sch</t>
  </si>
  <si>
    <t>hardware/kicad/MainBoards/EnvNode Mini/EnvNode Mini.kicad_pcb</t>
  </si>
  <si>
    <t>Elektronischer Grundumfang vollständig aus aktuellem KiCad-Stand übernommen. Externe 5-V-Zuführung, Pigtail und weitere Montagekomponenten werden anschließend ergänzt.</t>
  </si>
  <si>
    <t>ENK-00002</t>
  </si>
  <si>
    <t>DuoRelay FullSize Bausatz</t>
  </si>
  <si>
    <t>hardware/kicad/Modules/FullSize/DuoRelay/DuoRelay.kicad_sch</t>
  </si>
  <si>
    <t>hardware/kicad/Modules/FullSize/DuoRelay/DuoRelay.kicad_pcb</t>
  </si>
  <si>
    <t>Aktueller bestückter KiCad-Umfang plus PCB; DNP-Positionen enthalten und als DNP gekennzeichnet. Mechanische Zusatzteile können anschließend ergänzt werden.</t>
  </si>
  <si>
    <t>ENK-00003</t>
  </si>
  <si>
    <t>AnalogHydroPressure FullSize Bausatz</t>
  </si>
  <si>
    <t>hardware/kicad/Modules/FullSize/AnalogHydroPressure/AnalogHydroPressure.kicad_sch</t>
  </si>
  <si>
    <t>hardware/kicad/Modules/FullSize/AnalogHydroPressure/AnalogHydroPressure.kicad_pcb</t>
  </si>
  <si>
    <t>Aktueller bestückter KiCad-Umfang einschließlich Busumschaltung plus PCB; DNP-Positionen enthalten und als DNP gekennzeichnet. Mechanische Zusatzteile können anschließend ergänzt werden.</t>
  </si>
  <si>
    <t>ENK-00004</t>
  </si>
  <si>
    <t>RainDetector Bausatz</t>
  </si>
  <si>
    <t>1.0</t>
  </si>
  <si>
    <t>hardware/kicad/Sensors/Raindetector/Raindetector.kicad_sch</t>
  </si>
  <si>
    <t>hardware/kicad/Sensors/Raindetector/Raindetector.kicad_pcb</t>
  </si>
  <si>
    <t>Aktueller bestückter KiCad-Umfang plus PCB. Stall.biz/Weatherman-Detektorplatine und deren 1×8-SMD-Buchsenleisten ENP-00021 gehören zur Gegenseite und sind nicht Bestandteil dieses Kits. Keine DNP-Positionen.</t>
  </si>
  <si>
    <t>Kit_Revision</t>
  </si>
  <si>
    <t>Position</t>
  </si>
  <si>
    <t>RefDes</t>
  </si>
  <si>
    <t>Part_Number</t>
  </si>
  <si>
    <t>Quantity</t>
  </si>
  <si>
    <t>Build_Status</t>
  </si>
  <si>
    <t>Source_Type</t>
  </si>
  <si>
    <t>Value</t>
  </si>
  <si>
    <t>Footprint</t>
  </si>
  <si>
    <t>Unit_Price_EUR</t>
  </si>
  <si>
    <t>Position_Price_EUR</t>
  </si>
  <si>
    <t>C1</t>
  </si>
  <si>
    <t>Bestücken</t>
  </si>
  <si>
    <t>C3</t>
  </si>
  <si>
    <t>C4</t>
  </si>
  <si>
    <t>C5</t>
  </si>
  <si>
    <t>D1</t>
  </si>
  <si>
    <t>D2</t>
  </si>
  <si>
    <t>J2</t>
  </si>
  <si>
    <t>J3</t>
  </si>
  <si>
    <t>J4</t>
  </si>
  <si>
    <t>J5</t>
  </si>
  <si>
    <t>R2</t>
  </si>
  <si>
    <t>R4</t>
  </si>
  <si>
    <t>U3</t>
  </si>
  <si>
    <t>Mechanical</t>
  </si>
  <si>
    <t>Assembly</t>
  </si>
  <si>
    <t>J6</t>
  </si>
  <si>
    <t>DNP</t>
  </si>
  <si>
    <t>D4</t>
  </si>
  <si>
    <t>K1</t>
  </si>
  <si>
    <t>K2</t>
  </si>
  <si>
    <t>Q2</t>
  </si>
  <si>
    <t>C7</t>
  </si>
  <si>
    <t>C8</t>
  </si>
  <si>
    <t>R7</t>
  </si>
  <si>
    <t>Bestellliste für EnvNode-Bausätze</t>
  </si>
  <si>
    <t>Stückzahlen wählen; die Liste aggregiert gleiche Parts über alle Kits. DNP ist standardmäßig ausgeschlossen.</t>
  </si>
  <si>
    <t>Bausatz</t>
  </si>
  <si>
    <t>Stückzahl</t>
  </si>
  <si>
    <t>Option</t>
  </si>
  <si>
    <t>Auswahl</t>
  </si>
  <si>
    <t>Optional bestellen</t>
  </si>
  <si>
    <t>Nein</t>
  </si>
  <si>
    <t>DNP bestellen</t>
  </si>
  <si>
    <t>Ja</t>
  </si>
  <si>
    <t>Hinweis</t>
  </si>
  <si>
    <t>Bestellmenge wird bei hinterlegter Verpackungseinheit auf das nächste Vielfache aufgerundet.</t>
  </si>
  <si>
    <t>Supplier</t>
  </si>
  <si>
    <t>Supplier_PN</t>
  </si>
  <si>
    <t>Bedarf</t>
  </si>
  <si>
    <t>Packaging_Unit</t>
  </si>
  <si>
    <t>Bedarf_gerundet</t>
  </si>
  <si>
    <t>Bedarfswert_EUR</t>
  </si>
  <si>
    <t>Import_Status</t>
  </si>
  <si>
    <t>URL</t>
  </si>
  <si>
    <t>Bestand</t>
  </si>
  <si>
    <t>Bestellt</t>
  </si>
  <si>
    <t>Deckung</t>
  </si>
  <si>
    <t>Bestellvorschlag</t>
  </si>
  <si>
    <t>Bestellmenge</t>
  </si>
  <si>
    <t>Bestand und offene Bestellungen</t>
  </si>
  <si>
    <t>Etikettendruck Avery 6173</t>
  </si>
  <si>
    <t>Gelb markierte Felder werden manuell gepflegt: Lieferant, Bestand, Bestellt, voraussichtlicher Termin und Etikett. Technische Angaben stammen aus Parts; Bestelldaten aus Part_Suppliers.</t>
  </si>
  <si>
    <t>Startetikett</t>
  </si>
  <si>
    <t>Startzeile</t>
  </si>
  <si>
    <t>Voraussichtlicher_Termin</t>
  </si>
  <si>
    <t>Etikett</t>
  </si>
  <si>
    <t>Startspalte</t>
  </si>
  <si>
    <t>_Druckfolge</t>
  </si>
  <si>
    <t>eBay</t>
  </si>
  <si>
    <t>nicht drucken</t>
  </si>
  <si>
    <t>Raster</t>
  </si>
  <si>
    <t>3 x 8 (24)</t>
  </si>
  <si>
    <t>Etikett = drucken</t>
  </si>
  <si>
    <t>Reichelt</t>
  </si>
  <si>
    <t>Drucken</t>
  </si>
  <si>
    <t>Blatt Etiketten_Druck</t>
  </si>
  <si>
    <t>ab Lager</t>
  </si>
  <si>
    <t>Noch festlegen</t>
  </si>
  <si>
    <t>28.08.2026</t>
  </si>
  <si>
    <t>drucken</t>
  </si>
  <si>
    <t>DigiKey</t>
  </si>
  <si>
    <t>RS</t>
  </si>
  <si>
    <t>Mouser</t>
  </si>
  <si>
    <t>TME</t>
  </si>
  <si>
    <t>14.09.2026</t>
  </si>
  <si>
    <t>Purchase_Unit</t>
  </si>
  <si>
    <t>Preferred</t>
  </si>
  <si>
    <t>Last_Checked</t>
  </si>
  <si>
    <t>Part_Supplier_Key</t>
  </si>
  <si>
    <t>Preferred_Key</t>
  </si>
  <si>
    <t>https://www.ebay.de/itm/175537690511?_skw=jst+ph+set&amp;itmmeta=01M0AMR98NFGJV2FS30RR17BQ3&amp;hash=item28dedc978f:g:A3kAAOSw229j0YAt&amp;itmprp=enc%3AAQALAAAA0GfYFPkwiKCW4ZNSs2u11xAqJnJgTdJ%2FIJ1I2fxZKRMDiu6X0YrWY5D3w4DQOc5o%2FaOXGmcjIgTnzr6ZSr5vXhmBWytsd%2BVqmj0wzTE8DG%2BTs8RqbjdKpejAkG5A8BZqR0CHVQRoh5S5YInpcAcul6x8Wctn1VQHQBXPR%2FXsSs9oWck2%2BQ7koAWk9BEZEN9dagXH6v3Mmz5PHheo1V3%2ByPo1rz9Au%2BRLA4rvEIjR474lCC3Jyl3mD3occXmLZjl7i6IY9cBlKcCfkbIa4zkXYnk%3D%7Ctkp%3ABk9SR9aU4dSCaA</t>
  </si>
  <si>
    <t>Stk</t>
  </si>
  <si>
    <t>https://www.ebay.de/itm/173373182853?var=472082388514&amp;mkevt=1&amp;mkcid=1&amp;mkrid=707-53477-19255-0&amp;campid=5338900900&amp;toolid=20006&amp;_ul=DE&amp;customid=56357.a3ed6a6e290d515ebd3c2719dda804fc89ac0aba&amp;gclid=Cj0KCQjwkOvTBhDgARIsAKUNyRushMKf0tSoocu00ZtebiM-JK-GbXhf7yKDhPSZVdsZL-EEyywLbIcaAndsEALw_wcB&amp;gbraid=0AAAAAqbaHat7Q_3DRZ3ZEIWwp68U1IjOi&amp;adtype=pla&amp;loc_physical_ms=9041684</t>
  </si>
  <si>
    <t>BKL 10120946</t>
  </si>
  <si>
    <t>https://www.reichelt.de/de/de/shop/produkt/buchsenleiste_2_54mm_1x4_gerade-266671</t>
  </si>
  <si>
    <t>FIS BL1 20 G</t>
  </si>
  <si>
    <t>https://www.reichelt.de/de/de/shop/produkt/buchsenleiste_2_54mm_1x20_trennbar_vergoldet-283787</t>
  </si>
  <si>
    <t>VIS CRCW12064K7</t>
  </si>
  <si>
    <t>https://www.reichelt.de/de/de/shop/produkt/smd-widerstand_1206_4_7_kohm_250_mw_1_-238119</t>
  </si>
  <si>
    <t>KEM X7R1206A100N</t>
  </si>
  <si>
    <t>https://www.reichelt.de/de/de/shop/produkt/vielschicht_kerko_1206_100_nf_10_x7r_100_v_125_c-207151</t>
  </si>
  <si>
    <t>https://www.reichelt.de/de/de/shop/produkt/mlcc_1206_10_f_25_v_-10_x7r-409262</t>
  </si>
  <si>
    <t>TAJ 3528 47/10</t>
  </si>
  <si>
    <t>https://www.reichelt.de/de/de/shop/produkt/smd-tantal_kondensator_47_f_10_v-167014</t>
  </si>
  <si>
    <t>LM 3940 IMP-3</t>
  </si>
  <si>
    <t>https://www.reichelt.de/de/de/shop/produkt/ldo-spannungsregler_fix_3_3_vout_1_a_sot-223-109407?search=LM3940%2520&amp;</t>
  </si>
  <si>
    <t>https://jlcpcb.com/file/download?uuid=eef69d2d694441c8ab71168d8447cb4c&amp;businessType=example</t>
  </si>
  <si>
    <t>JST PH2P ST</t>
  </si>
  <si>
    <t>https://www.reichelt.de/de/de/shop/produkt/jst_-_stiftleiste_gerade_1x2-polig_-_ph-185049</t>
  </si>
  <si>
    <t>https://www.reichelt.de/de/de/shop/produkt/mosfet_n-ch_30v_5_7a_0_018r_sot-23-166490</t>
  </si>
  <si>
    <t>DEBO SENS SHTC3</t>
  </si>
  <si>
    <t>https://www.reichelt.de/de/de/shop/produkt/arduino_-_temperatur-_feuchtigkeitssensor_shtc3-375947</t>
  </si>
  <si>
    <t>DEBO ADC 16BIT</t>
  </si>
  <si>
    <t>https://www.reichelt.de/de/de/shop/produkt/entwicklerboards_-_adc_4_kanal_16-bit_ads1115-372499?search=ADS1115&amp;#open-modal-image-big-slider</t>
  </si>
  <si>
    <t>PAN ERA8AEB104V</t>
  </si>
  <si>
    <t>https://www.reichelt.de/de/de/shop/produkt/smd-widerstand_1206_100_kohm_250_mw_0_1_-238081</t>
  </si>
  <si>
    <t>SMD 1/4W 100</t>
  </si>
  <si>
    <t>https://www.reichelt.de/de/de/shop/produkt/smd-widerstand_1206_100_ohm_250_mw_5_-18242</t>
  </si>
  <si>
    <t>PAN ERA8AEB103V</t>
  </si>
  <si>
    <t>https://www.reichelt.de/de/de/shop/produkt/smd-widerstand_1206_10_kohm_250_mw_0_1_-238080</t>
  </si>
  <si>
    <t>BKL 10120505</t>
  </si>
  <si>
    <t>https://www.reichelt.de/de/de/shop/produkt/stiftleiste_8-polig_raster_2_54mm-235656</t>
  </si>
  <si>
    <t>ICM 7555 IBAZ</t>
  </si>
  <si>
    <t>https://www.reichelt.de/de/de/shop/produkt/timer-ic_typ_555_so-8-188889</t>
  </si>
  <si>
    <t>FIS BL 3 8G</t>
  </si>
  <si>
    <t>https://www.reichelt.de/de/de/shop/produkt/buchsenleiste_1-reihig_1_x_8_-_2_54_mm-407106#open-modal-image-big-slider</t>
  </si>
  <si>
    <t>RND 1551206 AF</t>
  </si>
  <si>
    <t>https://www.reichelt.de/de/de/shop/produkt/smd-widerstand_1206_47_ohm_250_mw_5_-250359</t>
  </si>
  <si>
    <t>FIN 34.51.7 5V</t>
  </si>
  <si>
    <t>https://www.reichelt.de/de/de/shop/produkt/steck-printrelais_1_co_6_a_5_v_dc_sensitiv-259179?PROVID=2788&amp;gad_source=1&amp;gad_campaignid=21154720511&amp;gbraid=0AAAAADwnxtb50MtqKwtKae8MAeGQARqWX&amp;gclid=CjwKCAjw7p_UBhBlEiwAhpIs72D6cK8XQyuxcrvb0uftoYY3618BT3lTyYSWWSou1J99G9udBcpsbhoCJbcQAvD_BwE</t>
  </si>
  <si>
    <t>24AA025E64T-I/OTCT-ND</t>
  </si>
  <si>
    <t>https://www.digikey.de/de/products/detail/microchip-technology/24AA025E64T-I-OT/3908633</t>
  </si>
  <si>
    <t>JST PH4P ST</t>
  </si>
  <si>
    <t>https://www.reichelt.de/de/de/shop/produkt/jst_-_stiftleiste_gerade_1x4-polig_-_ph-185051?PROVID=2788&amp;gad_source=1&amp;gad_campaignid=21154720511&amp;gbraid=0AAAAADwnxtY1nWJSSrFeiIcYv9xLkqyFk&amp;gclid=Cj0KCQjwnbrUBhDOARIsAKKhPpe2Az4gP1hQm4ZAaF5_8h_A8xPRV2yb28WCjCf626YJKTgCMxHQlnYaAjcNEALw_wcB</t>
  </si>
  <si>
    <t>515-1513</t>
  </si>
  <si>
    <t>https://de.rs-online.com/web/p/leiterplatten-header/5151513?cm_mmc=DE-PLA-DS3A-_-google-_-CSS_DE_DE_PMAX_Catch+All-_--_-5151513&amp;matchtype=&amp;&amp;gclsrc=aw.ds&amp;gad_source=1&amp;gad_campaignid=20579356490&amp;gbraid=0AAAAADkeWNMTclazDyI9zcjcIGwAjXoW9&amp;gclid=Cj0KCQjwnbrUBhDOARIsAKKhPpdLcMySAoEWll9Yd6dc_BCjxUsLFQOO7peTYM0DUy9ctvB7N_5s3bUaAoLZEALw_wcB</t>
  </si>
  <si>
    <t>https://www.reichelt.de/de/de/shop/produkt/mlcc_1206_1_f_50_v_-5_x7r-409277</t>
  </si>
  <si>
    <t>BAT 54S DIO</t>
  </si>
  <si>
    <t>https://www.reichelt.de/de/de/shop/produkt/schottkydiode_30_v_0_2_a_sot-23-219176</t>
  </si>
  <si>
    <t>ARC MRA0207 150R</t>
  </si>
  <si>
    <t>https://www.reichelt.de/de/de/shop/produkt/widerstand_metallschicht_150_ohm_0207_250_mw_0_1_-237515</t>
  </si>
  <si>
    <t>1N 4148W DIO</t>
  </si>
  <si>
    <t>https://www.reichelt.de/de/de/shop/produkt/kleinsignal-schalt-diode_100_v_150_ma_sod-123-219382</t>
  </si>
  <si>
    <t>BC 817-25 DIO</t>
  </si>
  <si>
    <t>https://www.reichelt.de/de/de/shop/produkt/bipolartransistor_npn_45v_0_5a_0_25w_sot-23-219186</t>
  </si>
  <si>
    <t>VIS CRCW12061K0</t>
  </si>
  <si>
    <t>https://www.reichelt.de/de/de/shop/produkt/smd-widerstand_1206_1_0_kohm_250_mw_1_-238107?PROVID=2788&amp;gad_source=1&amp;gad_campaignid=1622074784&amp;gbraid=0AAAAADwnxtbRDWe6ThqPkANhw_ak4jWBw&amp;gclid=Cj0KCQjwnbrUBhDOARIsAKKhPpdctdiA6tqULvTn2sTUS6FqmJC1_J6HoVQmYOjjMGhSPlfi9dK4bSQaAmesEALw_wcB</t>
  </si>
  <si>
    <t>ECC HXC500ARA470</t>
  </si>
  <si>
    <t>https://www.reichelt.de/de/de/shop/produkt/elko_smd_47_f_50v_105_c_4000h_aec-q200-289252</t>
  </si>
  <si>
    <t>B360B-13-F DII</t>
  </si>
  <si>
    <t>https://www.reichelt.de/de/de/shop/produkt/gleichrichterdiode_60_v_3_a_smb-216725</t>
  </si>
  <si>
    <t>P6SMB 24A SMD</t>
  </si>
  <si>
    <t>https://www.reichelt.de/de/de/shop/produkt/tvs-diode_unidirectional_24_v_600_w_do-214aa_smb-204320</t>
  </si>
  <si>
    <t>https://www.reichelt.de/de/de/shop/produkt/dc_dc-wandler_tsr-1_1_w_5_v_1000_ma_sil_to-220-116850</t>
  </si>
  <si>
    <t>https://www.reichelt.de/de/de/shop/produkt/dc_dc-wandler_tsr-1_1_w_3_3_v_1000_ma_sil_to-220-116849?search=TSR-1-2433&amp;</t>
  </si>
  <si>
    <t>https://www.reichelt.de/de/de/shop/produkt/mlcc_1206_10_nf_100_v_-5_x7r-409237</t>
  </si>
  <si>
    <t>METALL 2,00</t>
  </si>
  <si>
    <t>https://www.reichelt.de/de/de/shop/produkt/widerstand_metallschicht_2_0_ohm_0207_0_6_w_1_-11577</t>
  </si>
  <si>
    <t>732-61301421821-ND</t>
  </si>
  <si>
    <t>https://www.digikey.de/de/products/detail/w%C3%BCrth-elektronik/61301421821/16608590</t>
  </si>
  <si>
    <t>SS 14 VIS</t>
  </si>
  <si>
    <t>https://www.reichelt.de/de/de/shop/produkt/schottkydiode_40_v_1_a_do-214ac-219612</t>
  </si>
  <si>
    <t>S-V 10U 25</t>
  </si>
  <si>
    <t>https://www.reichelt.de/de/de/shop/produkt/smd-elko_10_f_-20_25_v_85_5_x_5_4_mm-228459</t>
  </si>
  <si>
    <t>732-61031421121CT-ND</t>
  </si>
  <si>
    <t>https://www.digikey.de/de/products/detail/w%C3%BCrth-elektronik/61031421121/4846903</t>
  </si>
  <si>
    <t>ECON SL14G2</t>
  </si>
  <si>
    <t>https://www.reichelt.de/de/de/shop/produkt/stiftleiste_2_x_7_polig_gerade_rastermass_2_54_mm-404299</t>
  </si>
  <si>
    <t>KBT KP-3216SURC</t>
  </si>
  <si>
    <t>https://www.reichelt.de/de/de/shop/produkt/smd-led_1206_hyper-rot_250_mcd_645_nm_140_-231713</t>
  </si>
  <si>
    <t>VIS CRCW12061K5</t>
  </si>
  <si>
    <t>https://www.reichelt.de/de/de/shop/produkt/smd-widerstand_1206_1_5_kohm_250_mw_1_-238108</t>
  </si>
  <si>
    <t>https://www.reichelt.de/de/de/shop/produkt/mlcc_1206_4_7uf_25v_x7r_-10_h1_6_mm-429143</t>
  </si>
  <si>
    <t>https://www.reichelt.de/de/de/shop/produkt/mlcc_1210_4_7_f_50v_x7r_-10_-438066</t>
  </si>
  <si>
    <t>710-744383560068</t>
  </si>
  <si>
    <t>https://eu.mouser.com/en/ProductDetail/Wurth-Elektronik/744383560068</t>
  </si>
  <si>
    <t>VIS CRCW12061M0</t>
  </si>
  <si>
    <t>https://www.reichelt.de/de/de/shop/produkt/smd-widerstand_1206_1_0_mohm_250_mw_1_-238109</t>
  </si>
  <si>
    <t>https://www.digikey.de/de/products/filter/chipwiderstand-oberfl%C3%A4chenmontage/71-5-kohms/52</t>
  </si>
  <si>
    <t>https://www.tme.eu/de/details/wr12x2203ftl/smd-widerstaende/walsin/</t>
  </si>
  <si>
    <t>611-OS202011MS2QS1</t>
  </si>
  <si>
    <t>https://www.mouser.de/de/c/electromechanical/switches/slide-switches/?q=OS202011MS2QS1</t>
  </si>
  <si>
    <t>584-LT8330ES6#TRMPBF</t>
  </si>
  <si>
    <t>https://www.mouser.de/ProductDetail/Analog-Devices/LT8330ES6TRMPBF</t>
  </si>
  <si>
    <t>RE 909</t>
  </si>
  <si>
    <t>https://www.reichelt.de/de/de/shop/produkt/adapter_sot23-3_0_95_mm_pitch_rm_2_54_mm-167706</t>
  </si>
  <si>
    <t>1W 100</t>
  </si>
  <si>
    <t>https://www.reichelt.de/de/de/shop/produkt/widerstand_metalloxyd_100_ohm_0207_1_0_w_5_-1777</t>
  </si>
  <si>
    <t>1W 100K</t>
  </si>
  <si>
    <t>https://www.reichelt.de/de/de/shop/produkt/widerstand_metalloxyd_100_kohm_0207_1_0_w_5_-1778</t>
  </si>
  <si>
    <t>https://www.weipuconnector.com/products/sp13/</t>
  </si>
  <si>
    <t>DELOCK 90174</t>
  </si>
  <si>
    <t>https://www.reichelt.de/de/de/shop/produkt/steckverbinder_dc_5_5_x_2_1_mm_buchse_zum_einbau_loetversion-371063</t>
  </si>
  <si>
    <t>2073-USB4105-GF-ACT-ND</t>
  </si>
  <si>
    <t>https://www.digikey.com/en/products/detail/gct/USB4105-GF-A/11198510</t>
  </si>
  <si>
    <t>541-5.10KFCT-ND</t>
  </si>
  <si>
    <t>https://www.digikey.com/en/products/detail/vishay-dale/CRCW12065K10FKEA/1176724</t>
  </si>
  <si>
    <t>MPE 115-1-008</t>
  </si>
  <si>
    <t>https://www.reichelt.de/de/de/shop/produkt/praez_-buchsenleisten_2_54_mm_1x08_gerade-187275</t>
  </si>
  <si>
    <t>IRF 7309</t>
  </si>
  <si>
    <t>https://www.reichelt.de/de/de/shop/produkt/mosfet_n_p-ch_30v_4_3a_1_4w_so-8-129777</t>
  </si>
  <si>
    <t>SMD 1/4W 100K</t>
  </si>
  <si>
    <t>https://www.reichelt.de/de/de/shop/produkt/smd-widerstand_1206_100_kohm_250_mw_5_-18243</t>
  </si>
  <si>
    <t>SMD 1/4W 10K</t>
  </si>
  <si>
    <t>https://www.reichelt.de/de/de/shop/produkt/smd-widerstand_1206_10_kohm_250_mw_5_-18244</t>
  </si>
  <si>
    <t>https://www.reichelt.de/de/de/shop/produkt/hex_inverting_schmitt_trigger_3_15_v_so-14-18422</t>
  </si>
  <si>
    <t>VF 220/16 P-D8</t>
  </si>
  <si>
    <t>https://www.reichelt.de/de/de/shop/produkt/elko_smd_220_f_16v_2000h_low_esr-109198</t>
  </si>
  <si>
    <t>ECC MZL160ARA471</t>
  </si>
  <si>
    <t>https://www.reichelt.de/de/de/shop/produkt/elko_smd_470_f_16_v_105_c_low_esr_8_x_10_mm-289206</t>
  </si>
  <si>
    <t>JST XH2P ST90</t>
  </si>
  <si>
    <t>https://www.reichelt.de/de/de/shop/produkt/jst_-_stiftleiste_90_1x2-polig_-_xh-185079</t>
  </si>
  <si>
    <t>WAL WR12X1001FTL</t>
  </si>
  <si>
    <t>https://www.reichelt.de/de/de/shop/produkt/smd-widerstand_1206_1_kohm_250_mw_1_-346654</t>
  </si>
  <si>
    <t>EVL 15-21SURD</t>
  </si>
  <si>
    <t>https://www.reichelt.de/de/de/shop/produkt/led_smd_1206_rot_40_mcd_160_-231622</t>
  </si>
  <si>
    <t>https://www.reichelt.de/de/de/shop/produkt/kurzschlussbruecke_schw_m_grifflasche-9019</t>
  </si>
  <si>
    <t>Active</t>
  </si>
  <si>
    <t>Conrad</t>
  </si>
  <si>
    <t>Lieferant noch zuordnen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</si>
</sst>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\-??\ _€_-;_-@_-"/>
    <numFmt numFmtId="165" formatCode="_-* #,##0\ _€_-;\-* #,##0\ _€_-;_-* &quot;- &quot;_€_-;_-@_-"/>
    <numFmt numFmtId="166" formatCode="_-* #,##0.00&quot; €&quot;_-;\-* #,##0.00&quot; €&quot;_-;_-* \-??&quot; €&quot;_-;_-@_-"/>
    <numFmt numFmtId="167" formatCode="_-* #,##0&quot; €&quot;_-;\-* #,##0&quot; €&quot;_-;_-* &quot;- €&quot;_-;_-@_-"/>
    <numFmt numFmtId="168" formatCode="0\ %"/>
    <numFmt numFmtId="169" formatCode="\€#,##0.00"/>
    <numFmt numFmtId="170" formatCode="0.00&quot; €&quot;"/>
    <numFmt numFmtId="171" formatCode="\€0.00"/>
    <numFmt numFmtId="172" formatCode="yyyy\-mm\-dd"/>
  </numFmts>
  <fonts count="23" x14ac:knownFonts="1">
    <font>
      <sz val="10"/>
      <name val="Arial"/>
      <family val="2"/>
    </font>
    <font>
      <sz val="10"/>
      <name val="Arial"/>
      <charset val="1"/>
    </font>
    <font>
      <sz val="11"/>
      <color theme="10"/>
      <name val="Calibri"/>
      <charset val="1"/>
    </font>
    <font>
      <sz val="11"/>
      <name val="Calibri"/>
      <charset val="1"/>
    </font>
    <font>
      <sz val="11"/>
      <name val="Abadi ExtraLight"/>
      <charset val="1"/>
    </font>
    <font>
      <b/>
      <sz val="11"/>
      <color rgb="FFFFFFFF"/>
      <name val="Calibri Light"/>
      <charset val="1"/>
    </font>
    <font>
      <sz val="11"/>
      <name val="Calibri Light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i/>
      <sz val="11"/>
      <color rgb="FF1F1F1F"/>
      <name val="Calibri"/>
      <charset val="1"/>
    </font>
    <font>
      <b/>
      <sz val="11"/>
      <name val="Calibri"/>
      <charset val="1"/>
    </font>
    <font>
      <b/>
      <sz val="11"/>
      <color rgb="FF375623"/>
      <name val="Calibri"/>
      <charset val="1"/>
    </font>
    <font>
      <sz val="11"/>
      <color rgb="FF375623"/>
      <name val="Calibri"/>
      <charset val="1"/>
    </font>
    <font>
      <b/>
      <sz val="11"/>
      <color rgb="FF1F1F1F"/>
      <name val="Calibri"/>
      <charset val="1"/>
    </font>
    <font>
      <b/>
      <sz val="10"/>
      <color rgb="FFFFFFFF"/>
      <name val="Arial"/>
      <charset val="1"/>
    </font>
    <font>
      <b/>
      <sz val="11"/>
      <color rgb="FF7F7F7F"/>
      <name val="Calibri"/>
      <charset val="1"/>
    </font>
    <font>
      <b/>
      <sz val="10"/>
      <name val="Arial"/>
      <charset val="1"/>
    </font>
    <font>
      <b/>
      <sz val="11"/>
      <color rgb="FF1F4E78"/>
      <name val="Calibri"/>
      <charset val="1"/>
    </font>
    <font>
      <b/>
      <sz val="11"/>
      <color rgb="FF111111"/>
      <name val="Calibri"/>
      <charset val="1"/>
    </font>
    <font>
      <sz val="11"/>
      <color rgb="FF333333"/>
      <name val="Calibri"/>
      <charset val="1"/>
    </font>
    <font>
      <sz val="11"/>
      <color rgb="FF555555"/>
      <name val="Calibri"/>
      <charset val="1"/>
    </font>
    <font>
      <b/>
      <sz val="10"/>
      <color rgb="FF7F7F7F"/>
      <name val="Arial"/>
      <charset val="1"/>
    </font>
    <font>
      <sz val="10"/>
      <color rgb="FF7F7F7F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D9EAF7"/>
        <bgColor rgb="FFD9E2F3"/>
      </patternFill>
    </fill>
    <fill>
      <patternFill patternType="solid">
        <fgColor rgb="FF4472C4"/>
        <bgColor rgb="FF467886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E7E6E6"/>
      </patternFill>
    </fill>
    <fill>
      <patternFill patternType="solid">
        <fgColor rgb="FF146C87"/>
        <bgColor rgb="FF156082"/>
      </patternFill>
    </fill>
    <fill>
      <patternFill patternType="solid">
        <fgColor rgb="FFD9E2F3"/>
        <bgColor rgb="FFD9EAF7"/>
      </patternFill>
    </fill>
    <fill>
      <patternFill patternType="solid">
        <fgColor rgb="FFF3F6F9"/>
        <bgColor rgb="FFF2F2F2"/>
      </patternFill>
    </fill>
    <fill>
      <patternFill patternType="solid">
        <fgColor rgb="FF156082"/>
        <bgColor rgb="FF146C87"/>
      </patternFill>
    </fill>
    <fill>
      <patternFill patternType="solid">
        <fgColor rgb="FFE7E6E6"/>
        <bgColor rgb="FFE2F0D9"/>
      </patternFill>
    </fill>
    <fill>
      <patternFill patternType="solid">
        <fgColor rgb="FFFFFFFF"/>
        <bgColor rgb="FFF3F6F9"/>
      </patternFill>
    </fill>
    <fill>
      <patternFill patternType="solid">
        <fgColor rgb="FFF2F2F2"/>
        <bgColor rgb="FFF3F6F9"/>
      </patternFill>
    </fill>
  </fills>
  <borders count="19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/>
      <top/>
      <bottom style="double">
        <color rgb="FF1F4E78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 style="thin">
        <color rgb="FFB4C7E7"/>
      </top>
      <bottom/>
      <diagonal/>
    </border>
  </borders>
  <cellStyleXfs count="24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0" fontId="2" fillId="0" borderId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168" fontId="1" fillId="0" borderId="0" applyBorder="0" applyAlignment="0" applyProtection="0"/>
    <xf numFmtId="168" fontId="1" fillId="0" borderId="0" applyBorder="0" applyAlignment="0" applyProtection="0"/>
    <xf numFmtId="168" fontId="1" fillId="0" borderId="0" applyBorder="0" applyAlignment="0" applyProtection="0"/>
    <xf numFmtId="0" fontId="1" fillId="0" borderId="0"/>
    <xf numFmtId="0" fontId="3" fillId="0" borderId="0"/>
    <xf numFmtId="0" fontId="1" fillId="0" borderId="0"/>
  </cellStyleXfs>
  <cellXfs count="75">
    <xf numFmtId="0" fontId="0" fillId="0" borderId="0" xfId="0"/>
    <xf numFmtId="0" fontId="8" fillId="2" borderId="14" xfId="22" applyFont="1" applyFill="1" applyBorder="1" applyAlignment="1">
      <alignment vertical="center"/>
    </xf>
    <xf numFmtId="0" fontId="8" fillId="2" borderId="0" xfId="22" applyFont="1" applyFill="1" applyAlignment="1">
      <alignment vertical="center"/>
    </xf>
    <xf numFmtId="0" fontId="12" fillId="6" borderId="0" xfId="22" applyFont="1" applyFill="1" applyAlignment="1">
      <alignment vertical="center" wrapText="1"/>
    </xf>
    <xf numFmtId="0" fontId="9" fillId="3" borderId="0" xfId="22" applyFont="1" applyFill="1" applyAlignment="1">
      <alignment vertical="center" wrapText="1"/>
    </xf>
    <xf numFmtId="0" fontId="8" fillId="2" borderId="0" xfId="22" applyFont="1" applyFill="1" applyAlignment="1">
      <alignment vertical="center" wrapText="1"/>
    </xf>
    <xf numFmtId="0" fontId="4" fillId="0" borderId="0" xfId="22" applyFont="1"/>
    <xf numFmtId="0" fontId="5" fillId="2" borderId="1" xfId="21" applyFont="1" applyFill="1" applyBorder="1" applyAlignment="1">
      <alignment vertical="center" wrapText="1"/>
    </xf>
    <xf numFmtId="0" fontId="6" fillId="0" borderId="0" xfId="22" applyFont="1"/>
    <xf numFmtId="49" fontId="3" fillId="0" borderId="2" xfId="21" applyNumberFormat="1" applyFont="1" applyBorder="1" applyAlignment="1">
      <alignment vertical="top"/>
    </xf>
    <xf numFmtId="0" fontId="3" fillId="0" borderId="2" xfId="21" applyFont="1" applyBorder="1" applyAlignment="1">
      <alignment vertical="top"/>
    </xf>
    <xf numFmtId="0" fontId="3" fillId="0" borderId="2" xfId="21" applyFont="1" applyBorder="1" applyAlignment="1">
      <alignment vertical="top" wrapText="1"/>
    </xf>
    <xf numFmtId="49" fontId="3" fillId="0" borderId="2" xfId="21" applyNumberFormat="1" applyFont="1" applyBorder="1" applyAlignment="1">
      <alignment vertical="top" wrapText="1"/>
    </xf>
    <xf numFmtId="169" fontId="3" fillId="0" borderId="2" xfId="21" applyNumberFormat="1" applyFont="1" applyBorder="1" applyAlignment="1">
      <alignment vertical="top" wrapText="1"/>
    </xf>
    <xf numFmtId="1" fontId="3" fillId="0" borderId="2" xfId="21" applyNumberFormat="1" applyFont="1" applyBorder="1" applyAlignment="1">
      <alignment vertical="top"/>
    </xf>
    <xf numFmtId="0" fontId="2" fillId="0" borderId="0" xfId="21" applyFont="1" applyAlignment="1">
      <alignment wrapText="1"/>
    </xf>
    <xf numFmtId="0" fontId="2" fillId="0" borderId="2" xfId="21" applyFont="1" applyBorder="1" applyAlignment="1">
      <alignment vertical="top" wrapText="1"/>
    </xf>
    <xf numFmtId="49" fontId="3" fillId="0" borderId="3" xfId="21" applyNumberFormat="1" applyFont="1" applyBorder="1" applyAlignment="1">
      <alignment vertical="top"/>
    </xf>
    <xf numFmtId="0" fontId="3" fillId="0" borderId="3" xfId="21" applyFont="1" applyBorder="1" applyAlignment="1">
      <alignment vertical="top"/>
    </xf>
    <xf numFmtId="0" fontId="3" fillId="0" borderId="3" xfId="21" applyFont="1" applyBorder="1" applyAlignment="1">
      <alignment vertical="top" wrapText="1"/>
    </xf>
    <xf numFmtId="49" fontId="3" fillId="0" borderId="3" xfId="21" applyNumberFormat="1" applyFont="1" applyBorder="1" applyAlignment="1">
      <alignment vertical="top" wrapText="1"/>
    </xf>
    <xf numFmtId="169" fontId="3" fillId="0" borderId="3" xfId="21" applyNumberFormat="1" applyFont="1" applyBorder="1" applyAlignment="1">
      <alignment vertical="top" wrapText="1"/>
    </xf>
    <xf numFmtId="1" fontId="3" fillId="0" borderId="3" xfId="21" applyNumberFormat="1" applyFont="1" applyBorder="1" applyAlignment="1">
      <alignment vertical="top"/>
    </xf>
    <xf numFmtId="0" fontId="3" fillId="0" borderId="0" xfId="21" applyFont="1"/>
    <xf numFmtId="0" fontId="3" fillId="0" borderId="0" xfId="21" applyFont="1" applyAlignment="1">
      <alignment wrapText="1"/>
    </xf>
    <xf numFmtId="170" fontId="3" fillId="0" borderId="0" xfId="21" applyNumberFormat="1" applyFont="1" applyAlignment="1">
      <alignment wrapText="1"/>
    </xf>
    <xf numFmtId="0" fontId="7" fillId="0" borderId="0" xfId="21" applyFont="1"/>
    <xf numFmtId="0" fontId="7" fillId="0" borderId="0" xfId="21" applyFont="1" applyAlignment="1">
      <alignment wrapText="1"/>
    </xf>
    <xf numFmtId="0" fontId="8" fillId="2" borderId="0" xfId="22" applyFont="1" applyFill="1" applyAlignment="1">
      <alignment vertical="center"/>
    </xf>
    <xf numFmtId="0" fontId="1" fillId="0" borderId="0" xfId="16"/>
    <xf numFmtId="0" fontId="8" fillId="2" borderId="0" xfId="22" applyFont="1" applyFill="1" applyAlignment="1">
      <alignment vertical="center" wrapText="1"/>
    </xf>
    <xf numFmtId="1" fontId="3" fillId="0" borderId="0" xfId="22" applyNumberFormat="1"/>
    <xf numFmtId="171" fontId="3" fillId="0" borderId="0" xfId="22" applyNumberFormat="1"/>
    <xf numFmtId="0" fontId="8" fillId="4" borderId="0" xfId="22" applyFont="1" applyFill="1"/>
    <xf numFmtId="0" fontId="3" fillId="0" borderId="4" xfId="22" applyBorder="1"/>
    <xf numFmtId="0" fontId="3" fillId="0" borderId="5" xfId="22" applyBorder="1"/>
    <xf numFmtId="1" fontId="10" fillId="5" borderId="6" xfId="22" applyNumberFormat="1" applyFont="1" applyFill="1" applyBorder="1" applyAlignment="1">
      <alignment horizontal="center"/>
    </xf>
    <xf numFmtId="0" fontId="10" fillId="5" borderId="6" xfId="22" applyFont="1" applyFill="1" applyBorder="1" applyAlignment="1">
      <alignment horizontal="center"/>
    </xf>
    <xf numFmtId="0" fontId="3" fillId="0" borderId="7" xfId="22" applyBorder="1"/>
    <xf numFmtId="0" fontId="3" fillId="0" borderId="8" xfId="22" applyBorder="1"/>
    <xf numFmtId="1" fontId="10" fillId="5" borderId="9" xfId="22" applyNumberFormat="1" applyFont="1" applyFill="1" applyBorder="1" applyAlignment="1">
      <alignment horizontal="center"/>
    </xf>
    <xf numFmtId="0" fontId="3" fillId="0" borderId="10" xfId="22" applyBorder="1"/>
    <xf numFmtId="0" fontId="10" fillId="5" borderId="11" xfId="22" applyFont="1" applyFill="1" applyBorder="1" applyAlignment="1">
      <alignment horizontal="center"/>
    </xf>
    <xf numFmtId="0" fontId="3" fillId="0" borderId="12" xfId="22" applyBorder="1"/>
    <xf numFmtId="1" fontId="10" fillId="5" borderId="11" xfId="22" applyNumberFormat="1" applyFont="1" applyFill="1" applyBorder="1" applyAlignment="1">
      <alignment horizontal="center"/>
    </xf>
    <xf numFmtId="0" fontId="11" fillId="6" borderId="0" xfId="22" applyFont="1" applyFill="1" applyAlignment="1">
      <alignment vertical="center" wrapText="1"/>
    </xf>
    <xf numFmtId="0" fontId="12" fillId="6" borderId="0" xfId="22" applyFont="1" applyFill="1" applyAlignment="1">
      <alignment vertical="center" wrapText="1"/>
    </xf>
    <xf numFmtId="0" fontId="8" fillId="7" borderId="0" xfId="22" applyFont="1" applyFill="1" applyAlignment="1">
      <alignment wrapText="1"/>
    </xf>
    <xf numFmtId="0" fontId="3" fillId="0" borderId="0" xfId="22" applyAlignment="1">
      <alignment wrapText="1"/>
    </xf>
    <xf numFmtId="169" fontId="3" fillId="0" borderId="0" xfId="22" applyNumberFormat="1"/>
    <xf numFmtId="1" fontId="10" fillId="5" borderId="0" xfId="22" applyNumberFormat="1" applyFont="1" applyFill="1" applyAlignment="1">
      <alignment horizontal="center"/>
    </xf>
    <xf numFmtId="1" fontId="10" fillId="8" borderId="13" xfId="22" applyNumberFormat="1" applyFont="1" applyFill="1" applyBorder="1"/>
    <xf numFmtId="0" fontId="13" fillId="3" borderId="15" xfId="22" applyFont="1" applyFill="1" applyBorder="1" applyAlignment="1">
      <alignment vertical="center"/>
    </xf>
    <xf numFmtId="1" fontId="10" fillId="5" borderId="16" xfId="22" applyNumberFormat="1" applyFont="1" applyFill="1" applyBorder="1" applyAlignment="1">
      <alignment horizontal="center"/>
    </xf>
    <xf numFmtId="0" fontId="3" fillId="9" borderId="16" xfId="22" applyFill="1" applyBorder="1" applyAlignment="1">
      <alignment horizontal="center"/>
    </xf>
    <xf numFmtId="0" fontId="14" fillId="7" borderId="0" xfId="21" applyFont="1" applyFill="1" applyAlignment="1">
      <alignment wrapText="1"/>
    </xf>
    <xf numFmtId="0" fontId="8" fillId="10" borderId="0" xfId="22" applyFont="1" applyFill="1" applyAlignment="1">
      <alignment horizontal="center" vertical="center" wrapText="1"/>
    </xf>
    <xf numFmtId="0" fontId="15" fillId="11" borderId="0" xfId="22" applyFont="1" applyFill="1"/>
    <xf numFmtId="0" fontId="16" fillId="5" borderId="0" xfId="21" applyFont="1" applyFill="1" applyAlignment="1">
      <alignment horizontal="center"/>
    </xf>
    <xf numFmtId="49" fontId="3" fillId="5" borderId="0" xfId="22" applyNumberFormat="1" applyFill="1" applyAlignment="1">
      <alignment horizontal="center"/>
    </xf>
    <xf numFmtId="0" fontId="3" fillId="5" borderId="0" xfId="22" applyFill="1" applyAlignment="1">
      <alignment horizontal="center" vertical="center"/>
    </xf>
    <xf numFmtId="0" fontId="13" fillId="3" borderId="17" xfId="22" applyFont="1" applyFill="1" applyBorder="1" applyAlignment="1">
      <alignment vertical="center"/>
    </xf>
    <xf numFmtId="0" fontId="3" fillId="9" borderId="18" xfId="22" applyFill="1" applyBorder="1" applyAlignment="1">
      <alignment horizontal="center"/>
    </xf>
    <xf numFmtId="0" fontId="17" fillId="12" borderId="0" xfId="22" applyFont="1" applyFill="1" applyAlignment="1">
      <alignment wrapText="1"/>
    </xf>
    <xf numFmtId="0" fontId="18" fillId="12" borderId="0" xfId="22" applyFont="1" applyFill="1" applyAlignment="1">
      <alignment vertical="center" wrapText="1"/>
    </xf>
    <xf numFmtId="0" fontId="19" fillId="12" borderId="0" xfId="22" applyFont="1" applyFill="1" applyAlignment="1">
      <alignment vertical="top" wrapText="1"/>
    </xf>
    <xf numFmtId="0" fontId="20" fillId="12" borderId="0" xfId="22" applyFont="1" applyFill="1" applyAlignment="1">
      <alignment vertical="top" wrapText="1"/>
    </xf>
    <xf numFmtId="0" fontId="14" fillId="2" borderId="0" xfId="21" applyFont="1" applyFill="1" applyAlignment="1">
      <alignment vertical="center" wrapText="1"/>
    </xf>
    <xf numFmtId="0" fontId="21" fillId="13" borderId="0" xfId="21" applyFont="1" applyFill="1" applyAlignment="1">
      <alignment vertical="center" wrapText="1"/>
    </xf>
    <xf numFmtId="0" fontId="7" fillId="0" borderId="0" xfId="21" applyFont="1" applyAlignment="1">
      <alignment vertical="top"/>
    </xf>
    <xf numFmtId="171" fontId="7" fillId="0" borderId="0" xfId="21" applyNumberFormat="1" applyFont="1" applyAlignment="1">
      <alignment vertical="top"/>
    </xf>
    <xf numFmtId="172" fontId="7" fillId="0" borderId="0" xfId="21" applyNumberFormat="1" applyFont="1" applyAlignment="1">
      <alignment vertical="top"/>
    </xf>
    <xf numFmtId="0" fontId="22" fillId="13" borderId="0" xfId="21" applyFont="1" applyFill="1" applyAlignment="1">
      <alignment vertical="top"/>
    </xf>
    <xf numFmtId="0" fontId="14" fillId="2" borderId="0" xfId="21" applyFont="1" applyFill="1"/>
    <xf numFmtId="0" fontId="1" fillId="0" borderId="0" xfId="17"/>
  </cellXfs>
  <cellStyles count="24">
    <cellStyle name="Comma" xfId="1" xr:uid="{00000000-0005-0000-0000-000006000000}"/>
    <cellStyle name="Comma [0]" xfId="4" xr:uid="{00000000-0005-0000-0000-000009000000}"/>
    <cellStyle name="Comma [0] 2" xfId="5" xr:uid="{00000000-0005-0000-0000-00000A000000}"/>
    <cellStyle name="Comma [0] 3" xfId="6" xr:uid="{00000000-0005-0000-0000-00000B000000}"/>
    <cellStyle name="Comma 1" xfId="2" xr:uid="{00000000-0005-0000-0000-000007000000}"/>
    <cellStyle name="Comma 2" xfId="3" xr:uid="{00000000-0005-0000-0000-000008000000}"/>
    <cellStyle name="Currency" xfId="7" xr:uid="{00000000-0005-0000-0000-00000C000000}"/>
    <cellStyle name="Currency [0]" xfId="10" xr:uid="{00000000-0005-0000-0000-00000F000000}"/>
    <cellStyle name="Currency [0] 4" xfId="11" xr:uid="{00000000-0005-0000-0000-000010000000}"/>
    <cellStyle name="Currency [0] 5" xfId="12" xr:uid="{00000000-0005-0000-0000-000011000000}"/>
    <cellStyle name="Currency 3" xfId="8" xr:uid="{00000000-0005-0000-0000-00000D000000}"/>
    <cellStyle name="Currency 4" xfId="9" xr:uid="{00000000-0005-0000-0000-00000E000000}"/>
    <cellStyle name="Link" xfId="13" xr:uid="{00000000-0005-0000-0000-000012000000}"/>
    <cellStyle name="Normal" xfId="14" xr:uid="{00000000-0005-0000-0000-000013000000}"/>
    <cellStyle name="Normal 1" xfId="15" xr:uid="{00000000-0005-0000-0000-000014000000}"/>
    <cellStyle name="Normal 5" xfId="16" xr:uid="{00000000-0005-0000-0000-000015000000}"/>
    <cellStyle name="Normal 6" xfId="17" xr:uid="{00000000-0005-0000-0000-000016000000}"/>
    <cellStyle name="Percent" xfId="18" xr:uid="{00000000-0005-0000-0000-000017000000}"/>
    <cellStyle name="Percent 6" xfId="19" xr:uid="{00000000-0005-0000-0000-000018000000}"/>
    <cellStyle name="Percent 7" xfId="20" xr:uid="{00000000-0005-0000-0000-000019000000}"/>
    <cellStyle name="Standard" xfId="0" builtinId="0"/>
    <cellStyle name="Standard 2" xfId="22" xr:uid="{00000000-0005-0000-0000-00001B000000}"/>
    <cellStyle name="Standard 3" xfId="23" xr:uid="{00000000-0005-0000-0000-00001C000000}"/>
    <cellStyle name="Standard 4" xfId="21" xr:uid="{00000000-0005-0000-0000-00001A000000}"/>
  </cellStyles>
  <dxfs count="12">
    <dxf>
      <font>
        <b/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A6A6A6"/>
      </font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6500"/>
      </font>
      <fill>
        <patternFill>
          <bgColor rgb="FFFFF2CC"/>
        </patternFill>
      </fill>
    </dxf>
  </dxfs>
  <tableStyles count="0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375623"/>
      <rgbColor rgb="FF000080"/>
      <rgbColor rgb="FF7F6000"/>
      <rgbColor rgb="FF800080"/>
      <rgbColor rgb="FF146C87"/>
      <rgbColor rgb="FFB4C7E7"/>
      <rgbColor rgb="FF7F7F7F"/>
      <rgbColor rgb="FF9999FF"/>
      <rgbColor rgb="FF555555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F3F6F9"/>
      <rgbColor rgb="FFE2F0D9"/>
      <rgbColor rgb="FFFCE4D6"/>
      <rgbColor rgb="FFE7E6E6"/>
      <rgbColor rgb="FFF2F2F2"/>
      <rgbColor rgb="FFCC99FF"/>
      <rgbColor rgb="FFF4CCCC"/>
      <rgbColor rgb="FF4472C4"/>
      <rgbColor rgb="FF46B1E1"/>
      <rgbColor rgb="FF99CC00"/>
      <rgbColor rgb="FFFFCC00"/>
      <rgbColor rgb="FFFF9900"/>
      <rgbColor rgb="FFFF6600"/>
      <rgbColor rgb="FF467886"/>
      <rgbColor rgb="FFA6A6A6"/>
      <rgbColor rgb="FF003366"/>
      <rgbColor rgb="FF339966"/>
      <rgbColor rgb="FF111111"/>
      <rgbColor rgb="FF1F1F1F"/>
      <rgbColor rgb="FF9C65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PartsTable" displayName="PartsTable" ref="A1:M102" totalsRowShown="0">
  <autoFilter ref="A1:M102" xr:uid="{00000000-0009-0000-0100-000004000000}"/>
  <tableColumns count="13">
    <tableColumn id="1" xr3:uid="{00000000-0010-0000-0000-000001000000}" name="Part_ID"/>
    <tableColumn id="2" xr3:uid="{00000000-0010-0000-0000-000002000000}" name="Category"/>
    <tableColumn id="3" xr3:uid="{00000000-0010-0000-0000-000003000000}" name="Description"/>
    <tableColumn id="4" xr3:uid="{00000000-0010-0000-0000-000004000000}" name="Value_Rating"/>
    <tableColumn id="5" xr3:uid="{00000000-0010-0000-0000-000005000000}" name="Package_Footprint"/>
    <tableColumn id="6" xr3:uid="{00000000-0010-0000-0000-000006000000}" name="Manufacturer"/>
    <tableColumn id="7" xr3:uid="{00000000-0010-0000-0000-000007000000}" name="MPN"/>
    <tableColumn id="8" xr3:uid="{00000000-0010-0000-0000-000008000000}" name="Found_In"/>
    <tableColumn id="9" xr3:uid="{00000000-0010-0000-0000-000009000000}" name="KiCad_References"/>
    <tableColumn id="10" xr3:uid="{00000000-0010-0000-0000-00000A000000}" name="Source"/>
    <tableColumn id="11" xr3:uid="{00000000-0010-0000-0000-00000B000000}" name="Review_Status"/>
    <tableColumn id="12" xr3:uid="{00000000-0010-0000-0000-00000C000000}" name="Notes"/>
    <tableColumn id="13" xr3:uid="{00000000-0010-0000-0000-00000D000000}" name="Duplicate_Check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itsTable" displayName="KitsTable" ref="A1:G5" totalsRowShown="0">
  <tableColumns count="7">
    <tableColumn id="1" xr3:uid="{00000000-0010-0000-0100-000001000000}" name="Kit_ID"/>
    <tableColumn id="2" xr3:uid="{00000000-0010-0000-0100-000002000000}" name="Kit_Name"/>
    <tableColumn id="3" xr3:uid="{00000000-0010-0000-0100-000003000000}" name="Revision"/>
    <tableColumn id="4" xr3:uid="{00000000-0010-0000-0100-000004000000}" name="Status"/>
    <tableColumn id="5" xr3:uid="{00000000-0010-0000-0100-000005000000}" name="KiCad_Schematic"/>
    <tableColumn id="6" xr3:uid="{00000000-0010-0000-0100-000006000000}" name="KiCad_PCB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KitBomTable" displayName="KitBomTable" ref="A1:M84" totalsRowShown="0">
  <tableColumns count="13">
    <tableColumn id="1" xr3:uid="{00000000-0010-0000-0200-000001000000}" name="Kit_ID"/>
    <tableColumn id="2" xr3:uid="{00000000-0010-0000-0200-000002000000}" name="Kit_Revision"/>
    <tableColumn id="3" xr3:uid="{00000000-0010-0000-0200-000003000000}" name="Position"/>
    <tableColumn id="4" xr3:uid="{00000000-0010-0000-0200-000004000000}" name="RefDes"/>
    <tableColumn id="5" xr3:uid="{00000000-0010-0000-0200-000005000000}" name="Part_Number"/>
    <tableColumn id="6" xr3:uid="{00000000-0010-0000-0200-000006000000}" name="Quantity"/>
    <tableColumn id="7" xr3:uid="{00000000-0010-0000-0200-000007000000}" name="Build_Status"/>
    <tableColumn id="8" xr3:uid="{00000000-0010-0000-0200-000008000000}" name="Source_Type"/>
    <tableColumn id="9" xr3:uid="{00000000-0010-0000-0200-000009000000}" name="Value"/>
    <tableColumn id="10" xr3:uid="{00000000-0010-0000-0200-00000A000000}" name="Footprint"/>
    <tableColumn id="11" xr3:uid="{00000000-0010-0000-0200-00000B000000}" name="Unit_Price_EUR"/>
    <tableColumn id="12" xr3:uid="{00000000-0010-0000-0200-00000C000000}" name="Position_Price_EUR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OrderListTable" displayName="OrderListTable" ref="A13:K66" totalsRowCount="1">
  <autoFilter ref="A13:K65" xr:uid="{00000000-0009-0000-0100-000003000000}"/>
  <tableColumns count="11">
    <tableColumn id="1" xr3:uid="{00000000-0010-0000-0300-000001000000}" name="Part_ID"/>
    <tableColumn id="2" xr3:uid="{00000000-0010-0000-0300-000002000000}" name="Description"/>
    <tableColumn id="3" xr3:uid="{00000000-0010-0000-0300-000003000000}" name="Supplier"/>
    <tableColumn id="4" xr3:uid="{00000000-0010-0000-0300-000004000000}" name="Supplier_PN"/>
    <tableColumn id="5" xr3:uid="{00000000-0010-0000-0300-000005000000}" name="Bedarf"/>
    <tableColumn id="6" xr3:uid="{00000000-0010-0000-0300-000006000000}" name="Packaging_Unit"/>
    <tableColumn id="7" xr3:uid="{00000000-0010-0000-0300-000007000000}" name="Bedarf_gerundet"/>
    <tableColumn id="8" xr3:uid="{00000000-0010-0000-0300-000008000000}" name="Unit_Price_EUR"/>
    <tableColumn id="9" xr3:uid="{00000000-0010-0000-0300-000009000000}" name="Bedarfswert_EUR"/>
    <tableColumn id="10" xr3:uid="{00000000-0010-0000-0300-00000A000000}" name="Import_Status"/>
    <tableColumn id="11" xr3:uid="{00000000-0010-0000-0300-00000B000000}" name="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StockTable" displayName="StockTable" ref="A4:M105" totalsRowShown="0">
  <autoFilter ref="A4:M105" xr:uid="{00000000-0009-0000-0100-000006000000}"/>
  <tableColumns count="13">
    <tableColumn id="1" xr3:uid="{00000000-0010-0000-0400-000001000000}" name="Part_Number"/>
    <tableColumn id="2" xr3:uid="{00000000-0010-0000-0400-000002000000}" name="Category"/>
    <tableColumn id="3" xr3:uid="{00000000-0010-0000-0400-000003000000}" name="Description"/>
    <tableColumn id="4" xr3:uid="{00000000-0010-0000-0400-000004000000}" name="Value_Rating"/>
    <tableColumn id="5" xr3:uid="{00000000-0010-0000-0400-000005000000}" name="Package_Footprint"/>
    <tableColumn id="6" xr3:uid="{00000000-0010-0000-0400-000006000000}" name="Manufacturer"/>
    <tableColumn id="7" xr3:uid="{00000000-0010-0000-0400-000007000000}" name="MPN"/>
    <tableColumn id="8" xr3:uid="{00000000-0010-0000-0400-000008000000}" name="Supplier"/>
    <tableColumn id="9" xr3:uid="{00000000-0010-0000-0400-000009000000}" name="Supplier_PN"/>
    <tableColumn id="10" xr3:uid="{00000000-0010-0000-0400-00000A000000}" name="Bestand"/>
    <tableColumn id="11" xr3:uid="{00000000-0010-0000-0400-00000B000000}" name="Bestellt"/>
    <tableColumn id="12" xr3:uid="{00000000-0010-0000-0400-00000C000000}" name="Found_In"/>
    <tableColumn id="13" xr3:uid="{00000000-0010-0000-0400-00000D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PartSuppliersTable" displayName="PartSuppliersTable" ref="A1:L102" totalsRowShown="0">
  <tableColumns count="12">
    <tableColumn id="1" xr3:uid="{00000000-0010-0000-0500-000001000000}" name="Part_ID"/>
    <tableColumn id="2" xr3:uid="{00000000-0010-0000-0500-000002000000}" name="Supplier"/>
    <tableColumn id="3" xr3:uid="{00000000-0010-0000-0500-000003000000}" name="Supplier_PN"/>
    <tableColumn id="4" xr3:uid="{00000000-0010-0000-0500-000004000000}" name="URL"/>
    <tableColumn id="5" xr3:uid="{00000000-0010-0000-0500-000005000000}" name="Unit_Price_EUR"/>
    <tableColumn id="6" xr3:uid="{00000000-0010-0000-0500-000006000000}" name="Purchase_Unit"/>
    <tableColumn id="7" xr3:uid="{00000000-0010-0000-0500-000007000000}" name="Packaging_Unit"/>
    <tableColumn id="8" xr3:uid="{00000000-0010-0000-0500-000008000000}" name="Preferred"/>
    <tableColumn id="9" xr3:uid="{00000000-0010-0000-0500-000009000000}" name="Last_Checked"/>
    <tableColumn id="10" xr3:uid="{00000000-0010-0000-0500-00000A000000}" name="Notes"/>
    <tableColumn id="11" xr3:uid="{00000000-0010-0000-0500-00000B000000}" name="Part_Supplier_Key"/>
    <tableColumn id="12" xr3:uid="{00000000-0010-0000-0500-00000C000000}" name="Preferred_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uppliersTable" displayName="SuppliersTable" ref="A1:C10" totalsRowShown="0">
  <tableColumns count="3">
    <tableColumn id="1" xr3:uid="{00000000-0010-0000-0600-000001000000}" name="Supplier"/>
    <tableColumn id="2" xr3:uid="{00000000-0010-0000-0600-000002000000}" name="Active"/>
    <tableColumn id="3" xr3:uid="{00000000-0010-0000-06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eichelt.de/de/de/shop/produkt/smd-widerstand_1206_47_ohm_250_mw_5_-2503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showGridLines="0" zoomScaleNormal="100" workbookViewId="0"/>
  </sheetViews>
  <sheetFormatPr baseColWidth="10" defaultColWidth="8.83203125" defaultRowHeight="12" x14ac:dyDescent="0.15"/>
  <cols>
    <col min="1" max="1" width="14" style="6" customWidth="1"/>
    <col min="2" max="2" width="18" style="6" customWidth="1"/>
    <col min="3" max="3" width="38" style="6" customWidth="1"/>
    <col min="4" max="4" width="24" style="6" customWidth="1"/>
    <col min="5" max="5" width="42" style="6" customWidth="1"/>
    <col min="6" max="6" width="24" style="6" customWidth="1"/>
    <col min="7" max="7" width="26" style="6" customWidth="1"/>
    <col min="8" max="8" width="35" style="6" customWidth="1"/>
    <col min="9" max="9" width="42" style="6" customWidth="1"/>
    <col min="10" max="10" width="22" style="6" customWidth="1"/>
    <col min="11" max="11" width="15" style="6" customWidth="1"/>
    <col min="12" max="12" width="55" style="6" customWidth="1"/>
    <col min="13" max="13" width="38" style="6" customWidth="1"/>
    <col min="14" max="14" width="30" style="6" customWidth="1"/>
    <col min="15" max="15" width="42" style="6" customWidth="1"/>
    <col min="16" max="16" width="55.83203125" style="6" customWidth="1"/>
    <col min="17" max="17" width="15" style="6" customWidth="1"/>
    <col min="18" max="18" width="174.33203125" style="6" customWidth="1"/>
    <col min="19" max="19" width="42" style="6" customWidth="1"/>
    <col min="20" max="16384" width="8.83203125" style="6"/>
  </cols>
  <sheetData>
    <row r="1" spans="1:19" s="8" customFormat="1" ht="34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9" ht="48" x14ac:dyDescent="0.15">
      <c r="A2" s="9" t="s">
        <v>13</v>
      </c>
      <c r="B2" s="10" t="s">
        <v>14</v>
      </c>
      <c r="C2" s="11" t="s">
        <v>15</v>
      </c>
      <c r="D2" s="11" t="s">
        <v>16</v>
      </c>
      <c r="E2" s="11"/>
      <c r="F2" s="11" t="s">
        <v>17</v>
      </c>
      <c r="G2" s="12"/>
      <c r="H2" s="12" t="s">
        <v>18</v>
      </c>
      <c r="I2" s="12" t="s">
        <v>19</v>
      </c>
      <c r="J2" s="11" t="s">
        <v>20</v>
      </c>
      <c r="K2" s="13" t="s">
        <v>21</v>
      </c>
      <c r="L2" s="11" t="s">
        <v>22</v>
      </c>
      <c r="M2" s="14" t="s">
        <v>23</v>
      </c>
      <c r="S2" s="6" t="str">
        <f t="shared" ref="S2:S33" si="0">IF(G2&lt;&gt;"",UPPER(TRIM(G2)),UPPER(TRIM(C2&amp;"|"&amp;E2)))</f>
        <v>SET, SET JST-PH 4-POLIG 2.00MM VERTIKALER PCB-STECKER, BUCHSE THT|</v>
      </c>
    </row>
    <row r="3" spans="1:19" ht="48" x14ac:dyDescent="0.15">
      <c r="A3" s="9" t="s">
        <v>24</v>
      </c>
      <c r="B3" s="10" t="s">
        <v>14</v>
      </c>
      <c r="C3" s="11" t="s">
        <v>25</v>
      </c>
      <c r="D3" s="11" t="s">
        <v>26</v>
      </c>
      <c r="E3" s="11"/>
      <c r="F3" s="11" t="s">
        <v>17</v>
      </c>
      <c r="G3" s="12"/>
      <c r="H3" s="12" t="s">
        <v>18</v>
      </c>
      <c r="I3" s="12" t="s">
        <v>27</v>
      </c>
      <c r="J3" s="11" t="s">
        <v>20</v>
      </c>
      <c r="K3" s="13" t="s">
        <v>21</v>
      </c>
      <c r="L3" s="11" t="s">
        <v>28</v>
      </c>
      <c r="M3" s="14" t="s">
        <v>29</v>
      </c>
      <c r="S3" s="6" t="str">
        <f t="shared" si="0"/>
        <v>QWIIC/JST-SH, 4-POLIGES PIGTAIL JST|</v>
      </c>
    </row>
    <row r="4" spans="1:19" ht="32" x14ac:dyDescent="0.15">
      <c r="A4" s="9" t="s">
        <v>30</v>
      </c>
      <c r="B4" s="10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2">
        <v>10120946</v>
      </c>
      <c r="H4" s="12" t="s">
        <v>36</v>
      </c>
      <c r="I4" s="12" t="s">
        <v>37</v>
      </c>
      <c r="J4" s="11" t="s">
        <v>20</v>
      </c>
      <c r="K4" s="13" t="s">
        <v>21</v>
      </c>
      <c r="L4" s="11" t="s">
        <v>38</v>
      </c>
      <c r="M4" s="14" t="s">
        <v>39</v>
      </c>
      <c r="S4" s="6" t="str">
        <f t="shared" si="0"/>
        <v>10120946</v>
      </c>
    </row>
    <row r="5" spans="1:19" ht="32" x14ac:dyDescent="0.15">
      <c r="A5" s="9" t="s">
        <v>40</v>
      </c>
      <c r="B5" s="10" t="s">
        <v>31</v>
      </c>
      <c r="C5" s="11" t="s">
        <v>41</v>
      </c>
      <c r="D5" s="11" t="s">
        <v>42</v>
      </c>
      <c r="E5" s="11"/>
      <c r="F5" s="11" t="s">
        <v>35</v>
      </c>
      <c r="G5" s="12" t="s">
        <v>43</v>
      </c>
      <c r="H5" s="12" t="s">
        <v>18</v>
      </c>
      <c r="I5" s="12" t="s">
        <v>44</v>
      </c>
      <c r="J5" s="11" t="s">
        <v>20</v>
      </c>
      <c r="K5" s="13" t="s">
        <v>21</v>
      </c>
      <c r="L5" s="11" t="s">
        <v>45</v>
      </c>
      <c r="M5" s="14" t="s">
        <v>43</v>
      </c>
      <c r="S5" s="6" t="str">
        <f t="shared" si="0"/>
        <v>BL1.20 G</v>
      </c>
    </row>
    <row r="6" spans="1:19" ht="32" x14ac:dyDescent="0.15">
      <c r="A6" s="9" t="s">
        <v>46</v>
      </c>
      <c r="B6" s="10" t="s">
        <v>47</v>
      </c>
      <c r="C6" s="11" t="s">
        <v>48</v>
      </c>
      <c r="D6" s="11" t="s">
        <v>49</v>
      </c>
      <c r="E6" s="11" t="s">
        <v>50</v>
      </c>
      <c r="F6" s="11" t="s">
        <v>51</v>
      </c>
      <c r="G6" s="12" t="s">
        <v>52</v>
      </c>
      <c r="H6" s="12" t="s">
        <v>53</v>
      </c>
      <c r="I6" s="12" t="s">
        <v>54</v>
      </c>
      <c r="J6" s="11" t="s">
        <v>20</v>
      </c>
      <c r="K6" s="13" t="s">
        <v>21</v>
      </c>
      <c r="L6" s="11" t="s">
        <v>55</v>
      </c>
      <c r="M6" s="14" t="s">
        <v>52</v>
      </c>
      <c r="S6" s="6" t="str">
        <f t="shared" si="0"/>
        <v>CRCW12064K70FKEA</v>
      </c>
    </row>
    <row r="7" spans="1:19" ht="64" x14ac:dyDescent="0.15">
      <c r="A7" s="9" t="s">
        <v>56</v>
      </c>
      <c r="B7" s="10" t="s">
        <v>57</v>
      </c>
      <c r="C7" s="11" t="s">
        <v>58</v>
      </c>
      <c r="D7" s="11" t="s">
        <v>59</v>
      </c>
      <c r="E7" s="11" t="s">
        <v>60</v>
      </c>
      <c r="F7" s="11" t="s">
        <v>61</v>
      </c>
      <c r="G7" s="12" t="s">
        <v>62</v>
      </c>
      <c r="H7" s="12" t="s">
        <v>63</v>
      </c>
      <c r="I7" s="12" t="s">
        <v>64</v>
      </c>
      <c r="J7" s="11" t="s">
        <v>20</v>
      </c>
      <c r="K7" s="13" t="s">
        <v>21</v>
      </c>
      <c r="L7" s="11" t="s">
        <v>65</v>
      </c>
      <c r="M7" s="14" t="s">
        <v>62</v>
      </c>
      <c r="S7" s="6" t="str">
        <f t="shared" si="0"/>
        <v>C1206F104K1RACTU</v>
      </c>
    </row>
    <row r="8" spans="1:19" ht="32" x14ac:dyDescent="0.15">
      <c r="A8" s="9" t="s">
        <v>66</v>
      </c>
      <c r="B8" s="10" t="s">
        <v>57</v>
      </c>
      <c r="C8" s="11" t="s">
        <v>67</v>
      </c>
      <c r="D8" s="11" t="s">
        <v>68</v>
      </c>
      <c r="E8" s="11" t="s">
        <v>60</v>
      </c>
      <c r="F8" s="11" t="s">
        <v>69</v>
      </c>
      <c r="G8" s="12" t="s">
        <v>70</v>
      </c>
      <c r="H8" s="12" t="s">
        <v>71</v>
      </c>
      <c r="I8" s="12" t="s">
        <v>72</v>
      </c>
      <c r="J8" s="11" t="s">
        <v>20</v>
      </c>
      <c r="K8" s="13" t="s">
        <v>21</v>
      </c>
      <c r="L8" s="11" t="s">
        <v>73</v>
      </c>
      <c r="M8" s="14" t="s">
        <v>70</v>
      </c>
      <c r="S8" s="6" t="str">
        <f t="shared" si="0"/>
        <v>12063C106KAT2A</v>
      </c>
    </row>
    <row r="9" spans="1:19" ht="16" x14ac:dyDescent="0.15">
      <c r="A9" s="9" t="s">
        <v>74</v>
      </c>
      <c r="B9" s="10" t="s">
        <v>57</v>
      </c>
      <c r="C9" s="11" t="s">
        <v>75</v>
      </c>
      <c r="D9" s="11" t="s">
        <v>76</v>
      </c>
      <c r="E9" s="11" t="s">
        <v>77</v>
      </c>
      <c r="F9" s="11" t="s">
        <v>69</v>
      </c>
      <c r="G9" s="12" t="s">
        <v>78</v>
      </c>
      <c r="H9" s="12" t="s">
        <v>71</v>
      </c>
      <c r="I9" s="12" t="s">
        <v>79</v>
      </c>
      <c r="J9" s="11" t="s">
        <v>20</v>
      </c>
      <c r="K9" s="13" t="s">
        <v>21</v>
      </c>
      <c r="L9" s="11" t="s">
        <v>80</v>
      </c>
      <c r="M9" s="14" t="s">
        <v>78</v>
      </c>
      <c r="S9" s="6" t="str">
        <f t="shared" si="0"/>
        <v>TAJB476K010RNJ</v>
      </c>
    </row>
    <row r="10" spans="1:19" ht="16" x14ac:dyDescent="0.15">
      <c r="A10" s="9" t="s">
        <v>81</v>
      </c>
      <c r="B10" s="10" t="s">
        <v>82</v>
      </c>
      <c r="C10" s="11" t="s">
        <v>83</v>
      </c>
      <c r="D10" s="11" t="s">
        <v>84</v>
      </c>
      <c r="E10" s="11" t="s">
        <v>85</v>
      </c>
      <c r="F10" s="11" t="s">
        <v>86</v>
      </c>
      <c r="G10" s="12" t="s">
        <v>87</v>
      </c>
      <c r="H10" s="12" t="s">
        <v>71</v>
      </c>
      <c r="I10" s="12" t="s">
        <v>88</v>
      </c>
      <c r="J10" s="11" t="s">
        <v>20</v>
      </c>
      <c r="K10" s="13" t="s">
        <v>21</v>
      </c>
      <c r="L10" s="11" t="s">
        <v>89</v>
      </c>
      <c r="M10" s="14" t="s">
        <v>87</v>
      </c>
      <c r="S10" s="6" t="str">
        <f t="shared" si="0"/>
        <v>LM3940IMP-3.3/NOPB</v>
      </c>
    </row>
    <row r="11" spans="1:19" ht="48" x14ac:dyDescent="0.15">
      <c r="A11" s="9" t="s">
        <v>90</v>
      </c>
      <c r="B11" s="10" t="s">
        <v>91</v>
      </c>
      <c r="C11" s="11" t="s">
        <v>92</v>
      </c>
      <c r="D11" s="11" t="s">
        <v>93</v>
      </c>
      <c r="E11" s="11" t="s">
        <v>94</v>
      </c>
      <c r="F11" s="11" t="s">
        <v>95</v>
      </c>
      <c r="G11" s="12"/>
      <c r="H11" s="12" t="s">
        <v>71</v>
      </c>
      <c r="I11" s="12" t="s">
        <v>96</v>
      </c>
      <c r="J11" s="11" t="s">
        <v>20</v>
      </c>
      <c r="K11" s="13" t="s">
        <v>21</v>
      </c>
      <c r="L11" s="11" t="s">
        <v>97</v>
      </c>
      <c r="M11" s="14" t="s">
        <v>98</v>
      </c>
      <c r="S11" s="6" t="str">
        <f t="shared" si="0"/>
        <v>ESP32-DEVKITC|PCM_ESPRESSIF:ESP32-DEVKITC</v>
      </c>
    </row>
    <row r="12" spans="1:19" ht="48" x14ac:dyDescent="0.15">
      <c r="A12" s="9" t="s">
        <v>99</v>
      </c>
      <c r="B12" s="10" t="s">
        <v>100</v>
      </c>
      <c r="C12" s="11" t="s">
        <v>101</v>
      </c>
      <c r="D12" s="11" t="s">
        <v>102</v>
      </c>
      <c r="E12" s="11"/>
      <c r="F12" s="11" t="s">
        <v>103</v>
      </c>
      <c r="G12" s="12"/>
      <c r="H12" s="12" t="s">
        <v>18</v>
      </c>
      <c r="I12" s="12"/>
      <c r="J12" s="11" t="s">
        <v>20</v>
      </c>
      <c r="K12" s="13" t="s">
        <v>21</v>
      </c>
      <c r="L12" s="11" t="s">
        <v>104</v>
      </c>
      <c r="M12" s="14" t="s">
        <v>105</v>
      </c>
      <c r="S12" s="6" t="str">
        <f t="shared" si="0"/>
        <v>ENVNODE MAINBOARD REV 0.1|</v>
      </c>
    </row>
    <row r="13" spans="1:19" ht="32" x14ac:dyDescent="0.15">
      <c r="A13" s="9" t="s">
        <v>106</v>
      </c>
      <c r="B13" s="10" t="s">
        <v>31</v>
      </c>
      <c r="C13" s="11" t="s">
        <v>107</v>
      </c>
      <c r="D13" s="11" t="s">
        <v>108</v>
      </c>
      <c r="E13" s="11" t="s">
        <v>109</v>
      </c>
      <c r="F13" s="11" t="s">
        <v>17</v>
      </c>
      <c r="G13" s="12" t="s">
        <v>110</v>
      </c>
      <c r="H13" s="12" t="s">
        <v>71</v>
      </c>
      <c r="I13" s="12" t="s">
        <v>111</v>
      </c>
      <c r="J13" s="11" t="s">
        <v>20</v>
      </c>
      <c r="K13" s="13" t="s">
        <v>21</v>
      </c>
      <c r="L13" s="11"/>
      <c r="M13" s="14" t="s">
        <v>110</v>
      </c>
      <c r="S13" s="6" t="str">
        <f t="shared" si="0"/>
        <v>B2B-PH-K-S</v>
      </c>
    </row>
    <row r="14" spans="1:19" ht="32" x14ac:dyDescent="0.15">
      <c r="A14" s="9" t="s">
        <v>112</v>
      </c>
      <c r="B14" s="10" t="s">
        <v>113</v>
      </c>
      <c r="C14" s="11" t="s">
        <v>114</v>
      </c>
      <c r="D14" s="11" t="s">
        <v>115</v>
      </c>
      <c r="E14" s="11" t="s">
        <v>116</v>
      </c>
      <c r="F14" s="11" t="s">
        <v>117</v>
      </c>
      <c r="G14" s="12" t="s">
        <v>118</v>
      </c>
      <c r="H14" s="12" t="s">
        <v>119</v>
      </c>
      <c r="I14" s="12" t="s">
        <v>120</v>
      </c>
      <c r="J14" s="11" t="s">
        <v>20</v>
      </c>
      <c r="K14" s="13" t="s">
        <v>21</v>
      </c>
      <c r="L14" s="11"/>
      <c r="M14" s="14" t="s">
        <v>118</v>
      </c>
      <c r="S14" s="6" t="str">
        <f t="shared" si="0"/>
        <v>AO3400A</v>
      </c>
    </row>
    <row r="15" spans="1:19" ht="32" x14ac:dyDescent="0.15">
      <c r="A15" s="9" t="s">
        <v>121</v>
      </c>
      <c r="B15" s="10" t="s">
        <v>122</v>
      </c>
      <c r="C15" s="11" t="s">
        <v>123</v>
      </c>
      <c r="D15" s="11" t="s">
        <v>124</v>
      </c>
      <c r="E15" s="11"/>
      <c r="F15" s="11" t="s">
        <v>125</v>
      </c>
      <c r="G15" s="12">
        <v>333032</v>
      </c>
      <c r="H15" s="12" t="s">
        <v>126</v>
      </c>
      <c r="I15" s="12"/>
      <c r="J15" s="11" t="s">
        <v>20</v>
      </c>
      <c r="K15" s="13" t="s">
        <v>21</v>
      </c>
      <c r="L15" s="11"/>
      <c r="M15" s="14" t="s">
        <v>127</v>
      </c>
      <c r="S15" s="6" t="str">
        <f t="shared" si="0"/>
        <v>333032</v>
      </c>
    </row>
    <row r="16" spans="1:19" ht="32" x14ac:dyDescent="0.15">
      <c r="A16" s="9" t="s">
        <v>128</v>
      </c>
      <c r="B16" s="10" t="s">
        <v>91</v>
      </c>
      <c r="C16" s="11" t="s">
        <v>129</v>
      </c>
      <c r="D16" s="11" t="s">
        <v>130</v>
      </c>
      <c r="E16" s="11"/>
      <c r="F16" s="11" t="s">
        <v>125</v>
      </c>
      <c r="G16" s="12">
        <v>333095</v>
      </c>
      <c r="H16" s="12" t="s">
        <v>131</v>
      </c>
      <c r="I16" s="12"/>
      <c r="J16" s="11" t="s">
        <v>20</v>
      </c>
      <c r="K16" s="13" t="s">
        <v>21</v>
      </c>
      <c r="L16" s="11"/>
      <c r="M16" s="14" t="s">
        <v>132</v>
      </c>
      <c r="S16" s="6" t="str">
        <f t="shared" si="0"/>
        <v>333095</v>
      </c>
    </row>
    <row r="17" spans="1:19" ht="32" x14ac:dyDescent="0.15">
      <c r="A17" s="9" t="s">
        <v>133</v>
      </c>
      <c r="B17" s="10" t="s">
        <v>47</v>
      </c>
      <c r="C17" s="11" t="s">
        <v>134</v>
      </c>
      <c r="D17" s="11" t="s">
        <v>135</v>
      </c>
      <c r="E17" s="11" t="s">
        <v>50</v>
      </c>
      <c r="F17" s="11" t="s">
        <v>136</v>
      </c>
      <c r="G17" s="12" t="s">
        <v>137</v>
      </c>
      <c r="H17" s="12" t="s">
        <v>138</v>
      </c>
      <c r="I17" s="12" t="s">
        <v>139</v>
      </c>
      <c r="J17" s="11" t="s">
        <v>20</v>
      </c>
      <c r="K17" s="13" t="s">
        <v>21</v>
      </c>
      <c r="L17" s="11" t="s">
        <v>140</v>
      </c>
      <c r="M17" s="14" t="s">
        <v>137</v>
      </c>
      <c r="S17" s="6" t="str">
        <f t="shared" si="0"/>
        <v>ERA8AEB104V</v>
      </c>
    </row>
    <row r="18" spans="1:19" ht="32" x14ac:dyDescent="0.15">
      <c r="A18" s="9" t="s">
        <v>141</v>
      </c>
      <c r="B18" s="10" t="s">
        <v>47</v>
      </c>
      <c r="C18" s="11" t="s">
        <v>142</v>
      </c>
      <c r="D18" s="11" t="s">
        <v>143</v>
      </c>
      <c r="E18" s="11" t="s">
        <v>50</v>
      </c>
      <c r="F18" s="11" t="s">
        <v>144</v>
      </c>
      <c r="G18" s="12" t="s">
        <v>145</v>
      </c>
      <c r="H18" s="12" t="s">
        <v>146</v>
      </c>
      <c r="I18" s="12" t="s">
        <v>147</v>
      </c>
      <c r="J18" s="11" t="s">
        <v>20</v>
      </c>
      <c r="K18" s="13" t="s">
        <v>21</v>
      </c>
      <c r="L18" s="11"/>
      <c r="M18" s="14" t="s">
        <v>145</v>
      </c>
      <c r="S18" s="6" t="str">
        <f t="shared" si="0"/>
        <v>RC1206JR-07100RL</v>
      </c>
    </row>
    <row r="19" spans="1:19" ht="32" x14ac:dyDescent="0.15">
      <c r="A19" s="9" t="s">
        <v>148</v>
      </c>
      <c r="B19" s="10" t="s">
        <v>47</v>
      </c>
      <c r="C19" s="11" t="s">
        <v>149</v>
      </c>
      <c r="D19" s="11" t="s">
        <v>150</v>
      </c>
      <c r="E19" s="11" t="s">
        <v>50</v>
      </c>
      <c r="F19" s="11" t="s">
        <v>136</v>
      </c>
      <c r="G19" s="12" t="s">
        <v>151</v>
      </c>
      <c r="H19" s="12" t="s">
        <v>119</v>
      </c>
      <c r="I19" s="12" t="s">
        <v>152</v>
      </c>
      <c r="J19" s="11" t="s">
        <v>20</v>
      </c>
      <c r="K19" s="13" t="s">
        <v>21</v>
      </c>
      <c r="L19" s="11" t="s">
        <v>153</v>
      </c>
      <c r="M19" s="14" t="s">
        <v>151</v>
      </c>
      <c r="S19" s="6" t="str">
        <f t="shared" si="0"/>
        <v>ERA8AEB103V</v>
      </c>
    </row>
    <row r="20" spans="1:19" ht="32" x14ac:dyDescent="0.15">
      <c r="A20" s="9" t="s">
        <v>154</v>
      </c>
      <c r="B20" s="10" t="s">
        <v>31</v>
      </c>
      <c r="C20" s="11" t="s">
        <v>155</v>
      </c>
      <c r="D20" s="11" t="s">
        <v>156</v>
      </c>
      <c r="E20" s="11" t="s">
        <v>157</v>
      </c>
      <c r="F20" s="11" t="s">
        <v>158</v>
      </c>
      <c r="G20" s="12">
        <v>10120505</v>
      </c>
      <c r="H20" s="12" t="s">
        <v>119</v>
      </c>
      <c r="I20" s="12" t="s">
        <v>159</v>
      </c>
      <c r="J20" s="11" t="s">
        <v>20</v>
      </c>
      <c r="K20" s="13" t="s">
        <v>21</v>
      </c>
      <c r="L20" s="11"/>
      <c r="M20" s="14" t="s">
        <v>160</v>
      </c>
      <c r="S20" s="6" t="str">
        <f t="shared" si="0"/>
        <v>10120505</v>
      </c>
    </row>
    <row r="21" spans="1:19" ht="16" x14ac:dyDescent="0.15">
      <c r="A21" s="9" t="s">
        <v>161</v>
      </c>
      <c r="B21" s="10" t="s">
        <v>162</v>
      </c>
      <c r="C21" s="11" t="s">
        <v>163</v>
      </c>
      <c r="D21" s="11" t="s">
        <v>164</v>
      </c>
      <c r="E21" s="11" t="s">
        <v>165</v>
      </c>
      <c r="F21" s="11" t="s">
        <v>166</v>
      </c>
      <c r="G21" s="12" t="s">
        <v>167</v>
      </c>
      <c r="H21" s="12" t="s">
        <v>119</v>
      </c>
      <c r="I21" s="12" t="s">
        <v>168</v>
      </c>
      <c r="J21" s="11" t="s">
        <v>20</v>
      </c>
      <c r="K21" s="13" t="s">
        <v>21</v>
      </c>
      <c r="L21" s="11"/>
      <c r="M21" s="14" t="s">
        <v>167</v>
      </c>
      <c r="S21" s="6" t="str">
        <f t="shared" si="0"/>
        <v>ICM7555IBAZ</v>
      </c>
    </row>
    <row r="22" spans="1:19" ht="48" x14ac:dyDescent="0.15">
      <c r="A22" s="9" t="s">
        <v>169</v>
      </c>
      <c r="B22" s="10" t="s">
        <v>31</v>
      </c>
      <c r="C22" s="11" t="s">
        <v>170</v>
      </c>
      <c r="D22" s="11" t="s">
        <v>171</v>
      </c>
      <c r="E22" s="11"/>
      <c r="F22" s="11" t="s">
        <v>35</v>
      </c>
      <c r="G22" s="12" t="s">
        <v>172</v>
      </c>
      <c r="H22" s="12" t="s">
        <v>173</v>
      </c>
      <c r="I22" s="12" t="s">
        <v>174</v>
      </c>
      <c r="J22" s="11" t="s">
        <v>175</v>
      </c>
      <c r="K22" s="13" t="s">
        <v>21</v>
      </c>
      <c r="L22" s="11" t="s">
        <v>176</v>
      </c>
      <c r="M22" s="14" t="s">
        <v>172</v>
      </c>
      <c r="S22" s="6" t="str">
        <f t="shared" si="0"/>
        <v>BL 3 8 G</v>
      </c>
    </row>
    <row r="23" spans="1:19" ht="32" x14ac:dyDescent="0.2">
      <c r="A23" s="9" t="s">
        <v>177</v>
      </c>
      <c r="B23" s="10" t="s">
        <v>47</v>
      </c>
      <c r="C23" s="15" t="s">
        <v>178</v>
      </c>
      <c r="D23" s="11" t="s">
        <v>179</v>
      </c>
      <c r="E23" s="11" t="s">
        <v>50</v>
      </c>
      <c r="F23" s="11" t="s">
        <v>180</v>
      </c>
      <c r="G23" s="12" t="s">
        <v>181</v>
      </c>
      <c r="H23" s="12" t="s">
        <v>182</v>
      </c>
      <c r="I23" s="12"/>
      <c r="J23" s="11" t="s">
        <v>20</v>
      </c>
      <c r="K23" s="13" t="s">
        <v>21</v>
      </c>
      <c r="L23" s="11"/>
      <c r="M23" s="14" t="s">
        <v>181</v>
      </c>
      <c r="S23" s="6" t="str">
        <f t="shared" si="0"/>
        <v>RND 1551206S4J0470T5E</v>
      </c>
    </row>
    <row r="24" spans="1:19" ht="16" x14ac:dyDescent="0.15">
      <c r="A24" s="9" t="s">
        <v>183</v>
      </c>
      <c r="B24" s="10" t="s">
        <v>184</v>
      </c>
      <c r="C24" s="11" t="s">
        <v>185</v>
      </c>
      <c r="D24" s="11" t="s">
        <v>186</v>
      </c>
      <c r="E24" s="11" t="s">
        <v>187</v>
      </c>
      <c r="F24" s="11" t="s">
        <v>188</v>
      </c>
      <c r="G24" s="12" t="s">
        <v>189</v>
      </c>
      <c r="H24" s="12" t="s">
        <v>190</v>
      </c>
      <c r="I24" s="12" t="s">
        <v>191</v>
      </c>
      <c r="J24" s="11" t="s">
        <v>20</v>
      </c>
      <c r="K24" s="13" t="s">
        <v>21</v>
      </c>
      <c r="L24" s="11"/>
      <c r="M24" s="14" t="s">
        <v>189</v>
      </c>
      <c r="S24" s="6" t="str">
        <f t="shared" si="0"/>
        <v>34.51.7.005.0010</v>
      </c>
    </row>
    <row r="25" spans="1:19" ht="144" x14ac:dyDescent="0.15">
      <c r="A25" s="9" t="s">
        <v>192</v>
      </c>
      <c r="B25" s="10" t="s">
        <v>162</v>
      </c>
      <c r="C25" s="11" t="s">
        <v>193</v>
      </c>
      <c r="D25" s="11" t="s">
        <v>194</v>
      </c>
      <c r="E25" s="11" t="s">
        <v>195</v>
      </c>
      <c r="F25" s="11" t="s">
        <v>196</v>
      </c>
      <c r="G25" s="12" t="s">
        <v>197</v>
      </c>
      <c r="H25" s="12" t="s">
        <v>198</v>
      </c>
      <c r="I25" s="12" t="s">
        <v>199</v>
      </c>
      <c r="J25" s="11" t="s">
        <v>200</v>
      </c>
      <c r="K25" s="13" t="s">
        <v>21</v>
      </c>
      <c r="L25" s="11" t="s">
        <v>201</v>
      </c>
      <c r="M25" s="14" t="s">
        <v>197</v>
      </c>
      <c r="S25" s="6" t="str">
        <f t="shared" si="0"/>
        <v>24AA025E64T-I/OT</v>
      </c>
    </row>
    <row r="26" spans="1:19" ht="32" x14ac:dyDescent="0.15">
      <c r="A26" s="9" t="s">
        <v>202</v>
      </c>
      <c r="B26" s="10" t="s">
        <v>31</v>
      </c>
      <c r="C26" s="11" t="s">
        <v>203</v>
      </c>
      <c r="D26" s="11" t="s">
        <v>204</v>
      </c>
      <c r="E26" s="11" t="s">
        <v>205</v>
      </c>
      <c r="F26" s="11" t="s">
        <v>17</v>
      </c>
      <c r="G26" s="12" t="s">
        <v>206</v>
      </c>
      <c r="H26" s="12" t="s">
        <v>18</v>
      </c>
      <c r="I26" s="12" t="s">
        <v>207</v>
      </c>
      <c r="J26" s="11" t="s">
        <v>208</v>
      </c>
      <c r="K26" s="13" t="s">
        <v>21</v>
      </c>
      <c r="L26" s="11" t="s">
        <v>209</v>
      </c>
      <c r="M26" s="14" t="s">
        <v>206</v>
      </c>
      <c r="S26" s="6" t="str">
        <f t="shared" si="0"/>
        <v>B4B-PH-K-S</v>
      </c>
    </row>
    <row r="27" spans="1:19" ht="32" x14ac:dyDescent="0.15">
      <c r="A27" s="9" t="s">
        <v>210</v>
      </c>
      <c r="B27" s="10" t="s">
        <v>31</v>
      </c>
      <c r="C27" s="11" t="s">
        <v>211</v>
      </c>
      <c r="D27" s="11" t="s">
        <v>212</v>
      </c>
      <c r="E27" s="11" t="s">
        <v>213</v>
      </c>
      <c r="F27" s="11" t="s">
        <v>17</v>
      </c>
      <c r="G27" s="12" t="s">
        <v>214</v>
      </c>
      <c r="H27" s="12" t="s">
        <v>215</v>
      </c>
      <c r="I27" s="12" t="s">
        <v>216</v>
      </c>
      <c r="J27" s="11" t="s">
        <v>208</v>
      </c>
      <c r="K27" s="13" t="s">
        <v>21</v>
      </c>
      <c r="L27" s="11" t="s">
        <v>217</v>
      </c>
      <c r="M27" s="14" t="s">
        <v>214</v>
      </c>
      <c r="S27" s="6" t="str">
        <f t="shared" si="0"/>
        <v>SM04B-SRSS-TB</v>
      </c>
    </row>
    <row r="28" spans="1:19" ht="32" x14ac:dyDescent="0.15">
      <c r="A28" s="9" t="s">
        <v>218</v>
      </c>
      <c r="B28" s="10" t="s">
        <v>162</v>
      </c>
      <c r="C28" s="11" t="s">
        <v>219</v>
      </c>
      <c r="D28" s="11" t="s">
        <v>220</v>
      </c>
      <c r="E28" s="11" t="s">
        <v>221</v>
      </c>
      <c r="F28" s="11" t="s">
        <v>86</v>
      </c>
      <c r="G28" s="12" t="s">
        <v>220</v>
      </c>
      <c r="H28" s="12" t="s">
        <v>222</v>
      </c>
      <c r="I28" s="12" t="s">
        <v>223</v>
      </c>
      <c r="J28" s="11" t="s">
        <v>208</v>
      </c>
      <c r="K28" s="13" t="s">
        <v>21</v>
      </c>
      <c r="L28" s="11" t="s">
        <v>224</v>
      </c>
      <c r="M28" s="14" t="s">
        <v>220</v>
      </c>
      <c r="S28" s="6" t="str">
        <f t="shared" si="0"/>
        <v>ADS1115IDGS</v>
      </c>
    </row>
    <row r="29" spans="1:19" ht="32" x14ac:dyDescent="0.15">
      <c r="A29" s="9" t="s">
        <v>225</v>
      </c>
      <c r="B29" s="10" t="s">
        <v>57</v>
      </c>
      <c r="C29" s="11" t="s">
        <v>226</v>
      </c>
      <c r="D29" s="11" t="s">
        <v>227</v>
      </c>
      <c r="E29" s="11" t="s">
        <v>60</v>
      </c>
      <c r="F29" s="11" t="s">
        <v>61</v>
      </c>
      <c r="G29" s="12" t="s">
        <v>228</v>
      </c>
      <c r="H29" s="12" t="s">
        <v>229</v>
      </c>
      <c r="I29" s="12" t="s">
        <v>230</v>
      </c>
      <c r="J29" s="11" t="s">
        <v>208</v>
      </c>
      <c r="K29" s="13" t="s">
        <v>21</v>
      </c>
      <c r="L29" s="11"/>
      <c r="M29" s="14" t="s">
        <v>228</v>
      </c>
      <c r="S29" s="6" t="str">
        <f t="shared" si="0"/>
        <v>12065C105JAT2A</v>
      </c>
    </row>
    <row r="30" spans="1:19" ht="48" x14ac:dyDescent="0.15">
      <c r="A30" s="9" t="s">
        <v>231</v>
      </c>
      <c r="B30" s="10" t="s">
        <v>232</v>
      </c>
      <c r="C30" s="11" t="s">
        <v>233</v>
      </c>
      <c r="D30" s="11" t="s">
        <v>234</v>
      </c>
      <c r="E30" s="11" t="s">
        <v>116</v>
      </c>
      <c r="F30" s="11" t="s">
        <v>235</v>
      </c>
      <c r="G30" s="12" t="s">
        <v>234</v>
      </c>
      <c r="H30" s="12" t="s">
        <v>229</v>
      </c>
      <c r="I30" s="12" t="s">
        <v>236</v>
      </c>
      <c r="J30" s="11" t="s">
        <v>208</v>
      </c>
      <c r="K30" s="13" t="s">
        <v>21</v>
      </c>
      <c r="L30" s="11" t="s">
        <v>237</v>
      </c>
      <c r="M30" s="14" t="s">
        <v>234</v>
      </c>
      <c r="S30" s="6" t="str">
        <f t="shared" si="0"/>
        <v>BAT54S</v>
      </c>
    </row>
    <row r="31" spans="1:19" ht="32" x14ac:dyDescent="0.15">
      <c r="A31" s="9" t="s">
        <v>238</v>
      </c>
      <c r="B31" s="10" t="s">
        <v>31</v>
      </c>
      <c r="C31" s="11" t="s">
        <v>239</v>
      </c>
      <c r="D31" s="11" t="s">
        <v>240</v>
      </c>
      <c r="E31" s="11" t="s">
        <v>241</v>
      </c>
      <c r="F31" s="11"/>
      <c r="G31" s="12"/>
      <c r="H31" s="12" t="s">
        <v>242</v>
      </c>
      <c r="I31" s="12" t="s">
        <v>243</v>
      </c>
      <c r="J31" s="11" t="s">
        <v>208</v>
      </c>
      <c r="K31" s="13" t="s">
        <v>244</v>
      </c>
      <c r="L31" s="11" t="s">
        <v>245</v>
      </c>
      <c r="M31" s="14" t="s">
        <v>246</v>
      </c>
      <c r="S31" s="6" t="str">
        <f t="shared" si="0"/>
        <v>BUCHSENLEISTE 2X4, VERTIKAL|PINSOCKET_2X04_P2.54MM_VERTICAL / ENVNODE BOTTOM-VARIANTE</v>
      </c>
    </row>
    <row r="32" spans="1:19" ht="32" x14ac:dyDescent="0.15">
      <c r="A32" s="9" t="s">
        <v>247</v>
      </c>
      <c r="B32" s="10" t="s">
        <v>31</v>
      </c>
      <c r="C32" s="11" t="s">
        <v>248</v>
      </c>
      <c r="D32" s="11" t="s">
        <v>249</v>
      </c>
      <c r="E32" s="11" t="s">
        <v>250</v>
      </c>
      <c r="F32" s="11"/>
      <c r="G32" s="12"/>
      <c r="H32" s="12" t="s">
        <v>229</v>
      </c>
      <c r="I32" s="12" t="s">
        <v>251</v>
      </c>
      <c r="J32" s="11" t="s">
        <v>208</v>
      </c>
      <c r="K32" s="13" t="s">
        <v>244</v>
      </c>
      <c r="L32" s="11"/>
      <c r="M32" s="14" t="s">
        <v>252</v>
      </c>
      <c r="S32" s="6" t="str">
        <f t="shared" si="0"/>
        <v>BUCHSENLEISTE 1X2, VERTIKAL|CONNECTOR_PINSOCKET_2.54MM:PINSOCKET_1X02_P2.54MM_VERTICAL</v>
      </c>
    </row>
    <row r="33" spans="1:19" ht="32" x14ac:dyDescent="0.15">
      <c r="A33" s="9" t="s">
        <v>253</v>
      </c>
      <c r="B33" s="10" t="s">
        <v>47</v>
      </c>
      <c r="C33" s="11" t="s">
        <v>254</v>
      </c>
      <c r="D33" s="11" t="s">
        <v>255</v>
      </c>
      <c r="E33" s="11" t="s">
        <v>256</v>
      </c>
      <c r="F33" s="11" t="s">
        <v>257</v>
      </c>
      <c r="G33" s="12" t="s">
        <v>258</v>
      </c>
      <c r="H33" s="12" t="s">
        <v>229</v>
      </c>
      <c r="I33" s="12" t="s">
        <v>259</v>
      </c>
      <c r="J33" s="11" t="s">
        <v>208</v>
      </c>
      <c r="K33" s="13" t="s">
        <v>21</v>
      </c>
      <c r="L33" s="11"/>
      <c r="M33" s="14" t="s">
        <v>258</v>
      </c>
      <c r="S33" s="6" t="str">
        <f t="shared" si="0"/>
        <v>MRA0207 150R B 15PPM TA</v>
      </c>
    </row>
    <row r="34" spans="1:19" ht="16" x14ac:dyDescent="0.15">
      <c r="A34" s="9" t="s">
        <v>260</v>
      </c>
      <c r="B34" s="10" t="s">
        <v>232</v>
      </c>
      <c r="C34" s="11" t="s">
        <v>261</v>
      </c>
      <c r="D34" s="11" t="s">
        <v>262</v>
      </c>
      <c r="E34" s="11" t="s">
        <v>263</v>
      </c>
      <c r="F34" s="11" t="s">
        <v>235</v>
      </c>
      <c r="G34" s="12" t="s">
        <v>262</v>
      </c>
      <c r="H34" s="12" t="s">
        <v>190</v>
      </c>
      <c r="I34" s="12" t="s">
        <v>264</v>
      </c>
      <c r="J34" s="11" t="s">
        <v>208</v>
      </c>
      <c r="K34" s="13" t="s">
        <v>21</v>
      </c>
      <c r="L34" s="11"/>
      <c r="M34" s="14" t="s">
        <v>262</v>
      </c>
      <c r="S34" s="6" t="str">
        <f t="shared" ref="S34:S54" si="1">IF(G34&lt;&gt;"",UPPER(TRIM(G34)),UPPER(TRIM(C34&amp;"|"&amp;E34)))</f>
        <v>1N4148W</v>
      </c>
    </row>
    <row r="35" spans="1:19" ht="32" x14ac:dyDescent="0.15">
      <c r="A35" s="9" t="s">
        <v>265</v>
      </c>
      <c r="B35" s="10" t="s">
        <v>31</v>
      </c>
      <c r="C35" s="11" t="s">
        <v>266</v>
      </c>
      <c r="D35" s="11" t="s">
        <v>267</v>
      </c>
      <c r="E35" s="11" t="s">
        <v>268</v>
      </c>
      <c r="F35" s="11" t="s">
        <v>269</v>
      </c>
      <c r="G35" s="12"/>
      <c r="H35" s="12" t="s">
        <v>190</v>
      </c>
      <c r="I35" s="12" t="s">
        <v>270</v>
      </c>
      <c r="J35" s="11" t="s">
        <v>208</v>
      </c>
      <c r="K35" s="13" t="s">
        <v>21</v>
      </c>
      <c r="L35" s="11" t="s">
        <v>271</v>
      </c>
      <c r="M35" s="14" t="s">
        <v>272</v>
      </c>
      <c r="S35" s="6" t="str">
        <f t="shared" si="1"/>
        <v>SCHRAUBKLEMME 1X3, HORIZONTAL|TERMINALBLOCK_PHOENIX:TERMINALBLOCK_PHOENIX_MKDS-3-3-5.08_1X03_P5.08MM_HORIZONTAL</v>
      </c>
    </row>
    <row r="36" spans="1:19" ht="16" x14ac:dyDescent="0.15">
      <c r="A36" s="9" t="s">
        <v>273</v>
      </c>
      <c r="B36" s="10" t="s">
        <v>274</v>
      </c>
      <c r="C36" s="11" t="s">
        <v>275</v>
      </c>
      <c r="D36" s="11" t="s">
        <v>276</v>
      </c>
      <c r="E36" s="11" t="s">
        <v>277</v>
      </c>
      <c r="F36" s="11" t="s">
        <v>235</v>
      </c>
      <c r="G36" s="12" t="s">
        <v>276</v>
      </c>
      <c r="H36" s="12" t="s">
        <v>190</v>
      </c>
      <c r="I36" s="12" t="s">
        <v>278</v>
      </c>
      <c r="J36" s="11" t="s">
        <v>208</v>
      </c>
      <c r="K36" s="13" t="s">
        <v>21</v>
      </c>
      <c r="L36" s="11"/>
      <c r="M36" s="14" t="s">
        <v>276</v>
      </c>
      <c r="S36" s="6" t="str">
        <f t="shared" si="1"/>
        <v>BC817</v>
      </c>
    </row>
    <row r="37" spans="1:19" ht="32" x14ac:dyDescent="0.15">
      <c r="A37" s="9" t="s">
        <v>279</v>
      </c>
      <c r="B37" s="10" t="s">
        <v>47</v>
      </c>
      <c r="C37" s="11" t="s">
        <v>280</v>
      </c>
      <c r="D37" s="11" t="s">
        <v>281</v>
      </c>
      <c r="E37" s="11" t="s">
        <v>50</v>
      </c>
      <c r="F37" s="11" t="s">
        <v>51</v>
      </c>
      <c r="G37" s="12" t="s">
        <v>282</v>
      </c>
      <c r="H37" s="12" t="s">
        <v>190</v>
      </c>
      <c r="I37" s="12" t="s">
        <v>283</v>
      </c>
      <c r="J37" s="11" t="s">
        <v>208</v>
      </c>
      <c r="K37" s="13" t="s">
        <v>21</v>
      </c>
      <c r="L37" s="11"/>
      <c r="M37" s="14" t="s">
        <v>282</v>
      </c>
      <c r="S37" s="6" t="str">
        <f t="shared" si="1"/>
        <v>CRCW12061K00FKEA</v>
      </c>
    </row>
    <row r="38" spans="1:19" ht="16" x14ac:dyDescent="0.15">
      <c r="A38" s="9" t="s">
        <v>284</v>
      </c>
      <c r="B38" s="10" t="s">
        <v>57</v>
      </c>
      <c r="C38" s="11" t="s">
        <v>285</v>
      </c>
      <c r="D38" s="11" t="s">
        <v>286</v>
      </c>
      <c r="E38" s="11" t="s">
        <v>287</v>
      </c>
      <c r="F38" s="11" t="s">
        <v>288</v>
      </c>
      <c r="G38" s="12" t="s">
        <v>289</v>
      </c>
      <c r="H38" s="12" t="s">
        <v>290</v>
      </c>
      <c r="I38" s="12" t="s">
        <v>291</v>
      </c>
      <c r="J38" s="16" t="s">
        <v>208</v>
      </c>
      <c r="K38" s="13" t="s">
        <v>21</v>
      </c>
      <c r="L38" s="11"/>
      <c r="M38" s="14" t="s">
        <v>289</v>
      </c>
      <c r="S38" s="6" t="str">
        <f t="shared" si="1"/>
        <v>HHXC500ARA470MHA0G</v>
      </c>
    </row>
    <row r="39" spans="1:19" ht="16" x14ac:dyDescent="0.15">
      <c r="A39" s="9" t="s">
        <v>292</v>
      </c>
      <c r="B39" s="10" t="s">
        <v>232</v>
      </c>
      <c r="C39" s="11" t="s">
        <v>293</v>
      </c>
      <c r="D39" s="11" t="s">
        <v>294</v>
      </c>
      <c r="E39" s="11" t="s">
        <v>295</v>
      </c>
      <c r="F39" s="11" t="s">
        <v>296</v>
      </c>
      <c r="G39" s="12" t="s">
        <v>297</v>
      </c>
      <c r="H39" s="12" t="s">
        <v>290</v>
      </c>
      <c r="I39" s="12" t="s">
        <v>298</v>
      </c>
      <c r="J39" s="11" t="s">
        <v>208</v>
      </c>
      <c r="K39" s="13" t="s">
        <v>21</v>
      </c>
      <c r="L39" s="11"/>
      <c r="M39" s="14" t="s">
        <v>297</v>
      </c>
      <c r="S39" s="6" t="str">
        <f t="shared" si="1"/>
        <v>STPS3L60S</v>
      </c>
    </row>
    <row r="40" spans="1:19" ht="16" x14ac:dyDescent="0.15">
      <c r="A40" s="9" t="s">
        <v>299</v>
      </c>
      <c r="B40" s="10" t="s">
        <v>300</v>
      </c>
      <c r="C40" s="11" t="s">
        <v>301</v>
      </c>
      <c r="D40" s="11" t="s">
        <v>302</v>
      </c>
      <c r="E40" s="11" t="s">
        <v>295</v>
      </c>
      <c r="F40" s="11" t="s">
        <v>303</v>
      </c>
      <c r="G40" s="12" t="s">
        <v>304</v>
      </c>
      <c r="H40" s="12" t="s">
        <v>290</v>
      </c>
      <c r="I40" s="12" t="s">
        <v>305</v>
      </c>
      <c r="J40" s="11" t="s">
        <v>208</v>
      </c>
      <c r="K40" s="13" t="s">
        <v>21</v>
      </c>
      <c r="L40" s="11"/>
      <c r="M40" s="14" t="s">
        <v>304</v>
      </c>
      <c r="S40" s="6" t="str">
        <f t="shared" si="1"/>
        <v>SMBJ24A</v>
      </c>
    </row>
    <row r="41" spans="1:19" ht="16" x14ac:dyDescent="0.15">
      <c r="A41" s="9" t="s">
        <v>306</v>
      </c>
      <c r="B41" s="10" t="s">
        <v>307</v>
      </c>
      <c r="C41" s="11" t="s">
        <v>308</v>
      </c>
      <c r="D41" s="11" t="s">
        <v>309</v>
      </c>
      <c r="E41" s="11" t="s">
        <v>310</v>
      </c>
      <c r="F41" s="11" t="s">
        <v>303</v>
      </c>
      <c r="G41" s="12"/>
      <c r="H41" s="12" t="s">
        <v>290</v>
      </c>
      <c r="I41" s="12" t="s">
        <v>311</v>
      </c>
      <c r="J41" s="11" t="s">
        <v>208</v>
      </c>
      <c r="K41" s="13" t="s">
        <v>244</v>
      </c>
      <c r="L41" s="11" t="s">
        <v>312</v>
      </c>
      <c r="M41" s="14" t="s">
        <v>313</v>
      </c>
      <c r="S41" s="6" t="str">
        <f t="shared" si="1"/>
        <v>SICHERUNG 2 A|FUSE:FUSE_LITTELFUSE-NANO2-451_453</v>
      </c>
    </row>
    <row r="42" spans="1:19" ht="32" x14ac:dyDescent="0.15">
      <c r="A42" s="9" t="s">
        <v>314</v>
      </c>
      <c r="B42" s="10" t="s">
        <v>31</v>
      </c>
      <c r="C42" s="11" t="s">
        <v>315</v>
      </c>
      <c r="D42" s="11" t="s">
        <v>316</v>
      </c>
      <c r="E42" s="11" t="s">
        <v>317</v>
      </c>
      <c r="F42" s="11" t="s">
        <v>318</v>
      </c>
      <c r="G42" s="12" t="s">
        <v>319</v>
      </c>
      <c r="H42" s="12" t="s">
        <v>290</v>
      </c>
      <c r="I42" s="12" t="s">
        <v>320</v>
      </c>
      <c r="J42" s="11" t="s">
        <v>208</v>
      </c>
      <c r="K42" s="13" t="s">
        <v>244</v>
      </c>
      <c r="L42" s="11"/>
      <c r="M42" s="14" t="s">
        <v>319</v>
      </c>
      <c r="S42" s="6" t="str">
        <f t="shared" si="1"/>
        <v>205-00001</v>
      </c>
    </row>
    <row r="43" spans="1:19" ht="32" x14ac:dyDescent="0.15">
      <c r="A43" s="9" t="s">
        <v>321</v>
      </c>
      <c r="B43" s="10" t="s">
        <v>322</v>
      </c>
      <c r="C43" s="11" t="s">
        <v>323</v>
      </c>
      <c r="D43" s="11" t="s">
        <v>324</v>
      </c>
      <c r="E43" s="11" t="s">
        <v>325</v>
      </c>
      <c r="F43" s="11" t="s">
        <v>326</v>
      </c>
      <c r="G43" s="12" t="s">
        <v>324</v>
      </c>
      <c r="H43" s="12" t="s">
        <v>290</v>
      </c>
      <c r="I43" s="12" t="s">
        <v>327</v>
      </c>
      <c r="J43" s="11" t="s">
        <v>208</v>
      </c>
      <c r="K43" s="13" t="s">
        <v>21</v>
      </c>
      <c r="L43" s="11"/>
      <c r="M43" s="14" t="s">
        <v>324</v>
      </c>
      <c r="S43" s="6" t="str">
        <f t="shared" si="1"/>
        <v>TSR 1-2450</v>
      </c>
    </row>
    <row r="44" spans="1:19" ht="32" x14ac:dyDescent="0.15">
      <c r="A44" s="9" t="s">
        <v>328</v>
      </c>
      <c r="B44" s="10" t="s">
        <v>322</v>
      </c>
      <c r="C44" s="11" t="s">
        <v>329</v>
      </c>
      <c r="D44" s="11" t="s">
        <v>330</v>
      </c>
      <c r="E44" s="11" t="s">
        <v>325</v>
      </c>
      <c r="F44" s="11" t="s">
        <v>326</v>
      </c>
      <c r="G44" s="12" t="s">
        <v>330</v>
      </c>
      <c r="H44" s="12" t="s">
        <v>290</v>
      </c>
      <c r="I44" s="12" t="s">
        <v>331</v>
      </c>
      <c r="J44" s="11" t="s">
        <v>208</v>
      </c>
      <c r="K44" s="13" t="s">
        <v>21</v>
      </c>
      <c r="L44" s="11" t="s">
        <v>332</v>
      </c>
      <c r="M44" s="14" t="s">
        <v>330</v>
      </c>
      <c r="S44" s="6" t="str">
        <f t="shared" si="1"/>
        <v>TSR 1-2433</v>
      </c>
    </row>
    <row r="45" spans="1:19" ht="32" x14ac:dyDescent="0.15">
      <c r="A45" s="9" t="s">
        <v>333</v>
      </c>
      <c r="B45" s="10" t="s">
        <v>57</v>
      </c>
      <c r="C45" s="11" t="s">
        <v>334</v>
      </c>
      <c r="D45" s="11" t="s">
        <v>335</v>
      </c>
      <c r="E45" s="11" t="s">
        <v>60</v>
      </c>
      <c r="F45" s="11" t="s">
        <v>61</v>
      </c>
      <c r="G45" s="12" t="s">
        <v>336</v>
      </c>
      <c r="H45" s="12" t="s">
        <v>337</v>
      </c>
      <c r="I45" s="12" t="s">
        <v>338</v>
      </c>
      <c r="J45" s="11" t="s">
        <v>208</v>
      </c>
      <c r="K45" s="13" t="s">
        <v>21</v>
      </c>
      <c r="L45" s="11"/>
      <c r="M45" s="14" t="s">
        <v>336</v>
      </c>
      <c r="S45" s="6" t="str">
        <f t="shared" si="1"/>
        <v>12061C103JAT2A</v>
      </c>
    </row>
    <row r="46" spans="1:19" ht="32" x14ac:dyDescent="0.15">
      <c r="A46" s="9" t="s">
        <v>339</v>
      </c>
      <c r="B46" s="10" t="s">
        <v>47</v>
      </c>
      <c r="C46" s="11" t="s">
        <v>340</v>
      </c>
      <c r="D46" s="11" t="s">
        <v>341</v>
      </c>
      <c r="E46" s="11" t="s">
        <v>256</v>
      </c>
      <c r="F46" s="11" t="s">
        <v>342</v>
      </c>
      <c r="G46" s="12" t="s">
        <v>343</v>
      </c>
      <c r="H46" s="12" t="s">
        <v>337</v>
      </c>
      <c r="I46" s="12" t="s">
        <v>344</v>
      </c>
      <c r="J46" s="11" t="s">
        <v>208</v>
      </c>
      <c r="K46" s="13" t="s">
        <v>21</v>
      </c>
      <c r="L46" s="11"/>
      <c r="M46" s="14" t="s">
        <v>343</v>
      </c>
      <c r="S46" s="6" t="str">
        <f t="shared" si="1"/>
        <v>MF0207FTE52-2R</v>
      </c>
    </row>
    <row r="47" spans="1:19" ht="16" x14ac:dyDescent="0.15">
      <c r="A47" s="9" t="s">
        <v>345</v>
      </c>
      <c r="B47" s="10" t="s">
        <v>346</v>
      </c>
      <c r="C47" s="11" t="s">
        <v>347</v>
      </c>
      <c r="D47" s="11" t="s">
        <v>348</v>
      </c>
      <c r="E47" s="11" t="s">
        <v>349</v>
      </c>
      <c r="F47" s="11"/>
      <c r="G47" s="12" t="s">
        <v>348</v>
      </c>
      <c r="H47" s="12" t="s">
        <v>337</v>
      </c>
      <c r="I47" s="12" t="s">
        <v>350</v>
      </c>
      <c r="J47" s="11" t="s">
        <v>208</v>
      </c>
      <c r="K47" s="13" t="s">
        <v>351</v>
      </c>
      <c r="L47" s="11"/>
      <c r="M47" s="14" t="s">
        <v>348</v>
      </c>
      <c r="S47" s="6" t="str">
        <f t="shared" si="1"/>
        <v>KXOB25-14X1F-TB</v>
      </c>
    </row>
    <row r="48" spans="1:19" ht="32" x14ac:dyDescent="0.15">
      <c r="A48" s="9" t="s">
        <v>352</v>
      </c>
      <c r="B48" s="10" t="s">
        <v>353</v>
      </c>
      <c r="C48" s="11" t="s">
        <v>354</v>
      </c>
      <c r="D48" s="11" t="s">
        <v>355</v>
      </c>
      <c r="E48" s="11" t="s">
        <v>195</v>
      </c>
      <c r="F48" s="11" t="s">
        <v>86</v>
      </c>
      <c r="G48" s="12" t="s">
        <v>355</v>
      </c>
      <c r="H48" s="12" t="s">
        <v>337</v>
      </c>
      <c r="I48" s="12" t="s">
        <v>356</v>
      </c>
      <c r="J48" s="11" t="s">
        <v>208</v>
      </c>
      <c r="K48" s="13" t="s">
        <v>351</v>
      </c>
      <c r="L48" s="11" t="s">
        <v>357</v>
      </c>
      <c r="M48" s="14" t="s">
        <v>355</v>
      </c>
      <c r="S48" s="6" t="str">
        <f t="shared" si="1"/>
        <v>TMP100</v>
      </c>
    </row>
    <row r="49" spans="1:19" ht="32" x14ac:dyDescent="0.15">
      <c r="A49" s="9" t="s">
        <v>358</v>
      </c>
      <c r="B49" s="10" t="s">
        <v>100</v>
      </c>
      <c r="C49" s="11" t="s">
        <v>359</v>
      </c>
      <c r="D49" s="11" t="s">
        <v>360</v>
      </c>
      <c r="E49" s="11" t="s">
        <v>361</v>
      </c>
      <c r="F49" s="11" t="s">
        <v>103</v>
      </c>
      <c r="G49" s="12"/>
      <c r="H49" s="12" t="s">
        <v>18</v>
      </c>
      <c r="I49" s="12"/>
      <c r="J49" s="11" t="s">
        <v>208</v>
      </c>
      <c r="K49" s="13" t="s">
        <v>351</v>
      </c>
      <c r="L49" s="11" t="s">
        <v>362</v>
      </c>
      <c r="M49" s="14" t="s">
        <v>363</v>
      </c>
      <c r="S49" s="6" t="str">
        <f t="shared" si="1"/>
        <v>ENVNODE MAINBOARD PCB|PCB: ENVNODE.KICAD_PCB</v>
      </c>
    </row>
    <row r="50" spans="1:19" ht="32" x14ac:dyDescent="0.15">
      <c r="A50" s="9" t="s">
        <v>364</v>
      </c>
      <c r="B50" s="10" t="s">
        <v>100</v>
      </c>
      <c r="C50" s="11" t="s">
        <v>365</v>
      </c>
      <c r="D50" s="11" t="s">
        <v>102</v>
      </c>
      <c r="E50" s="11" t="s">
        <v>366</v>
      </c>
      <c r="F50" s="11"/>
      <c r="G50" s="12"/>
      <c r="H50" s="12" t="s">
        <v>290</v>
      </c>
      <c r="I50" s="12"/>
      <c r="J50" s="11" t="s">
        <v>208</v>
      </c>
      <c r="K50" s="13" t="s">
        <v>244</v>
      </c>
      <c r="L50" s="11" t="s">
        <v>367</v>
      </c>
      <c r="M50" s="14" t="s">
        <v>368</v>
      </c>
      <c r="S50" s="6" t="str">
        <f t="shared" si="1"/>
        <v>ENVNODE MINI PCB|PCB: ENVNODEMINI.KICAD_PCB</v>
      </c>
    </row>
    <row r="51" spans="1:19" ht="16" x14ac:dyDescent="0.15">
      <c r="A51" s="9" t="s">
        <v>369</v>
      </c>
      <c r="B51" s="10" t="s">
        <v>100</v>
      </c>
      <c r="C51" s="11" t="s">
        <v>370</v>
      </c>
      <c r="D51" s="11" t="s">
        <v>102</v>
      </c>
      <c r="E51" s="11" t="s">
        <v>371</v>
      </c>
      <c r="F51" s="11"/>
      <c r="G51" s="12"/>
      <c r="H51" s="12" t="s">
        <v>372</v>
      </c>
      <c r="I51" s="12"/>
      <c r="J51" s="11" t="s">
        <v>208</v>
      </c>
      <c r="K51" s="13" t="s">
        <v>244</v>
      </c>
      <c r="L51" s="11" t="s">
        <v>373</v>
      </c>
      <c r="M51" s="14" t="s">
        <v>374</v>
      </c>
      <c r="S51" s="6" t="str">
        <f t="shared" si="1"/>
        <v>ANALOGINPUT HALFSIZE PCB|PCB: ANALOGINPUT.KICAD_PCB</v>
      </c>
    </row>
    <row r="52" spans="1:19" ht="32" x14ac:dyDescent="0.15">
      <c r="A52" s="9" t="s">
        <v>375</v>
      </c>
      <c r="B52" s="10" t="s">
        <v>100</v>
      </c>
      <c r="C52" s="11" t="s">
        <v>376</v>
      </c>
      <c r="D52" s="11" t="s">
        <v>102</v>
      </c>
      <c r="E52" s="11" t="s">
        <v>377</v>
      </c>
      <c r="F52" s="11"/>
      <c r="G52" s="12"/>
      <c r="H52" s="12" t="s">
        <v>378</v>
      </c>
      <c r="I52" s="12"/>
      <c r="J52" s="11" t="s">
        <v>208</v>
      </c>
      <c r="K52" s="13" t="s">
        <v>244</v>
      </c>
      <c r="L52" s="11" t="s">
        <v>379</v>
      </c>
      <c r="M52" s="14" t="s">
        <v>380</v>
      </c>
      <c r="S52" s="6" t="str">
        <f t="shared" si="1"/>
        <v>DUORELAY FULLSIZE PCB REV 0.1|PCB: DUORELAY.KICAD_PCB</v>
      </c>
    </row>
    <row r="53" spans="1:19" ht="16" x14ac:dyDescent="0.15">
      <c r="A53" s="9" t="s">
        <v>381</v>
      </c>
      <c r="B53" s="10" t="s">
        <v>100</v>
      </c>
      <c r="C53" s="11" t="s">
        <v>382</v>
      </c>
      <c r="D53" s="11" t="s">
        <v>102</v>
      </c>
      <c r="E53" s="11" t="s">
        <v>383</v>
      </c>
      <c r="F53" s="11"/>
      <c r="G53" s="12"/>
      <c r="H53" s="12" t="s">
        <v>337</v>
      </c>
      <c r="I53" s="12"/>
      <c r="J53" s="11" t="s">
        <v>208</v>
      </c>
      <c r="K53" s="13" t="s">
        <v>21</v>
      </c>
      <c r="L53" s="11" t="s">
        <v>373</v>
      </c>
      <c r="M53" s="14" t="s">
        <v>384</v>
      </c>
      <c r="S53" s="6" t="str">
        <f t="shared" si="1"/>
        <v>SOLARRADIATION PCB|PCB: SOLARRADIATION.KICAD_PCB</v>
      </c>
    </row>
    <row r="54" spans="1:19" ht="16" x14ac:dyDescent="0.15">
      <c r="A54" s="17" t="s">
        <v>385</v>
      </c>
      <c r="B54" s="18" t="s">
        <v>100</v>
      </c>
      <c r="C54" s="19" t="s">
        <v>386</v>
      </c>
      <c r="D54" s="19" t="s">
        <v>387</v>
      </c>
      <c r="E54" s="19" t="s">
        <v>388</v>
      </c>
      <c r="F54" s="19"/>
      <c r="G54" s="20"/>
      <c r="H54" s="20" t="s">
        <v>119</v>
      </c>
      <c r="I54" s="20"/>
      <c r="J54" s="19" t="s">
        <v>208</v>
      </c>
      <c r="K54" s="21" t="s">
        <v>21</v>
      </c>
      <c r="L54" s="19" t="s">
        <v>373</v>
      </c>
      <c r="M54" s="22" t="s">
        <v>389</v>
      </c>
      <c r="S54" s="6" t="str">
        <f t="shared" si="1"/>
        <v>RAINDETECTOR PCB|PCB: RAINDETECTOR.KICAD_PCB</v>
      </c>
    </row>
    <row r="55" spans="1:19" ht="64" x14ac:dyDescent="0.2">
      <c r="A55" s="23" t="s">
        <v>390</v>
      </c>
      <c r="B55" s="23" t="s">
        <v>31</v>
      </c>
      <c r="C55" s="24" t="s">
        <v>391</v>
      </c>
      <c r="D55" s="24" t="s">
        <v>392</v>
      </c>
      <c r="E55" s="24" t="s">
        <v>393</v>
      </c>
      <c r="F55" s="23" t="s">
        <v>394</v>
      </c>
      <c r="G55" s="23" t="s">
        <v>395</v>
      </c>
      <c r="H55" s="24" t="s">
        <v>396</v>
      </c>
      <c r="I55" s="24" t="s">
        <v>397</v>
      </c>
      <c r="J55" s="24" t="s">
        <v>398</v>
      </c>
      <c r="K55" s="25" t="s">
        <v>21</v>
      </c>
      <c r="L55" s="24" t="s">
        <v>399</v>
      </c>
      <c r="M55" s="26" t="s">
        <v>400</v>
      </c>
    </row>
    <row r="56" spans="1:19" ht="80" x14ac:dyDescent="0.2">
      <c r="A56" s="23" t="s">
        <v>401</v>
      </c>
      <c r="B56" s="23" t="s">
        <v>232</v>
      </c>
      <c r="C56" s="24" t="s">
        <v>402</v>
      </c>
      <c r="D56" s="24" t="s">
        <v>403</v>
      </c>
      <c r="E56" s="24" t="s">
        <v>404</v>
      </c>
      <c r="F56" s="23" t="s">
        <v>51</v>
      </c>
      <c r="G56" s="23" t="s">
        <v>405</v>
      </c>
      <c r="H56" s="24" t="s">
        <v>396</v>
      </c>
      <c r="I56" s="24" t="s">
        <v>264</v>
      </c>
      <c r="J56" s="24" t="s">
        <v>406</v>
      </c>
      <c r="K56" s="24" t="s">
        <v>21</v>
      </c>
      <c r="L56" s="24" t="s">
        <v>407</v>
      </c>
      <c r="M56" s="26" t="s">
        <v>405</v>
      </c>
    </row>
    <row r="57" spans="1:19" ht="64" x14ac:dyDescent="0.2">
      <c r="A57" s="23" t="s">
        <v>408</v>
      </c>
      <c r="B57" s="23" t="s">
        <v>57</v>
      </c>
      <c r="C57" s="24" t="s">
        <v>409</v>
      </c>
      <c r="D57" s="24" t="s">
        <v>410</v>
      </c>
      <c r="E57" s="24" t="s">
        <v>411</v>
      </c>
      <c r="F57" s="23" t="s">
        <v>136</v>
      </c>
      <c r="G57" s="23" t="s">
        <v>412</v>
      </c>
      <c r="H57" s="24" t="s">
        <v>396</v>
      </c>
      <c r="I57" s="24" t="s">
        <v>413</v>
      </c>
      <c r="J57" s="24" t="s">
        <v>414</v>
      </c>
      <c r="K57" s="24" t="s">
        <v>21</v>
      </c>
      <c r="L57" s="24" t="s">
        <v>415</v>
      </c>
      <c r="M57" s="26" t="s">
        <v>412</v>
      </c>
    </row>
    <row r="58" spans="1:19" ht="32" x14ac:dyDescent="0.2">
      <c r="A58" s="23" t="s">
        <v>416</v>
      </c>
      <c r="B58" s="23" t="s">
        <v>100</v>
      </c>
      <c r="C58" s="24" t="s">
        <v>417</v>
      </c>
      <c r="D58" s="24" t="s">
        <v>360</v>
      </c>
      <c r="E58" s="24" t="s">
        <v>418</v>
      </c>
      <c r="F58" s="11" t="s">
        <v>103</v>
      </c>
      <c r="G58" s="26"/>
      <c r="H58" s="24" t="s">
        <v>396</v>
      </c>
      <c r="I58" s="27"/>
      <c r="J58" s="27" t="s">
        <v>208</v>
      </c>
      <c r="K58" s="27" t="s">
        <v>21</v>
      </c>
      <c r="L58" s="24" t="s">
        <v>362</v>
      </c>
      <c r="M58" s="23" t="s">
        <v>419</v>
      </c>
    </row>
    <row r="59" spans="1:19" ht="64" x14ac:dyDescent="0.2">
      <c r="A59" s="23" t="s">
        <v>420</v>
      </c>
      <c r="B59" s="23" t="s">
        <v>31</v>
      </c>
      <c r="C59" s="24" t="s">
        <v>421</v>
      </c>
      <c r="D59" s="24" t="s">
        <v>422</v>
      </c>
      <c r="E59" s="24" t="s">
        <v>423</v>
      </c>
      <c r="F59" s="23" t="s">
        <v>394</v>
      </c>
      <c r="G59" s="23" t="s">
        <v>424</v>
      </c>
      <c r="H59" s="24" t="s">
        <v>425</v>
      </c>
      <c r="I59" s="24" t="s">
        <v>426</v>
      </c>
      <c r="J59" s="24" t="s">
        <v>427</v>
      </c>
      <c r="K59" s="25" t="s">
        <v>21</v>
      </c>
      <c r="L59" s="24" t="s">
        <v>428</v>
      </c>
      <c r="M59" s="26" t="s">
        <v>424</v>
      </c>
    </row>
    <row r="60" spans="1:19" ht="112" x14ac:dyDescent="0.2">
      <c r="A60" s="23" t="s">
        <v>429</v>
      </c>
      <c r="B60" s="23" t="s">
        <v>31</v>
      </c>
      <c r="C60" s="24" t="s">
        <v>430</v>
      </c>
      <c r="D60" s="24" t="s">
        <v>431</v>
      </c>
      <c r="E60" s="24" t="s">
        <v>432</v>
      </c>
      <c r="F60" s="23" t="s">
        <v>433</v>
      </c>
      <c r="G60" s="23" t="s">
        <v>434</v>
      </c>
      <c r="H60" s="24" t="s">
        <v>435</v>
      </c>
      <c r="I60" s="24" t="s">
        <v>436</v>
      </c>
      <c r="J60" s="24" t="s">
        <v>437</v>
      </c>
      <c r="K60" s="25" t="s">
        <v>21</v>
      </c>
      <c r="L60" s="24" t="s">
        <v>438</v>
      </c>
      <c r="M60" s="26" t="s">
        <v>439</v>
      </c>
    </row>
    <row r="61" spans="1:19" ht="32" x14ac:dyDescent="0.2">
      <c r="A61" s="23" t="s">
        <v>440</v>
      </c>
      <c r="B61" s="23" t="s">
        <v>100</v>
      </c>
      <c r="C61" s="24" t="s">
        <v>441</v>
      </c>
      <c r="D61" s="24" t="s">
        <v>442</v>
      </c>
      <c r="E61" s="24" t="s">
        <v>443</v>
      </c>
      <c r="F61" s="26"/>
      <c r="G61" s="26"/>
      <c r="H61" s="27" t="s">
        <v>444</v>
      </c>
      <c r="I61" s="27"/>
      <c r="J61" s="27" t="s">
        <v>208</v>
      </c>
      <c r="K61" s="25" t="s">
        <v>21</v>
      </c>
      <c r="L61" s="24" t="s">
        <v>445</v>
      </c>
      <c r="M61" s="26" t="s">
        <v>446</v>
      </c>
    </row>
    <row r="62" spans="1:19" ht="32" x14ac:dyDescent="0.2">
      <c r="A62" s="23" t="s">
        <v>447</v>
      </c>
      <c r="B62" s="23" t="s">
        <v>100</v>
      </c>
      <c r="C62" s="24" t="s">
        <v>448</v>
      </c>
      <c r="D62" s="24" t="s">
        <v>442</v>
      </c>
      <c r="E62" s="24" t="s">
        <v>449</v>
      </c>
      <c r="F62" s="26"/>
      <c r="G62" s="26"/>
      <c r="H62" s="27" t="s">
        <v>450</v>
      </c>
      <c r="I62" s="27"/>
      <c r="J62" s="27" t="s">
        <v>208</v>
      </c>
      <c r="K62" s="25" t="s">
        <v>21</v>
      </c>
      <c r="L62" s="24" t="s">
        <v>445</v>
      </c>
      <c r="M62" s="26" t="s">
        <v>451</v>
      </c>
    </row>
    <row r="63" spans="1:19" ht="32" x14ac:dyDescent="0.2">
      <c r="A63" s="23" t="s">
        <v>452</v>
      </c>
      <c r="B63" s="23" t="s">
        <v>100</v>
      </c>
      <c r="C63" s="24" t="s">
        <v>453</v>
      </c>
      <c r="D63" s="24" t="s">
        <v>442</v>
      </c>
      <c r="E63" s="24" t="s">
        <v>454</v>
      </c>
      <c r="F63" s="26"/>
      <c r="G63" s="26"/>
      <c r="H63" s="27" t="s">
        <v>455</v>
      </c>
      <c r="I63" s="27"/>
      <c r="J63" s="27" t="s">
        <v>208</v>
      </c>
      <c r="K63" s="25" t="s">
        <v>21</v>
      </c>
      <c r="L63" s="24" t="s">
        <v>445</v>
      </c>
      <c r="M63" s="26" t="s">
        <v>456</v>
      </c>
    </row>
    <row r="64" spans="1:19" ht="32" x14ac:dyDescent="0.2">
      <c r="A64" s="23" t="s">
        <v>457</v>
      </c>
      <c r="B64" s="23" t="s">
        <v>100</v>
      </c>
      <c r="C64" s="24" t="s">
        <v>458</v>
      </c>
      <c r="D64" s="24" t="s">
        <v>442</v>
      </c>
      <c r="E64" s="24" t="s">
        <v>459</v>
      </c>
      <c r="F64" s="26"/>
      <c r="G64" s="26"/>
      <c r="H64" s="27" t="s">
        <v>460</v>
      </c>
      <c r="I64" s="27"/>
      <c r="J64" s="27" t="s">
        <v>208</v>
      </c>
      <c r="K64" s="25" t="s">
        <v>21</v>
      </c>
      <c r="L64" s="24" t="s">
        <v>445</v>
      </c>
      <c r="M64" s="26" t="s">
        <v>461</v>
      </c>
    </row>
    <row r="65" spans="1:13" ht="64" x14ac:dyDescent="0.2">
      <c r="A65" s="23" t="s">
        <v>462</v>
      </c>
      <c r="B65" s="23" t="s">
        <v>463</v>
      </c>
      <c r="C65" s="24" t="s">
        <v>464</v>
      </c>
      <c r="D65" s="24" t="s">
        <v>465</v>
      </c>
      <c r="E65" s="24" t="s">
        <v>466</v>
      </c>
      <c r="F65" s="23" t="s">
        <v>467</v>
      </c>
      <c r="G65" s="23" t="s">
        <v>468</v>
      </c>
      <c r="H65" s="24" t="s">
        <v>469</v>
      </c>
      <c r="I65" s="24" t="s">
        <v>470</v>
      </c>
      <c r="J65" s="24" t="s">
        <v>471</v>
      </c>
      <c r="K65" s="25" t="s">
        <v>21</v>
      </c>
      <c r="L65" s="24" t="s">
        <v>472</v>
      </c>
      <c r="M65" s="26" t="s">
        <v>468</v>
      </c>
    </row>
    <row r="66" spans="1:13" ht="32" x14ac:dyDescent="0.2">
      <c r="A66" s="23" t="s">
        <v>473</v>
      </c>
      <c r="B66" s="23" t="s">
        <v>47</v>
      </c>
      <c r="C66" s="24" t="s">
        <v>474</v>
      </c>
      <c r="D66" s="24" t="s">
        <v>475</v>
      </c>
      <c r="E66" s="24" t="s">
        <v>50</v>
      </c>
      <c r="F66" s="23" t="s">
        <v>51</v>
      </c>
      <c r="G66" s="23" t="s">
        <v>476</v>
      </c>
      <c r="H66" s="24" t="s">
        <v>469</v>
      </c>
      <c r="I66" s="24" t="s">
        <v>477</v>
      </c>
      <c r="J66" s="24" t="s">
        <v>478</v>
      </c>
      <c r="K66" s="25" t="s">
        <v>21</v>
      </c>
      <c r="L66" s="24" t="s">
        <v>479</v>
      </c>
      <c r="M66" s="26" t="s">
        <v>480</v>
      </c>
    </row>
    <row r="67" spans="1:13" ht="32" x14ac:dyDescent="0.2">
      <c r="A67" s="23" t="s">
        <v>481</v>
      </c>
      <c r="B67" s="23" t="s">
        <v>100</v>
      </c>
      <c r="C67" s="24" t="s">
        <v>482</v>
      </c>
      <c r="D67" s="24" t="s">
        <v>360</v>
      </c>
      <c r="E67" s="24" t="s">
        <v>483</v>
      </c>
      <c r="F67" s="11" t="s">
        <v>103</v>
      </c>
      <c r="G67" s="26"/>
      <c r="H67" s="24" t="s">
        <v>469</v>
      </c>
      <c r="I67" s="27"/>
      <c r="J67" s="27" t="s">
        <v>208</v>
      </c>
      <c r="K67" s="25" t="s">
        <v>21</v>
      </c>
      <c r="L67" s="24" t="s">
        <v>362</v>
      </c>
      <c r="M67" s="23" t="s">
        <v>484</v>
      </c>
    </row>
    <row r="68" spans="1:13" ht="48" x14ac:dyDescent="0.2">
      <c r="A68" s="23" t="s">
        <v>485</v>
      </c>
      <c r="B68" s="23" t="s">
        <v>57</v>
      </c>
      <c r="C68" s="24" t="s">
        <v>486</v>
      </c>
      <c r="D68" s="24" t="s">
        <v>487</v>
      </c>
      <c r="E68" s="24" t="s">
        <v>60</v>
      </c>
      <c r="F68" s="23" t="s">
        <v>488</v>
      </c>
      <c r="G68" s="23" t="s">
        <v>489</v>
      </c>
      <c r="H68" s="24" t="s">
        <v>490</v>
      </c>
      <c r="I68" s="24" t="s">
        <v>413</v>
      </c>
      <c r="J68" s="24" t="s">
        <v>478</v>
      </c>
      <c r="K68" s="25" t="s">
        <v>21</v>
      </c>
      <c r="L68" s="24" t="s">
        <v>491</v>
      </c>
      <c r="M68" s="26" t="s">
        <v>492</v>
      </c>
    </row>
    <row r="69" spans="1:13" ht="48" x14ac:dyDescent="0.2">
      <c r="A69" s="23" t="s">
        <v>493</v>
      </c>
      <c r="B69" s="23" t="s">
        <v>57</v>
      </c>
      <c r="C69" s="24" t="s">
        <v>486</v>
      </c>
      <c r="D69" s="24" t="s">
        <v>494</v>
      </c>
      <c r="E69" s="24" t="s">
        <v>495</v>
      </c>
      <c r="F69" s="23" t="s">
        <v>488</v>
      </c>
      <c r="G69" s="23" t="s">
        <v>496</v>
      </c>
      <c r="H69" s="24" t="s">
        <v>490</v>
      </c>
      <c r="I69" s="24" t="s">
        <v>497</v>
      </c>
      <c r="J69" s="24" t="s">
        <v>478</v>
      </c>
      <c r="K69" s="25" t="s">
        <v>21</v>
      </c>
      <c r="L69" s="24" t="s">
        <v>498</v>
      </c>
      <c r="M69" s="26" t="s">
        <v>499</v>
      </c>
    </row>
    <row r="70" spans="1:13" ht="64" x14ac:dyDescent="0.2">
      <c r="A70" s="23" t="s">
        <v>500</v>
      </c>
      <c r="B70" s="23" t="s">
        <v>232</v>
      </c>
      <c r="C70" s="24" t="s">
        <v>501</v>
      </c>
      <c r="D70" s="24" t="s">
        <v>502</v>
      </c>
      <c r="E70" s="24" t="s">
        <v>503</v>
      </c>
      <c r="F70" s="26"/>
      <c r="G70" s="26"/>
      <c r="H70" s="27" t="s">
        <v>490</v>
      </c>
      <c r="I70" s="27" t="s">
        <v>504</v>
      </c>
      <c r="J70" s="27" t="s">
        <v>208</v>
      </c>
      <c r="K70" s="25" t="s">
        <v>351</v>
      </c>
      <c r="L70" s="24" t="s">
        <v>505</v>
      </c>
      <c r="M70" s="26" t="s">
        <v>506</v>
      </c>
    </row>
    <row r="71" spans="1:13" ht="48" x14ac:dyDescent="0.2">
      <c r="A71" s="23" t="s">
        <v>507</v>
      </c>
      <c r="B71" s="23" t="s">
        <v>508</v>
      </c>
      <c r="C71" s="24" t="s">
        <v>509</v>
      </c>
      <c r="D71" s="24" t="s">
        <v>510</v>
      </c>
      <c r="E71" s="24" t="s">
        <v>511</v>
      </c>
      <c r="F71" s="23" t="s">
        <v>394</v>
      </c>
      <c r="G71" s="23" t="s">
        <v>512</v>
      </c>
      <c r="H71" s="24" t="s">
        <v>490</v>
      </c>
      <c r="I71" s="24" t="s">
        <v>513</v>
      </c>
      <c r="J71" s="24" t="s">
        <v>514</v>
      </c>
      <c r="K71" s="25" t="s">
        <v>21</v>
      </c>
      <c r="L71" s="24" t="s">
        <v>515</v>
      </c>
      <c r="M71" s="26" t="s">
        <v>516</v>
      </c>
    </row>
    <row r="72" spans="1:13" ht="32" x14ac:dyDescent="0.2">
      <c r="A72" s="23" t="s">
        <v>517</v>
      </c>
      <c r="B72" s="23" t="s">
        <v>47</v>
      </c>
      <c r="C72" s="24" t="s">
        <v>518</v>
      </c>
      <c r="D72" s="24" t="s">
        <v>519</v>
      </c>
      <c r="E72" s="24" t="s">
        <v>50</v>
      </c>
      <c r="F72" s="23" t="s">
        <v>51</v>
      </c>
      <c r="G72" s="23" t="s">
        <v>520</v>
      </c>
      <c r="H72" s="24" t="s">
        <v>490</v>
      </c>
      <c r="I72" s="24" t="s">
        <v>521</v>
      </c>
      <c r="J72" s="24" t="s">
        <v>478</v>
      </c>
      <c r="K72" s="25" t="s">
        <v>21</v>
      </c>
      <c r="L72" s="24" t="s">
        <v>522</v>
      </c>
      <c r="M72" s="26" t="s">
        <v>523</v>
      </c>
    </row>
    <row r="73" spans="1:13" ht="48" x14ac:dyDescent="0.2">
      <c r="A73" s="23" t="s">
        <v>524</v>
      </c>
      <c r="B73" s="23" t="s">
        <v>47</v>
      </c>
      <c r="C73" s="24" t="s">
        <v>525</v>
      </c>
      <c r="D73" s="24" t="s">
        <v>526</v>
      </c>
      <c r="E73" s="24" t="s">
        <v>50</v>
      </c>
      <c r="F73" s="23" t="s">
        <v>342</v>
      </c>
      <c r="G73" s="23" t="s">
        <v>527</v>
      </c>
      <c r="H73" s="24" t="s">
        <v>490</v>
      </c>
      <c r="I73" s="27" t="s">
        <v>528</v>
      </c>
      <c r="J73" s="24" t="s">
        <v>529</v>
      </c>
      <c r="K73" s="25" t="s">
        <v>21</v>
      </c>
      <c r="L73" s="24" t="s">
        <v>530</v>
      </c>
      <c r="M73" s="26" t="s">
        <v>531</v>
      </c>
    </row>
    <row r="74" spans="1:13" ht="48" x14ac:dyDescent="0.2">
      <c r="A74" s="23" t="s">
        <v>532</v>
      </c>
      <c r="B74" s="23" t="s">
        <v>47</v>
      </c>
      <c r="C74" s="24" t="s">
        <v>533</v>
      </c>
      <c r="D74" s="24" t="s">
        <v>534</v>
      </c>
      <c r="E74" s="24" t="s">
        <v>50</v>
      </c>
      <c r="F74" s="23" t="s">
        <v>535</v>
      </c>
      <c r="G74" s="23" t="s">
        <v>536</v>
      </c>
      <c r="H74" s="24" t="s">
        <v>490</v>
      </c>
      <c r="I74" s="24" t="s">
        <v>537</v>
      </c>
      <c r="J74" s="24" t="s">
        <v>538</v>
      </c>
      <c r="K74" s="25" t="s">
        <v>21</v>
      </c>
      <c r="L74" s="24" t="s">
        <v>539</v>
      </c>
      <c r="M74" s="26" t="s">
        <v>540</v>
      </c>
    </row>
    <row r="75" spans="1:13" ht="48" x14ac:dyDescent="0.2">
      <c r="A75" s="23" t="s">
        <v>541</v>
      </c>
      <c r="B75" s="23" t="s">
        <v>542</v>
      </c>
      <c r="C75" s="24" t="s">
        <v>543</v>
      </c>
      <c r="D75" s="24" t="s">
        <v>544</v>
      </c>
      <c r="E75" s="24" t="s">
        <v>545</v>
      </c>
      <c r="F75" s="23" t="s">
        <v>546</v>
      </c>
      <c r="G75" s="23" t="s">
        <v>547</v>
      </c>
      <c r="H75" s="24" t="s">
        <v>490</v>
      </c>
      <c r="I75" s="24" t="s">
        <v>548</v>
      </c>
      <c r="J75" s="24" t="s">
        <v>549</v>
      </c>
      <c r="K75" s="25" t="s">
        <v>21</v>
      </c>
      <c r="L75" s="24" t="s">
        <v>550</v>
      </c>
      <c r="M75" s="26" t="s">
        <v>547</v>
      </c>
    </row>
    <row r="76" spans="1:13" ht="48" x14ac:dyDescent="0.2">
      <c r="A76" s="23" t="s">
        <v>551</v>
      </c>
      <c r="B76" s="23" t="s">
        <v>322</v>
      </c>
      <c r="C76" s="24" t="s">
        <v>552</v>
      </c>
      <c r="D76" s="24" t="s">
        <v>553</v>
      </c>
      <c r="E76" s="24" t="s">
        <v>195</v>
      </c>
      <c r="F76" s="23" t="s">
        <v>554</v>
      </c>
      <c r="G76" s="23" t="s">
        <v>555</v>
      </c>
      <c r="H76" s="24" t="s">
        <v>490</v>
      </c>
      <c r="I76" s="24" t="s">
        <v>556</v>
      </c>
      <c r="J76" s="24" t="s">
        <v>557</v>
      </c>
      <c r="K76" s="25" t="s">
        <v>21</v>
      </c>
      <c r="L76" s="24" t="s">
        <v>558</v>
      </c>
      <c r="M76" s="26" t="s">
        <v>559</v>
      </c>
    </row>
    <row r="77" spans="1:13" ht="48" x14ac:dyDescent="0.2">
      <c r="A77" s="23" t="s">
        <v>560</v>
      </c>
      <c r="B77" s="23" t="s">
        <v>100</v>
      </c>
      <c r="C77" s="24" t="s">
        <v>561</v>
      </c>
      <c r="D77" s="24" t="s">
        <v>360</v>
      </c>
      <c r="E77" s="24" t="s">
        <v>562</v>
      </c>
      <c r="F77" s="11" t="s">
        <v>103</v>
      </c>
      <c r="G77" s="26"/>
      <c r="H77" s="24" t="s">
        <v>490</v>
      </c>
      <c r="I77" s="27"/>
      <c r="J77" s="27" t="s">
        <v>208</v>
      </c>
      <c r="K77" s="27" t="s">
        <v>21</v>
      </c>
      <c r="L77" s="24" t="s">
        <v>563</v>
      </c>
      <c r="M77" s="23" t="s">
        <v>564</v>
      </c>
    </row>
    <row r="78" spans="1:13" ht="32" x14ac:dyDescent="0.2">
      <c r="A78" s="23" t="s">
        <v>565</v>
      </c>
      <c r="B78" s="23" t="s">
        <v>566</v>
      </c>
      <c r="C78" s="24" t="s">
        <v>567</v>
      </c>
      <c r="D78" s="24" t="s">
        <v>568</v>
      </c>
      <c r="E78" s="27"/>
      <c r="F78" s="23" t="s">
        <v>569</v>
      </c>
      <c r="G78" s="23" t="s">
        <v>570</v>
      </c>
      <c r="H78" s="24" t="s">
        <v>571</v>
      </c>
      <c r="I78" s="24"/>
      <c r="J78" s="24" t="s">
        <v>572</v>
      </c>
      <c r="K78" s="24" t="s">
        <v>21</v>
      </c>
      <c r="L78" s="24" t="s">
        <v>573</v>
      </c>
      <c r="M78" s="26" t="s">
        <v>570</v>
      </c>
    </row>
    <row r="79" spans="1:13" ht="32" x14ac:dyDescent="0.2">
      <c r="A79" s="23" t="s">
        <v>574</v>
      </c>
      <c r="B79" s="23" t="s">
        <v>47</v>
      </c>
      <c r="C79" s="24" t="s">
        <v>575</v>
      </c>
      <c r="D79" s="24" t="s">
        <v>576</v>
      </c>
      <c r="E79" s="24" t="s">
        <v>577</v>
      </c>
      <c r="F79" s="23" t="s">
        <v>578</v>
      </c>
      <c r="G79" s="23" t="s">
        <v>579</v>
      </c>
      <c r="H79" s="24" t="s">
        <v>571</v>
      </c>
      <c r="I79" s="24"/>
      <c r="J79" s="24" t="s">
        <v>572</v>
      </c>
      <c r="K79" s="24" t="s">
        <v>21</v>
      </c>
      <c r="L79" s="24" t="s">
        <v>580</v>
      </c>
      <c r="M79" s="26" t="s">
        <v>579</v>
      </c>
    </row>
    <row r="80" spans="1:13" ht="32" x14ac:dyDescent="0.2">
      <c r="A80" s="23" t="s">
        <v>581</v>
      </c>
      <c r="B80" s="23" t="s">
        <v>47</v>
      </c>
      <c r="C80" s="24" t="s">
        <v>582</v>
      </c>
      <c r="D80" s="24" t="s">
        <v>583</v>
      </c>
      <c r="E80" s="24" t="s">
        <v>577</v>
      </c>
      <c r="F80" s="23" t="s">
        <v>578</v>
      </c>
      <c r="G80" s="23" t="s">
        <v>584</v>
      </c>
      <c r="H80" s="24" t="s">
        <v>571</v>
      </c>
      <c r="I80" s="24"/>
      <c r="J80" s="24" t="s">
        <v>572</v>
      </c>
      <c r="K80" s="24" t="s">
        <v>21</v>
      </c>
      <c r="L80" s="24" t="s">
        <v>580</v>
      </c>
      <c r="M80" s="26" t="s">
        <v>584</v>
      </c>
    </row>
    <row r="81" spans="1:13" ht="48" x14ac:dyDescent="0.2">
      <c r="A81" s="23" t="s">
        <v>585</v>
      </c>
      <c r="B81" s="23" t="s">
        <v>31</v>
      </c>
      <c r="C81" s="24" t="s">
        <v>586</v>
      </c>
      <c r="D81" s="24" t="s">
        <v>587</v>
      </c>
      <c r="E81" s="24" t="s">
        <v>586</v>
      </c>
      <c r="F81" s="23" t="s">
        <v>588</v>
      </c>
      <c r="G81" s="23" t="s">
        <v>589</v>
      </c>
      <c r="H81" s="27" t="s">
        <v>590</v>
      </c>
      <c r="I81" s="27"/>
      <c r="J81" s="24" t="s">
        <v>591</v>
      </c>
      <c r="K81" s="27" t="s">
        <v>351</v>
      </c>
      <c r="L81" s="24" t="s">
        <v>592</v>
      </c>
      <c r="M81" s="26" t="s">
        <v>589</v>
      </c>
    </row>
    <row r="82" spans="1:13" ht="48" x14ac:dyDescent="0.2">
      <c r="A82" s="23" t="s">
        <v>593</v>
      </c>
      <c r="B82" s="23" t="s">
        <v>31</v>
      </c>
      <c r="C82" s="24" t="s">
        <v>594</v>
      </c>
      <c r="D82" s="24" t="s">
        <v>595</v>
      </c>
      <c r="E82" s="24" t="s">
        <v>594</v>
      </c>
      <c r="F82" s="23" t="s">
        <v>588</v>
      </c>
      <c r="G82" s="23" t="s">
        <v>596</v>
      </c>
      <c r="H82" s="27" t="s">
        <v>590</v>
      </c>
      <c r="I82" s="27"/>
      <c r="J82" s="24" t="s">
        <v>591</v>
      </c>
      <c r="K82" s="27" t="s">
        <v>351</v>
      </c>
      <c r="L82" s="24" t="s">
        <v>597</v>
      </c>
      <c r="M82" s="26" t="s">
        <v>596</v>
      </c>
    </row>
    <row r="83" spans="1:13" ht="48" x14ac:dyDescent="0.2">
      <c r="A83" s="23" t="s">
        <v>598</v>
      </c>
      <c r="B83" s="23" t="s">
        <v>31</v>
      </c>
      <c r="C83" s="24" t="s">
        <v>599</v>
      </c>
      <c r="D83" s="24" t="s">
        <v>600</v>
      </c>
      <c r="E83" s="24" t="s">
        <v>599</v>
      </c>
      <c r="F83" s="23" t="s">
        <v>588</v>
      </c>
      <c r="G83" s="23" t="s">
        <v>601</v>
      </c>
      <c r="H83" s="27" t="s">
        <v>590</v>
      </c>
      <c r="I83" s="27"/>
      <c r="J83" s="24" t="s">
        <v>591</v>
      </c>
      <c r="K83" s="27" t="s">
        <v>351</v>
      </c>
      <c r="L83" s="24" t="s">
        <v>602</v>
      </c>
      <c r="M83" s="26" t="s">
        <v>601</v>
      </c>
    </row>
    <row r="84" spans="1:13" ht="48" x14ac:dyDescent="0.2">
      <c r="A84" s="23" t="s">
        <v>603</v>
      </c>
      <c r="B84" s="23" t="s">
        <v>31</v>
      </c>
      <c r="C84" s="24" t="s">
        <v>604</v>
      </c>
      <c r="D84" s="24" t="s">
        <v>605</v>
      </c>
      <c r="E84" s="24" t="s">
        <v>604</v>
      </c>
      <c r="F84" s="23" t="s">
        <v>588</v>
      </c>
      <c r="G84" s="23" t="s">
        <v>606</v>
      </c>
      <c r="H84" s="27" t="s">
        <v>590</v>
      </c>
      <c r="I84" s="27"/>
      <c r="J84" s="24" t="s">
        <v>591</v>
      </c>
      <c r="K84" s="27" t="s">
        <v>351</v>
      </c>
      <c r="L84" s="24" t="s">
        <v>607</v>
      </c>
      <c r="M84" s="26" t="s">
        <v>606</v>
      </c>
    </row>
    <row r="85" spans="1:13" ht="48" x14ac:dyDescent="0.2">
      <c r="A85" s="23" t="s">
        <v>608</v>
      </c>
      <c r="B85" s="23" t="s">
        <v>31</v>
      </c>
      <c r="C85" s="24" t="s">
        <v>609</v>
      </c>
      <c r="D85" s="24" t="s">
        <v>610</v>
      </c>
      <c r="E85" s="24" t="s">
        <v>609</v>
      </c>
      <c r="F85" s="23" t="s">
        <v>588</v>
      </c>
      <c r="G85" s="23" t="s">
        <v>611</v>
      </c>
      <c r="H85" s="27" t="s">
        <v>590</v>
      </c>
      <c r="I85" s="27"/>
      <c r="J85" s="24" t="s">
        <v>591</v>
      </c>
      <c r="K85" s="27" t="s">
        <v>351</v>
      </c>
      <c r="L85" s="24" t="s">
        <v>612</v>
      </c>
      <c r="M85" s="26" t="s">
        <v>611</v>
      </c>
    </row>
    <row r="86" spans="1:13" ht="48" x14ac:dyDescent="0.2">
      <c r="A86" s="23" t="s">
        <v>613</v>
      </c>
      <c r="B86" s="23" t="s">
        <v>31</v>
      </c>
      <c r="C86" s="24" t="s">
        <v>614</v>
      </c>
      <c r="D86" s="24" t="s">
        <v>615</v>
      </c>
      <c r="E86" s="24" t="s">
        <v>614</v>
      </c>
      <c r="F86" s="23" t="s">
        <v>588</v>
      </c>
      <c r="G86" s="23" t="s">
        <v>616</v>
      </c>
      <c r="H86" s="27" t="s">
        <v>590</v>
      </c>
      <c r="I86" s="27"/>
      <c r="J86" s="24" t="s">
        <v>591</v>
      </c>
      <c r="K86" s="27" t="s">
        <v>351</v>
      </c>
      <c r="L86" s="24" t="s">
        <v>617</v>
      </c>
      <c r="M86" s="26" t="s">
        <v>616</v>
      </c>
    </row>
    <row r="87" spans="1:13" ht="48" x14ac:dyDescent="0.2">
      <c r="A87" s="23" t="s">
        <v>618</v>
      </c>
      <c r="B87" s="23" t="s">
        <v>31</v>
      </c>
      <c r="C87" s="24" t="s">
        <v>619</v>
      </c>
      <c r="D87" s="24" t="s">
        <v>620</v>
      </c>
      <c r="E87" s="24" t="s">
        <v>619</v>
      </c>
      <c r="F87" s="23" t="s">
        <v>588</v>
      </c>
      <c r="G87" s="23" t="s">
        <v>621</v>
      </c>
      <c r="H87" s="27" t="s">
        <v>590</v>
      </c>
      <c r="I87" s="27"/>
      <c r="J87" s="24" t="s">
        <v>591</v>
      </c>
      <c r="K87" s="27" t="s">
        <v>351</v>
      </c>
      <c r="L87" s="24" t="s">
        <v>622</v>
      </c>
      <c r="M87" s="26" t="s">
        <v>621</v>
      </c>
    </row>
    <row r="88" spans="1:13" ht="48" x14ac:dyDescent="0.2">
      <c r="A88" s="23" t="s">
        <v>623</v>
      </c>
      <c r="B88" s="23" t="s">
        <v>31</v>
      </c>
      <c r="C88" s="24" t="s">
        <v>624</v>
      </c>
      <c r="D88" s="24" t="s">
        <v>625</v>
      </c>
      <c r="E88" s="24" t="s">
        <v>624</v>
      </c>
      <c r="F88" s="23" t="s">
        <v>588</v>
      </c>
      <c r="G88" s="23" t="s">
        <v>626</v>
      </c>
      <c r="H88" s="27" t="s">
        <v>590</v>
      </c>
      <c r="I88" s="27"/>
      <c r="J88" s="24" t="s">
        <v>591</v>
      </c>
      <c r="K88" s="27" t="s">
        <v>351</v>
      </c>
      <c r="L88" s="24" t="s">
        <v>627</v>
      </c>
      <c r="M88" s="26" t="s">
        <v>626</v>
      </c>
    </row>
    <row r="89" spans="1:13" ht="48" x14ac:dyDescent="0.2">
      <c r="A89" s="23" t="s">
        <v>628</v>
      </c>
      <c r="B89" s="23" t="s">
        <v>31</v>
      </c>
      <c r="C89" s="27" t="s">
        <v>629</v>
      </c>
      <c r="D89" s="24" t="s">
        <v>630</v>
      </c>
      <c r="E89" s="27"/>
      <c r="F89" s="23" t="s">
        <v>631</v>
      </c>
      <c r="G89" s="23" t="s">
        <v>632</v>
      </c>
      <c r="H89" s="24" t="s">
        <v>590</v>
      </c>
      <c r="I89" s="24"/>
      <c r="J89" s="24" t="s">
        <v>633</v>
      </c>
      <c r="K89" s="24" t="s">
        <v>351</v>
      </c>
      <c r="L89" s="24" t="s">
        <v>634</v>
      </c>
      <c r="M89" s="26" t="s">
        <v>632</v>
      </c>
    </row>
    <row r="90" spans="1:13" ht="80" x14ac:dyDescent="0.2">
      <c r="A90" s="23" t="s">
        <v>635</v>
      </c>
      <c r="B90" s="23" t="s">
        <v>31</v>
      </c>
      <c r="C90" s="24" t="s">
        <v>636</v>
      </c>
      <c r="D90" s="24" t="s">
        <v>637</v>
      </c>
      <c r="E90" s="24" t="s">
        <v>638</v>
      </c>
      <c r="F90" s="23" t="s">
        <v>639</v>
      </c>
      <c r="G90" s="23" t="s">
        <v>640</v>
      </c>
      <c r="H90" s="24" t="s">
        <v>641</v>
      </c>
      <c r="I90" s="24" t="s">
        <v>642</v>
      </c>
      <c r="J90" s="24" t="s">
        <v>643</v>
      </c>
      <c r="K90" s="27" t="s">
        <v>21</v>
      </c>
      <c r="L90" s="24" t="s">
        <v>644</v>
      </c>
      <c r="M90" s="26" t="s">
        <v>640</v>
      </c>
    </row>
    <row r="91" spans="1:13" ht="32" x14ac:dyDescent="0.2">
      <c r="A91" s="23" t="s">
        <v>645</v>
      </c>
      <c r="B91" s="23" t="s">
        <v>47</v>
      </c>
      <c r="C91" s="24" t="s">
        <v>646</v>
      </c>
      <c r="D91" s="24" t="s">
        <v>647</v>
      </c>
      <c r="E91" s="24" t="s">
        <v>50</v>
      </c>
      <c r="F91" s="23" t="s">
        <v>648</v>
      </c>
      <c r="G91" s="23" t="s">
        <v>649</v>
      </c>
      <c r="H91" s="24" t="s">
        <v>641</v>
      </c>
      <c r="I91" s="24" t="s">
        <v>650</v>
      </c>
      <c r="J91" s="24" t="s">
        <v>651</v>
      </c>
      <c r="K91" s="24" t="s">
        <v>21</v>
      </c>
      <c r="L91" s="24" t="s">
        <v>652</v>
      </c>
      <c r="M91" s="26" t="s">
        <v>649</v>
      </c>
    </row>
    <row r="92" spans="1:13" ht="48" x14ac:dyDescent="0.2">
      <c r="A92" s="23" t="s">
        <v>653</v>
      </c>
      <c r="B92" s="23" t="s">
        <v>31</v>
      </c>
      <c r="C92" s="24" t="s">
        <v>654</v>
      </c>
      <c r="D92" s="24" t="s">
        <v>655</v>
      </c>
      <c r="E92" s="24" t="s">
        <v>656</v>
      </c>
      <c r="F92" s="23" t="s">
        <v>657</v>
      </c>
      <c r="G92" s="23" t="s">
        <v>658</v>
      </c>
      <c r="H92" s="24" t="s">
        <v>571</v>
      </c>
      <c r="I92" s="24"/>
      <c r="J92" s="24" t="s">
        <v>659</v>
      </c>
      <c r="K92" s="24" t="s">
        <v>21</v>
      </c>
      <c r="L92" s="24" t="s">
        <v>660</v>
      </c>
      <c r="M92" s="26" t="s">
        <v>658</v>
      </c>
    </row>
    <row r="93" spans="1:13" ht="32" x14ac:dyDescent="0.2">
      <c r="A93" s="23" t="s">
        <v>661</v>
      </c>
      <c r="B93" s="23" t="s">
        <v>113</v>
      </c>
      <c r="C93" s="24" t="s">
        <v>662</v>
      </c>
      <c r="D93" s="24" t="s">
        <v>663</v>
      </c>
      <c r="E93" s="24" t="s">
        <v>165</v>
      </c>
      <c r="F93" s="23" t="s">
        <v>664</v>
      </c>
      <c r="G93" s="23" t="s">
        <v>665</v>
      </c>
      <c r="H93" s="24" t="s">
        <v>571</v>
      </c>
      <c r="I93" s="24"/>
      <c r="J93" s="24" t="s">
        <v>659</v>
      </c>
      <c r="K93" s="24" t="s">
        <v>21</v>
      </c>
      <c r="L93" s="24" t="s">
        <v>666</v>
      </c>
      <c r="M93" s="26" t="s">
        <v>665</v>
      </c>
    </row>
    <row r="94" spans="1:13" ht="48" x14ac:dyDescent="0.2">
      <c r="A94" s="23" t="s">
        <v>667</v>
      </c>
      <c r="B94" s="23" t="s">
        <v>47</v>
      </c>
      <c r="C94" s="24" t="s">
        <v>668</v>
      </c>
      <c r="D94" s="24" t="s">
        <v>669</v>
      </c>
      <c r="E94" s="24" t="s">
        <v>50</v>
      </c>
      <c r="F94" s="23" t="s">
        <v>342</v>
      </c>
      <c r="G94" s="23" t="s">
        <v>670</v>
      </c>
      <c r="H94" s="24" t="s">
        <v>571</v>
      </c>
      <c r="I94" s="24"/>
      <c r="J94" s="24" t="s">
        <v>659</v>
      </c>
      <c r="K94" s="24" t="s">
        <v>21</v>
      </c>
      <c r="L94" s="24" t="s">
        <v>671</v>
      </c>
      <c r="M94" s="26" t="s">
        <v>670</v>
      </c>
    </row>
    <row r="95" spans="1:13" ht="48" x14ac:dyDescent="0.2">
      <c r="A95" s="23" t="s">
        <v>672</v>
      </c>
      <c r="B95" s="23" t="s">
        <v>47</v>
      </c>
      <c r="C95" s="24" t="s">
        <v>673</v>
      </c>
      <c r="D95" s="24" t="s">
        <v>674</v>
      </c>
      <c r="E95" s="24" t="s">
        <v>50</v>
      </c>
      <c r="F95" s="23" t="s">
        <v>342</v>
      </c>
      <c r="G95" s="23" t="s">
        <v>675</v>
      </c>
      <c r="H95" s="24" t="s">
        <v>571</v>
      </c>
      <c r="I95" s="24"/>
      <c r="J95" s="24" t="s">
        <v>659</v>
      </c>
      <c r="K95" s="24" t="s">
        <v>21</v>
      </c>
      <c r="L95" s="24" t="s">
        <v>676</v>
      </c>
      <c r="M95" s="26" t="s">
        <v>675</v>
      </c>
    </row>
    <row r="96" spans="1:13" ht="48" x14ac:dyDescent="0.2">
      <c r="A96" s="23" t="s">
        <v>677</v>
      </c>
      <c r="B96" s="23" t="s">
        <v>162</v>
      </c>
      <c r="C96" s="24" t="s">
        <v>678</v>
      </c>
      <c r="D96" s="24" t="s">
        <v>679</v>
      </c>
      <c r="E96" s="24" t="s">
        <v>680</v>
      </c>
      <c r="F96" s="23" t="s">
        <v>681</v>
      </c>
      <c r="G96" s="26"/>
      <c r="H96" s="24" t="s">
        <v>571</v>
      </c>
      <c r="I96" s="24"/>
      <c r="J96" s="24" t="s">
        <v>659</v>
      </c>
      <c r="K96" s="24" t="s">
        <v>351</v>
      </c>
      <c r="L96" s="24" t="s">
        <v>682</v>
      </c>
      <c r="M96" s="26" t="s">
        <v>683</v>
      </c>
    </row>
    <row r="97" spans="1:13" ht="32" x14ac:dyDescent="0.2">
      <c r="A97" s="23" t="s">
        <v>684</v>
      </c>
      <c r="B97" s="23" t="s">
        <v>57</v>
      </c>
      <c r="C97" s="24" t="s">
        <v>685</v>
      </c>
      <c r="D97" s="24" t="s">
        <v>686</v>
      </c>
      <c r="E97" s="24" t="s">
        <v>287</v>
      </c>
      <c r="F97" s="23" t="s">
        <v>136</v>
      </c>
      <c r="G97" s="23" t="s">
        <v>687</v>
      </c>
      <c r="H97" s="24" t="s">
        <v>571</v>
      </c>
      <c r="I97" s="24"/>
      <c r="J97" s="24" t="s">
        <v>659</v>
      </c>
      <c r="K97" s="24" t="s">
        <v>21</v>
      </c>
      <c r="L97" s="24" t="s">
        <v>688</v>
      </c>
      <c r="M97" s="26" t="s">
        <v>687</v>
      </c>
    </row>
    <row r="98" spans="1:13" ht="32" x14ac:dyDescent="0.2">
      <c r="A98" s="23" t="s">
        <v>689</v>
      </c>
      <c r="B98" s="23" t="s">
        <v>57</v>
      </c>
      <c r="C98" s="24" t="s">
        <v>690</v>
      </c>
      <c r="D98" s="24" t="s">
        <v>691</v>
      </c>
      <c r="E98" s="24" t="s">
        <v>692</v>
      </c>
      <c r="F98" s="23" t="s">
        <v>693</v>
      </c>
      <c r="G98" s="23" t="s">
        <v>694</v>
      </c>
      <c r="H98" s="24" t="s">
        <v>571</v>
      </c>
      <c r="I98" s="24"/>
      <c r="J98" s="24" t="s">
        <v>659</v>
      </c>
      <c r="K98" s="24" t="s">
        <v>21</v>
      </c>
      <c r="L98" s="24" t="s">
        <v>695</v>
      </c>
      <c r="M98" s="26" t="s">
        <v>694</v>
      </c>
    </row>
    <row r="99" spans="1:13" ht="32" x14ac:dyDescent="0.2">
      <c r="A99" s="23" t="s">
        <v>696</v>
      </c>
      <c r="B99" s="23" t="s">
        <v>31</v>
      </c>
      <c r="C99" s="24" t="s">
        <v>697</v>
      </c>
      <c r="D99" s="24" t="s">
        <v>698</v>
      </c>
      <c r="E99" s="24" t="s">
        <v>699</v>
      </c>
      <c r="F99" s="23" t="s">
        <v>17</v>
      </c>
      <c r="G99" s="23" t="s">
        <v>700</v>
      </c>
      <c r="H99" s="24" t="s">
        <v>571</v>
      </c>
      <c r="I99" s="24"/>
      <c r="J99" s="24" t="s">
        <v>659</v>
      </c>
      <c r="K99" s="24" t="s">
        <v>21</v>
      </c>
      <c r="L99" s="24" t="s">
        <v>701</v>
      </c>
      <c r="M99" s="26" t="s">
        <v>700</v>
      </c>
    </row>
    <row r="100" spans="1:13" ht="48" x14ac:dyDescent="0.2">
      <c r="A100" s="23" t="s">
        <v>702</v>
      </c>
      <c r="B100" s="23" t="s">
        <v>47</v>
      </c>
      <c r="C100" s="24" t="s">
        <v>703</v>
      </c>
      <c r="D100" s="24" t="s">
        <v>704</v>
      </c>
      <c r="E100" s="24" t="s">
        <v>50</v>
      </c>
      <c r="F100" s="23" t="s">
        <v>535</v>
      </c>
      <c r="G100" s="23" t="s">
        <v>705</v>
      </c>
      <c r="H100" s="24" t="s">
        <v>571</v>
      </c>
      <c r="I100" s="24"/>
      <c r="J100" s="24" t="s">
        <v>659</v>
      </c>
      <c r="K100" s="24" t="s">
        <v>21</v>
      </c>
      <c r="L100" s="24" t="s">
        <v>706</v>
      </c>
      <c r="M100" s="26" t="s">
        <v>705</v>
      </c>
    </row>
    <row r="101" spans="1:13" ht="48" x14ac:dyDescent="0.2">
      <c r="A101" s="23" t="s">
        <v>707</v>
      </c>
      <c r="B101" s="23" t="s">
        <v>463</v>
      </c>
      <c r="C101" s="24" t="s">
        <v>464</v>
      </c>
      <c r="D101" s="24" t="s">
        <v>708</v>
      </c>
      <c r="E101" s="24" t="s">
        <v>466</v>
      </c>
      <c r="F101" s="23" t="s">
        <v>709</v>
      </c>
      <c r="G101" s="23" t="s">
        <v>710</v>
      </c>
      <c r="H101" s="24" t="s">
        <v>571</v>
      </c>
      <c r="I101" s="24"/>
      <c r="J101" s="24" t="s">
        <v>659</v>
      </c>
      <c r="K101" s="24" t="s">
        <v>21</v>
      </c>
      <c r="L101" s="24" t="s">
        <v>711</v>
      </c>
      <c r="M101" s="26" t="s">
        <v>710</v>
      </c>
    </row>
    <row r="102" spans="1:13" ht="48" x14ac:dyDescent="0.2">
      <c r="A102" s="23" t="s">
        <v>712</v>
      </c>
      <c r="B102" s="23" t="s">
        <v>713</v>
      </c>
      <c r="C102" s="24" t="s">
        <v>714</v>
      </c>
      <c r="D102" s="24" t="s">
        <v>715</v>
      </c>
      <c r="E102" s="27"/>
      <c r="F102" s="23" t="s">
        <v>681</v>
      </c>
      <c r="G102" s="26"/>
      <c r="H102" s="24" t="s">
        <v>571</v>
      </c>
      <c r="I102" s="24"/>
      <c r="J102" s="24" t="s">
        <v>659</v>
      </c>
      <c r="K102" s="24" t="s">
        <v>351</v>
      </c>
      <c r="L102" s="24" t="s">
        <v>716</v>
      </c>
      <c r="M102" s="26" t="s">
        <v>717</v>
      </c>
    </row>
  </sheetData>
  <conditionalFormatting sqref="Q2:Q54">
    <cfRule type="containsText" dxfId="11" priority="2" operator="containsText" text="Prüfen">
      <formula>NOT(ISERROR(SEARCH("Prüfen",Q2)))</formula>
    </cfRule>
    <cfRule type="containsText" dxfId="10" priority="3" operator="containsText" text="OK">
      <formula>NOT(ISERROR(SEARCH("OK",Q2)))</formula>
    </cfRule>
  </conditionalFormatting>
  <conditionalFormatting sqref="S2:S54">
    <cfRule type="duplicateValues" dxfId="9" priority="4"/>
  </conditionalFormatting>
  <dataValidations count="1">
    <dataValidation type="list" sqref="Q1:Q1102" xr:uid="{00000000-0002-0000-0000-000000000000}">
      <formula1>"OK,Prüfen,Legacy"</formula1>
      <formula2>0</formula2>
    </dataValidation>
  </dataValidations>
  <hyperlinks>
    <hyperlink ref="C23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6"/>
  <sheetViews>
    <sheetView showGridLines="0" zoomScaleNormal="100" workbookViewId="0"/>
  </sheetViews>
  <sheetFormatPr baseColWidth="10" defaultColWidth="8.83203125" defaultRowHeight="13" x14ac:dyDescent="0.15"/>
  <cols>
    <col min="1" max="1" width="14" customWidth="1"/>
    <col min="2" max="2" width="33.83203125" customWidth="1"/>
    <col min="4" max="4" width="12" customWidth="1"/>
    <col min="5" max="6" width="54" customWidth="1"/>
    <col min="7" max="7" width="72" customWidth="1"/>
  </cols>
  <sheetData>
    <row r="1" spans="1:7" ht="15" x14ac:dyDescent="0.15">
      <c r="A1" s="28" t="s">
        <v>718</v>
      </c>
      <c r="B1" s="28" t="s">
        <v>719</v>
      </c>
      <c r="C1" s="28" t="s">
        <v>720</v>
      </c>
      <c r="D1" s="28" t="s">
        <v>721</v>
      </c>
      <c r="E1" s="28" t="s">
        <v>722</v>
      </c>
      <c r="F1" s="28" t="s">
        <v>723</v>
      </c>
      <c r="G1" s="28" t="s">
        <v>11</v>
      </c>
    </row>
    <row r="2" spans="1:7" x14ac:dyDescent="0.15">
      <c r="A2" t="s">
        <v>724</v>
      </c>
      <c r="B2" t="s">
        <v>725</v>
      </c>
      <c r="C2" t="s">
        <v>726</v>
      </c>
      <c r="D2" s="29" t="s">
        <v>727</v>
      </c>
      <c r="E2" t="s">
        <v>728</v>
      </c>
      <c r="F2" t="s">
        <v>729</v>
      </c>
      <c r="G2" t="s">
        <v>730</v>
      </c>
    </row>
    <row r="3" spans="1:7" x14ac:dyDescent="0.15">
      <c r="A3" t="s">
        <v>731</v>
      </c>
      <c r="B3" t="s">
        <v>732</v>
      </c>
      <c r="C3" t="s">
        <v>726</v>
      </c>
      <c r="D3" s="29" t="s">
        <v>727</v>
      </c>
      <c r="E3" t="s">
        <v>733</v>
      </c>
      <c r="F3" t="s">
        <v>734</v>
      </c>
      <c r="G3" t="s">
        <v>735</v>
      </c>
    </row>
    <row r="4" spans="1:7" x14ac:dyDescent="0.15">
      <c r="A4" t="s">
        <v>736</v>
      </c>
      <c r="B4" t="s">
        <v>737</v>
      </c>
      <c r="C4" t="s">
        <v>726</v>
      </c>
      <c r="D4" s="29" t="s">
        <v>727</v>
      </c>
      <c r="E4" t="s">
        <v>738</v>
      </c>
      <c r="F4" t="s">
        <v>739</v>
      </c>
      <c r="G4" t="s">
        <v>740</v>
      </c>
    </row>
    <row r="5" spans="1:7" x14ac:dyDescent="0.15">
      <c r="A5" t="s">
        <v>741</v>
      </c>
      <c r="B5" t="s">
        <v>742</v>
      </c>
      <c r="C5" t="s">
        <v>743</v>
      </c>
      <c r="D5" s="29" t="s">
        <v>727</v>
      </c>
      <c r="E5" t="s">
        <v>744</v>
      </c>
      <c r="F5" t="s">
        <v>745</v>
      </c>
      <c r="G5" t="s">
        <v>746</v>
      </c>
    </row>
    <row r="6" spans="1:7" x14ac:dyDescent="0.15">
      <c r="D6" s="29"/>
    </row>
    <row r="7" spans="1:7" x14ac:dyDescent="0.15">
      <c r="D7" s="29"/>
    </row>
    <row r="8" spans="1:7" x14ac:dyDescent="0.15">
      <c r="D8" s="29"/>
    </row>
    <row r="9" spans="1:7" x14ac:dyDescent="0.15">
      <c r="D9" s="29"/>
    </row>
    <row r="10" spans="1:7" x14ac:dyDescent="0.15">
      <c r="D10" s="29"/>
    </row>
    <row r="11" spans="1:7" x14ac:dyDescent="0.15">
      <c r="D11" s="29"/>
    </row>
    <row r="12" spans="1:7" x14ac:dyDescent="0.15">
      <c r="D12" s="29"/>
    </row>
    <row r="13" spans="1:7" x14ac:dyDescent="0.15">
      <c r="D13" s="29"/>
    </row>
    <row r="14" spans="1:7" x14ac:dyDescent="0.15">
      <c r="D14" s="29"/>
    </row>
    <row r="15" spans="1:7" x14ac:dyDescent="0.15">
      <c r="D15" s="29"/>
    </row>
    <row r="16" spans="1:7" x14ac:dyDescent="0.15">
      <c r="D16" s="29"/>
    </row>
    <row r="17" spans="4:4" x14ac:dyDescent="0.15">
      <c r="D17" s="29"/>
    </row>
    <row r="18" spans="4:4" x14ac:dyDescent="0.15">
      <c r="D18" s="29"/>
    </row>
    <row r="19" spans="4:4" x14ac:dyDescent="0.15">
      <c r="D19" s="29"/>
    </row>
    <row r="20" spans="4:4" x14ac:dyDescent="0.15">
      <c r="D20" s="29"/>
    </row>
    <row r="21" spans="4:4" x14ac:dyDescent="0.15">
      <c r="D21" s="29"/>
    </row>
    <row r="22" spans="4:4" x14ac:dyDescent="0.15">
      <c r="D22" s="29"/>
    </row>
    <row r="23" spans="4:4" x14ac:dyDescent="0.15">
      <c r="D23" s="29"/>
    </row>
    <row r="24" spans="4:4" x14ac:dyDescent="0.15">
      <c r="D24" s="29"/>
    </row>
    <row r="25" spans="4:4" x14ac:dyDescent="0.15">
      <c r="D25" s="29"/>
    </row>
    <row r="26" spans="4:4" x14ac:dyDescent="0.15">
      <c r="D26" s="29"/>
    </row>
    <row r="27" spans="4:4" x14ac:dyDescent="0.15">
      <c r="D27" s="29"/>
    </row>
    <row r="28" spans="4:4" x14ac:dyDescent="0.15">
      <c r="D28" s="29"/>
    </row>
    <row r="29" spans="4:4" x14ac:dyDescent="0.15">
      <c r="D29" s="29"/>
    </row>
    <row r="30" spans="4:4" x14ac:dyDescent="0.15">
      <c r="D30" s="29"/>
    </row>
    <row r="31" spans="4:4" x14ac:dyDescent="0.15">
      <c r="D31" s="29"/>
    </row>
    <row r="32" spans="4:4" x14ac:dyDescent="0.15">
      <c r="D32" s="29"/>
    </row>
    <row r="33" spans="4:4" x14ac:dyDescent="0.15">
      <c r="D33" s="29"/>
    </row>
    <row r="34" spans="4:4" x14ac:dyDescent="0.15">
      <c r="D34" s="29"/>
    </row>
    <row r="35" spans="4:4" x14ac:dyDescent="0.15">
      <c r="D35" s="29"/>
    </row>
    <row r="36" spans="4:4" x14ac:dyDescent="0.15">
      <c r="D36" s="29"/>
    </row>
    <row r="37" spans="4:4" x14ac:dyDescent="0.15">
      <c r="D37" s="29"/>
    </row>
    <row r="38" spans="4:4" x14ac:dyDescent="0.15">
      <c r="D38" s="29"/>
    </row>
    <row r="39" spans="4:4" x14ac:dyDescent="0.15">
      <c r="D39" s="29"/>
    </row>
    <row r="40" spans="4:4" x14ac:dyDescent="0.15">
      <c r="D40" s="29"/>
    </row>
    <row r="41" spans="4:4" x14ac:dyDescent="0.15">
      <c r="D41" s="29"/>
    </row>
    <row r="42" spans="4:4" x14ac:dyDescent="0.15">
      <c r="D42" s="29"/>
    </row>
    <row r="43" spans="4:4" x14ac:dyDescent="0.15">
      <c r="D43" s="29"/>
    </row>
    <row r="44" spans="4:4" x14ac:dyDescent="0.15">
      <c r="D44" s="29"/>
    </row>
    <row r="45" spans="4:4" x14ac:dyDescent="0.15">
      <c r="D45" s="29"/>
    </row>
    <row r="46" spans="4:4" x14ac:dyDescent="0.15">
      <c r="D46" s="29"/>
    </row>
    <row r="47" spans="4:4" x14ac:dyDescent="0.15">
      <c r="D47" s="29"/>
    </row>
    <row r="48" spans="4:4" x14ac:dyDescent="0.15">
      <c r="D48" s="29"/>
    </row>
    <row r="49" spans="4:4" x14ac:dyDescent="0.15">
      <c r="D49" s="29"/>
    </row>
    <row r="50" spans="4:4" x14ac:dyDescent="0.15">
      <c r="D50" s="29"/>
    </row>
    <row r="51" spans="4:4" x14ac:dyDescent="0.15">
      <c r="D51" s="29"/>
    </row>
    <row r="52" spans="4:4" x14ac:dyDescent="0.15">
      <c r="D52" s="29"/>
    </row>
    <row r="53" spans="4:4" x14ac:dyDescent="0.15">
      <c r="D53" s="29"/>
    </row>
    <row r="54" spans="4:4" x14ac:dyDescent="0.15">
      <c r="D54" s="29"/>
    </row>
    <row r="55" spans="4:4" x14ac:dyDescent="0.15">
      <c r="D55" s="29"/>
    </row>
    <row r="56" spans="4:4" x14ac:dyDescent="0.15">
      <c r="D56" s="29"/>
    </row>
    <row r="57" spans="4:4" x14ac:dyDescent="0.15">
      <c r="D57" s="29"/>
    </row>
    <row r="58" spans="4:4" x14ac:dyDescent="0.15">
      <c r="D58" s="29"/>
    </row>
    <row r="59" spans="4:4" x14ac:dyDescent="0.15">
      <c r="D59" s="29"/>
    </row>
    <row r="60" spans="4:4" x14ac:dyDescent="0.15">
      <c r="D60" s="29"/>
    </row>
    <row r="61" spans="4:4" x14ac:dyDescent="0.15">
      <c r="D61" s="29"/>
    </row>
    <row r="62" spans="4:4" x14ac:dyDescent="0.15">
      <c r="D62" s="29"/>
    </row>
    <row r="63" spans="4:4" x14ac:dyDescent="0.15">
      <c r="D63" s="29"/>
    </row>
    <row r="64" spans="4:4" x14ac:dyDescent="0.15">
      <c r="D64" s="29"/>
    </row>
    <row r="65" spans="4:4" x14ac:dyDescent="0.15">
      <c r="D65" s="29"/>
    </row>
    <row r="66" spans="4:4" x14ac:dyDescent="0.15">
      <c r="D66" s="29"/>
    </row>
    <row r="67" spans="4:4" x14ac:dyDescent="0.15">
      <c r="D67" s="29"/>
    </row>
    <row r="68" spans="4:4" x14ac:dyDescent="0.15">
      <c r="D68" s="29"/>
    </row>
    <row r="69" spans="4:4" x14ac:dyDescent="0.15">
      <c r="D69" s="29"/>
    </row>
    <row r="70" spans="4:4" x14ac:dyDescent="0.15">
      <c r="D70" s="29"/>
    </row>
    <row r="71" spans="4:4" x14ac:dyDescent="0.15">
      <c r="D71" s="29"/>
    </row>
    <row r="72" spans="4:4" x14ac:dyDescent="0.15">
      <c r="D72" s="29"/>
    </row>
    <row r="73" spans="4:4" x14ac:dyDescent="0.15">
      <c r="D73" s="29"/>
    </row>
    <row r="74" spans="4:4" x14ac:dyDescent="0.15">
      <c r="D74" s="29"/>
    </row>
    <row r="75" spans="4:4" x14ac:dyDescent="0.15">
      <c r="D75" s="29"/>
    </row>
    <row r="76" spans="4:4" x14ac:dyDescent="0.15">
      <c r="D76" s="29"/>
    </row>
    <row r="77" spans="4:4" x14ac:dyDescent="0.15">
      <c r="D77" s="29"/>
    </row>
    <row r="78" spans="4:4" x14ac:dyDescent="0.15">
      <c r="D78" s="29"/>
    </row>
    <row r="79" spans="4:4" x14ac:dyDescent="0.15">
      <c r="D79" s="29"/>
    </row>
    <row r="80" spans="4:4" x14ac:dyDescent="0.15">
      <c r="D80" s="29"/>
    </row>
    <row r="81" spans="4:4" x14ac:dyDescent="0.15">
      <c r="D81" s="29"/>
    </row>
    <row r="82" spans="4:4" x14ac:dyDescent="0.15">
      <c r="D82" s="29"/>
    </row>
    <row r="83" spans="4:4" x14ac:dyDescent="0.15">
      <c r="D83" s="29"/>
    </row>
    <row r="84" spans="4:4" x14ac:dyDescent="0.15">
      <c r="D84" s="29"/>
    </row>
    <row r="85" spans="4:4" x14ac:dyDescent="0.15">
      <c r="D85" s="29"/>
    </row>
    <row r="86" spans="4:4" x14ac:dyDescent="0.15">
      <c r="D86" s="29"/>
    </row>
    <row r="87" spans="4:4" x14ac:dyDescent="0.15">
      <c r="D87" s="29"/>
    </row>
    <row r="88" spans="4:4" x14ac:dyDescent="0.15">
      <c r="D88" s="29"/>
    </row>
    <row r="89" spans="4:4" x14ac:dyDescent="0.15">
      <c r="D89" s="29"/>
    </row>
    <row r="90" spans="4:4" x14ac:dyDescent="0.15">
      <c r="D90" s="29"/>
    </row>
    <row r="91" spans="4:4" x14ac:dyDescent="0.15">
      <c r="D91" s="29"/>
    </row>
    <row r="92" spans="4:4" x14ac:dyDescent="0.15">
      <c r="D92" s="29"/>
    </row>
    <row r="93" spans="4:4" x14ac:dyDescent="0.15">
      <c r="D93" s="29"/>
    </row>
    <row r="94" spans="4:4" x14ac:dyDescent="0.15">
      <c r="D94" s="29"/>
    </row>
    <row r="95" spans="4:4" x14ac:dyDescent="0.15">
      <c r="D95" s="29"/>
    </row>
    <row r="96" spans="4:4" x14ac:dyDescent="0.15">
      <c r="D96" s="29"/>
    </row>
    <row r="97" spans="4:4" x14ac:dyDescent="0.15">
      <c r="D97" s="29"/>
    </row>
    <row r="98" spans="4:4" x14ac:dyDescent="0.15">
      <c r="D98" s="29"/>
    </row>
    <row r="99" spans="4:4" x14ac:dyDescent="0.15">
      <c r="D99" s="29"/>
    </row>
    <row r="100" spans="4:4" x14ac:dyDescent="0.15">
      <c r="D100" s="29"/>
    </row>
    <row r="101" spans="4:4" x14ac:dyDescent="0.15">
      <c r="D101" s="29"/>
    </row>
    <row r="102" spans="4:4" x14ac:dyDescent="0.15">
      <c r="D102" s="29"/>
    </row>
    <row r="103" spans="4:4" x14ac:dyDescent="0.15">
      <c r="D103" s="29"/>
    </row>
    <row r="104" spans="4:4" x14ac:dyDescent="0.15">
      <c r="D104" s="29"/>
    </row>
    <row r="105" spans="4:4" x14ac:dyDescent="0.15">
      <c r="D105" s="29"/>
    </row>
    <row r="106" spans="4:4" x14ac:dyDescent="0.15">
      <c r="D106" s="29"/>
    </row>
    <row r="107" spans="4:4" x14ac:dyDescent="0.15">
      <c r="D107" s="29"/>
    </row>
    <row r="108" spans="4:4" x14ac:dyDescent="0.15">
      <c r="D108" s="29"/>
    </row>
    <row r="109" spans="4:4" x14ac:dyDescent="0.15">
      <c r="D109" s="29"/>
    </row>
    <row r="110" spans="4:4" x14ac:dyDescent="0.15">
      <c r="D110" s="29"/>
    </row>
    <row r="111" spans="4:4" x14ac:dyDescent="0.15">
      <c r="D111" s="29"/>
    </row>
    <row r="112" spans="4:4" x14ac:dyDescent="0.15">
      <c r="D112" s="29"/>
    </row>
    <row r="113" spans="4:4" x14ac:dyDescent="0.15">
      <c r="D113" s="29"/>
    </row>
    <row r="114" spans="4:4" x14ac:dyDescent="0.15">
      <c r="D114" s="29"/>
    </row>
    <row r="115" spans="4:4" x14ac:dyDescent="0.15">
      <c r="D115" s="29"/>
    </row>
    <row r="116" spans="4:4" x14ac:dyDescent="0.15">
      <c r="D116" s="29"/>
    </row>
    <row r="117" spans="4:4" x14ac:dyDescent="0.15">
      <c r="D117" s="29"/>
    </row>
    <row r="118" spans="4:4" x14ac:dyDescent="0.15">
      <c r="D118" s="29"/>
    </row>
    <row r="119" spans="4:4" x14ac:dyDescent="0.15">
      <c r="D119" s="29"/>
    </row>
    <row r="120" spans="4:4" x14ac:dyDescent="0.15">
      <c r="D120" s="29"/>
    </row>
    <row r="121" spans="4:4" x14ac:dyDescent="0.15">
      <c r="D121" s="29"/>
    </row>
    <row r="122" spans="4:4" x14ac:dyDescent="0.15">
      <c r="D122" s="29"/>
    </row>
    <row r="123" spans="4:4" x14ac:dyDescent="0.15">
      <c r="D123" s="29"/>
    </row>
    <row r="124" spans="4:4" x14ac:dyDescent="0.15">
      <c r="D124" s="29"/>
    </row>
    <row r="125" spans="4:4" x14ac:dyDescent="0.15">
      <c r="D125" s="29"/>
    </row>
    <row r="126" spans="4:4" x14ac:dyDescent="0.15">
      <c r="D126" s="29"/>
    </row>
    <row r="127" spans="4:4" x14ac:dyDescent="0.15">
      <c r="D127" s="29"/>
    </row>
    <row r="128" spans="4:4" x14ac:dyDescent="0.15">
      <c r="D128" s="29"/>
    </row>
    <row r="129" spans="4:4" x14ac:dyDescent="0.15">
      <c r="D129" s="29"/>
    </row>
    <row r="130" spans="4:4" x14ac:dyDescent="0.15">
      <c r="D130" s="29"/>
    </row>
    <row r="131" spans="4:4" x14ac:dyDescent="0.15">
      <c r="D131" s="29"/>
    </row>
    <row r="132" spans="4:4" x14ac:dyDescent="0.15">
      <c r="D132" s="29"/>
    </row>
    <row r="133" spans="4:4" x14ac:dyDescent="0.15">
      <c r="D133" s="29"/>
    </row>
    <row r="134" spans="4:4" x14ac:dyDescent="0.15">
      <c r="D134" s="29"/>
    </row>
    <row r="135" spans="4:4" x14ac:dyDescent="0.15">
      <c r="D135" s="29"/>
    </row>
    <row r="136" spans="4:4" x14ac:dyDescent="0.15">
      <c r="D136" s="29"/>
    </row>
    <row r="137" spans="4:4" x14ac:dyDescent="0.15">
      <c r="D137" s="29"/>
    </row>
    <row r="138" spans="4:4" x14ac:dyDescent="0.15">
      <c r="D138" s="29"/>
    </row>
    <row r="139" spans="4:4" x14ac:dyDescent="0.15">
      <c r="D139" s="29"/>
    </row>
    <row r="140" spans="4:4" x14ac:dyDescent="0.15">
      <c r="D140" s="29"/>
    </row>
    <row r="141" spans="4:4" x14ac:dyDescent="0.15">
      <c r="D141" s="29"/>
    </row>
    <row r="142" spans="4:4" x14ac:dyDescent="0.15">
      <c r="D142" s="29"/>
    </row>
    <row r="143" spans="4:4" x14ac:dyDescent="0.15">
      <c r="D143" s="29"/>
    </row>
    <row r="144" spans="4:4" x14ac:dyDescent="0.15">
      <c r="D144" s="29"/>
    </row>
    <row r="145" spans="4:4" x14ac:dyDescent="0.15">
      <c r="D145" s="29"/>
    </row>
    <row r="146" spans="4:4" x14ac:dyDescent="0.15">
      <c r="D146" s="29"/>
    </row>
    <row r="147" spans="4:4" x14ac:dyDescent="0.15">
      <c r="D147" s="29"/>
    </row>
    <row r="148" spans="4:4" x14ac:dyDescent="0.15">
      <c r="D148" s="29"/>
    </row>
    <row r="149" spans="4:4" x14ac:dyDescent="0.15">
      <c r="D149" s="29"/>
    </row>
    <row r="150" spans="4:4" x14ac:dyDescent="0.15">
      <c r="D150" s="29"/>
    </row>
    <row r="151" spans="4:4" x14ac:dyDescent="0.15">
      <c r="D151" s="29"/>
    </row>
    <row r="152" spans="4:4" x14ac:dyDescent="0.15">
      <c r="D152" s="29"/>
    </row>
    <row r="153" spans="4:4" x14ac:dyDescent="0.15">
      <c r="D153" s="29"/>
    </row>
    <row r="154" spans="4:4" x14ac:dyDescent="0.15">
      <c r="D154" s="29"/>
    </row>
    <row r="155" spans="4:4" x14ac:dyDescent="0.15">
      <c r="D155" s="29"/>
    </row>
    <row r="156" spans="4:4" x14ac:dyDescent="0.15">
      <c r="D156" s="29"/>
    </row>
    <row r="157" spans="4:4" x14ac:dyDescent="0.15">
      <c r="D157" s="29"/>
    </row>
    <row r="158" spans="4:4" x14ac:dyDescent="0.15">
      <c r="D158" s="29"/>
    </row>
    <row r="159" spans="4:4" x14ac:dyDescent="0.15">
      <c r="D159" s="29"/>
    </row>
    <row r="160" spans="4:4" x14ac:dyDescent="0.15">
      <c r="D160" s="29"/>
    </row>
    <row r="161" spans="4:4" x14ac:dyDescent="0.15">
      <c r="D161" s="29"/>
    </row>
    <row r="162" spans="4:4" x14ac:dyDescent="0.15">
      <c r="D162" s="29"/>
    </row>
    <row r="163" spans="4:4" x14ac:dyDescent="0.15">
      <c r="D163" s="29"/>
    </row>
    <row r="164" spans="4:4" x14ac:dyDescent="0.15">
      <c r="D164" s="29"/>
    </row>
    <row r="165" spans="4:4" x14ac:dyDescent="0.15">
      <c r="D165" s="29"/>
    </row>
    <row r="166" spans="4:4" x14ac:dyDescent="0.15">
      <c r="D166" s="29"/>
    </row>
    <row r="167" spans="4:4" x14ac:dyDescent="0.15">
      <c r="D167" s="29"/>
    </row>
    <row r="168" spans="4:4" x14ac:dyDescent="0.15">
      <c r="D168" s="29"/>
    </row>
    <row r="169" spans="4:4" x14ac:dyDescent="0.15">
      <c r="D169" s="29"/>
    </row>
    <row r="170" spans="4:4" x14ac:dyDescent="0.15">
      <c r="D170" s="29"/>
    </row>
    <row r="171" spans="4:4" x14ac:dyDescent="0.15">
      <c r="D171" s="29"/>
    </row>
    <row r="172" spans="4:4" x14ac:dyDescent="0.15">
      <c r="D172" s="29"/>
    </row>
    <row r="173" spans="4:4" x14ac:dyDescent="0.15">
      <c r="D173" s="29"/>
    </row>
    <row r="174" spans="4:4" x14ac:dyDescent="0.15">
      <c r="D174" s="29"/>
    </row>
    <row r="175" spans="4:4" x14ac:dyDescent="0.15">
      <c r="D175" s="29"/>
    </row>
    <row r="176" spans="4:4" x14ac:dyDescent="0.15">
      <c r="D176" s="29"/>
    </row>
    <row r="177" spans="4:4" x14ac:dyDescent="0.15">
      <c r="D177" s="29"/>
    </row>
    <row r="178" spans="4:4" x14ac:dyDescent="0.15">
      <c r="D178" s="29"/>
    </row>
    <row r="179" spans="4:4" x14ac:dyDescent="0.15">
      <c r="D179" s="29"/>
    </row>
    <row r="180" spans="4:4" x14ac:dyDescent="0.15">
      <c r="D180" s="29"/>
    </row>
    <row r="181" spans="4:4" x14ac:dyDescent="0.15">
      <c r="D181" s="29"/>
    </row>
    <row r="182" spans="4:4" x14ac:dyDescent="0.15">
      <c r="D182" s="29"/>
    </row>
    <row r="183" spans="4:4" x14ac:dyDescent="0.15">
      <c r="D183" s="29"/>
    </row>
    <row r="184" spans="4:4" x14ac:dyDescent="0.15">
      <c r="D184" s="29"/>
    </row>
    <row r="185" spans="4:4" x14ac:dyDescent="0.15">
      <c r="D185" s="29"/>
    </row>
    <row r="186" spans="4:4" x14ac:dyDescent="0.15">
      <c r="D186" s="29"/>
    </row>
    <row r="187" spans="4:4" x14ac:dyDescent="0.15">
      <c r="D187" s="29"/>
    </row>
    <row r="188" spans="4:4" x14ac:dyDescent="0.15">
      <c r="D188" s="29"/>
    </row>
    <row r="189" spans="4:4" x14ac:dyDescent="0.15">
      <c r="D189" s="29"/>
    </row>
    <row r="190" spans="4:4" x14ac:dyDescent="0.15">
      <c r="D190" s="29"/>
    </row>
    <row r="191" spans="4:4" x14ac:dyDescent="0.15">
      <c r="D191" s="29"/>
    </row>
    <row r="192" spans="4:4" x14ac:dyDescent="0.15">
      <c r="D192" s="29"/>
    </row>
    <row r="193" spans="4:4" x14ac:dyDescent="0.15">
      <c r="D193" s="29"/>
    </row>
    <row r="194" spans="4:4" x14ac:dyDescent="0.15">
      <c r="D194" s="29"/>
    </row>
    <row r="195" spans="4:4" x14ac:dyDescent="0.15">
      <c r="D195" s="29"/>
    </row>
    <row r="196" spans="4:4" x14ac:dyDescent="0.15">
      <c r="D196" s="29"/>
    </row>
  </sheetData>
  <dataValidations count="1">
    <dataValidation type="list" sqref="D2:D196" xr:uid="{00000000-0002-0000-0100-000000000000}">
      <formula1>"Entwurf,Freigegeben,Legacy"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4"/>
  <sheetViews>
    <sheetView showGridLines="0" zoomScaleNormal="100" workbookViewId="0"/>
  </sheetViews>
  <sheetFormatPr baseColWidth="10" defaultColWidth="8.83203125" defaultRowHeight="13" x14ac:dyDescent="0.15"/>
  <cols>
    <col min="1" max="1" width="14" customWidth="1"/>
    <col min="2" max="2" width="11" customWidth="1"/>
    <col min="3" max="4" width="10" customWidth="1"/>
    <col min="5" max="5" width="15" customWidth="1"/>
    <col min="6" max="6" width="10" customWidth="1"/>
    <col min="7" max="8" width="13" customWidth="1"/>
    <col min="9" max="9" width="34" customWidth="1"/>
    <col min="10" max="10" width="66" customWidth="1"/>
    <col min="11" max="11" width="17" customWidth="1"/>
    <col min="12" max="12" width="18" customWidth="1"/>
    <col min="13" max="13" width="255" customWidth="1"/>
  </cols>
  <sheetData>
    <row r="1" spans="1:13" ht="16" x14ac:dyDescent="0.15">
      <c r="A1" s="30" t="s">
        <v>718</v>
      </c>
      <c r="B1" s="30" t="s">
        <v>747</v>
      </c>
      <c r="C1" s="30" t="s">
        <v>748</v>
      </c>
      <c r="D1" s="30" t="s">
        <v>749</v>
      </c>
      <c r="E1" s="30" t="s">
        <v>750</v>
      </c>
      <c r="F1" s="30" t="s">
        <v>751</v>
      </c>
      <c r="G1" s="30" t="s">
        <v>752</v>
      </c>
      <c r="H1" s="30" t="s">
        <v>753</v>
      </c>
      <c r="I1" s="30" t="s">
        <v>754</v>
      </c>
      <c r="J1" s="30" t="s">
        <v>755</v>
      </c>
      <c r="K1" s="30" t="s">
        <v>756</v>
      </c>
      <c r="L1" s="30" t="s">
        <v>757</v>
      </c>
      <c r="M1" s="30" t="s">
        <v>11</v>
      </c>
    </row>
    <row r="2" spans="1:13" ht="15" x14ac:dyDescent="0.2">
      <c r="A2" t="s">
        <v>724</v>
      </c>
      <c r="B2" t="s">
        <v>726</v>
      </c>
      <c r="C2" s="31">
        <v>10</v>
      </c>
      <c r="D2" t="s">
        <v>758</v>
      </c>
      <c r="E2" t="s">
        <v>56</v>
      </c>
      <c r="F2" s="31">
        <v>1</v>
      </c>
      <c r="G2" s="29" t="s">
        <v>759</v>
      </c>
      <c r="H2" s="29" t="s">
        <v>208</v>
      </c>
      <c r="I2" t="str">
        <f>IFERROR(VLOOKUP(E2,Parts!$A$2:$S$200,4,FALSE()),"")</f>
        <v>100 nF, 10 %, X7R, 100 V</v>
      </c>
      <c r="J2" t="str">
        <f>IFERROR(VLOOKUP(E2,Parts!$A$2:$S$200,5,FALSE()),"")</f>
        <v>Capacitor_SMD:C_1206_3216Metric_Pad1.33x1.80mm_HandSolder</v>
      </c>
      <c r="K2" s="32">
        <f>SUMIFS(Part_Suppliers!$E$2:$E$300,Part_Suppliers!$A$2:$A$300,$E2,Part_Suppliers!$H$2:$H$300,"Ja")</f>
        <v>0.24</v>
      </c>
      <c r="L2" s="32">
        <f t="shared" ref="L2:L33" si="0">F2*K2</f>
        <v>0.24</v>
      </c>
      <c r="M2" t="str">
        <f>IFERROR(VLOOKUP($E2,Parts!$A$2:$M$200,12,FALSE()),"")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3" spans="1:13" ht="15" x14ac:dyDescent="0.2">
      <c r="A3" t="s">
        <v>724</v>
      </c>
      <c r="B3" t="s">
        <v>726</v>
      </c>
      <c r="C3" s="31">
        <v>20</v>
      </c>
      <c r="D3" t="s">
        <v>338</v>
      </c>
      <c r="E3" t="s">
        <v>66</v>
      </c>
      <c r="F3" s="31">
        <v>1</v>
      </c>
      <c r="G3" s="29" t="s">
        <v>759</v>
      </c>
      <c r="H3" s="29" t="s">
        <v>208</v>
      </c>
      <c r="I3" t="str">
        <f>IFERROR(VLOOKUP(E3,Parts!$A$2:$S$200,4,FALSE()),"")</f>
        <v>10 µF, 25 V, X7R</v>
      </c>
      <c r="J3" t="str">
        <f>IFERROR(VLOOKUP(E3,Parts!$A$2:$S$200,5,FALSE()),"")</f>
        <v>Capacitor_SMD:C_1206_3216Metric_Pad1.33x1.80mm_HandSolder</v>
      </c>
      <c r="K3" s="32">
        <f>SUMIFS(Part_Suppliers!$E$2:$E$300,Part_Suppliers!$A$2:$A$300,$E3,Part_Suppliers!$H$2:$H$300,"Ja")</f>
        <v>0.11</v>
      </c>
      <c r="L3" s="32">
        <f t="shared" si="0"/>
        <v>0.11</v>
      </c>
      <c r="M3" t="str">
        <f>IFERROR(VLOOKUP($E3,Parts!$A$2:$M$200,12,FALSE()),"")</f>
        <v>Spannungsfestigkeit, Dielektrikum und Bauform vor Bestellung gegen Schaltplan und Footprint prüfen</v>
      </c>
    </row>
    <row r="4" spans="1:13" ht="15" x14ac:dyDescent="0.2">
      <c r="A4" t="s">
        <v>724</v>
      </c>
      <c r="B4" t="s">
        <v>726</v>
      </c>
      <c r="C4" s="31">
        <v>30</v>
      </c>
      <c r="D4" t="s">
        <v>760</v>
      </c>
      <c r="E4" t="s">
        <v>74</v>
      </c>
      <c r="F4" s="31">
        <v>1</v>
      </c>
      <c r="G4" s="29" t="s">
        <v>759</v>
      </c>
      <c r="H4" s="29" t="s">
        <v>208</v>
      </c>
      <c r="I4" t="str">
        <f>IFERROR(VLOOKUP(E4,Parts!$A$2:$S$200,4,FALSE()),"")</f>
        <v>47 µF, 10 V</v>
      </c>
      <c r="J4" t="str">
        <f>IFERROR(VLOOKUP(E4,Parts!$A$2:$S$200,5,FALSE()),"")</f>
        <v>Capacitor_Tantalum_SMD:CP_EIA-3528-21_Kemet-B</v>
      </c>
      <c r="K4" s="32">
        <f>SUMIFS(Part_Suppliers!$E$2:$E$300,Part_Suppliers!$A$2:$A$300,$E4,Part_Suppliers!$H$2:$H$300,"Ja")</f>
        <v>0.28999999999999998</v>
      </c>
      <c r="L4" s="32">
        <f t="shared" si="0"/>
        <v>0.28999999999999998</v>
      </c>
      <c r="M4" t="str">
        <f>IFERROR(VLOOKUP($E4,Parts!$A$2:$M$200,12,FALSE()),"")</f>
        <v>Polarisiert; Bauform B</v>
      </c>
    </row>
    <row r="5" spans="1:13" ht="15" x14ac:dyDescent="0.2">
      <c r="A5" t="s">
        <v>724</v>
      </c>
      <c r="B5" t="s">
        <v>726</v>
      </c>
      <c r="C5" s="31">
        <v>40</v>
      </c>
      <c r="D5" t="s">
        <v>761</v>
      </c>
      <c r="E5" t="s">
        <v>56</v>
      </c>
      <c r="F5" s="31">
        <v>1</v>
      </c>
      <c r="G5" s="29" t="s">
        <v>759</v>
      </c>
      <c r="H5" s="29" t="s">
        <v>208</v>
      </c>
      <c r="I5" t="str">
        <f>IFERROR(VLOOKUP(E5,Parts!$A$2:$S$200,4,FALSE()),"")</f>
        <v>100 nF, 10 %, X7R, 100 V</v>
      </c>
      <c r="J5" t="str">
        <f>IFERROR(VLOOKUP(E5,Parts!$A$2:$S$200,5,FALSE()),"")</f>
        <v>Capacitor_SMD:C_1206_3216Metric_Pad1.33x1.80mm_HandSolder</v>
      </c>
      <c r="K5" s="32">
        <f>SUMIFS(Part_Suppliers!$E$2:$E$300,Part_Suppliers!$A$2:$A$300,$E5,Part_Suppliers!$H$2:$H$300,"Ja")</f>
        <v>0.24</v>
      </c>
      <c r="L5" s="32">
        <f t="shared" si="0"/>
        <v>0.24</v>
      </c>
      <c r="M5" t="str">
        <f>IFERROR(VLOOKUP($E5,Parts!$A$2:$M$200,12,FALSE()),"")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6" spans="1:13" ht="15" x14ac:dyDescent="0.2">
      <c r="A6" t="s">
        <v>724</v>
      </c>
      <c r="B6" t="s">
        <v>726</v>
      </c>
      <c r="C6" s="31">
        <v>50</v>
      </c>
      <c r="D6" t="s">
        <v>762</v>
      </c>
      <c r="E6" t="s">
        <v>56</v>
      </c>
      <c r="F6" s="31">
        <v>1</v>
      </c>
      <c r="G6" s="29" t="s">
        <v>759</v>
      </c>
      <c r="H6" s="29" t="s">
        <v>208</v>
      </c>
      <c r="I6" t="str">
        <f>IFERROR(VLOOKUP(E6,Parts!$A$2:$S$200,4,FALSE()),"")</f>
        <v>100 nF, 10 %, X7R, 100 V</v>
      </c>
      <c r="J6" t="str">
        <f>IFERROR(VLOOKUP(E6,Parts!$A$2:$S$200,5,FALSE()),"")</f>
        <v>Capacitor_SMD:C_1206_3216Metric_Pad1.33x1.80mm_HandSolder</v>
      </c>
      <c r="K6" s="32">
        <f>SUMIFS(Part_Suppliers!$E$2:$E$300,Part_Suppliers!$A$2:$A$300,$E6,Part_Suppliers!$H$2:$H$300,"Ja")</f>
        <v>0.24</v>
      </c>
      <c r="L6" s="32">
        <f t="shared" si="0"/>
        <v>0.24</v>
      </c>
      <c r="M6" t="str">
        <f>IFERROR(VLOOKUP($E6,Parts!$A$2:$M$200,12,FALSE()),"")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7" spans="1:13" ht="15" x14ac:dyDescent="0.2">
      <c r="A7" t="s">
        <v>724</v>
      </c>
      <c r="B7" t="s">
        <v>726</v>
      </c>
      <c r="C7" s="31">
        <v>60</v>
      </c>
      <c r="D7" t="s">
        <v>413</v>
      </c>
      <c r="E7" t="s">
        <v>408</v>
      </c>
      <c r="F7" s="31">
        <v>1</v>
      </c>
      <c r="G7" s="29" t="s">
        <v>759</v>
      </c>
      <c r="H7" s="29" t="s">
        <v>208</v>
      </c>
      <c r="I7" t="str">
        <f>IFERROR(VLOOKUP(E7,Parts!$A$2:$S$200,4,FALSE()),"")</f>
        <v>10 µF, ±20 %, 25 V, 85 °C, 2000 h</v>
      </c>
      <c r="J7" t="str">
        <f>IFERROR(VLOOKUP(E7,Parts!$A$2:$S$200,5,FALSE()),"")</f>
        <v>Capacitor_SMD:CP_Elec_5x5.4</v>
      </c>
      <c r="K7" s="32">
        <f>SUMIFS(Part_Suppliers!$E$2:$E$300,Part_Suppliers!$A$2:$A$300,$E7,Part_Suppliers!$H$2:$H$300,"Ja")</f>
        <v>0.18</v>
      </c>
      <c r="L7" s="32">
        <f t="shared" si="0"/>
        <v>0.18</v>
      </c>
      <c r="M7" t="str">
        <f>IFERROR(VLOOKUP($E7,Parts!$A$2:$M$200,12,FALSE()),"")</f>
        <v>Panasonic SMD-Aluminium-Elektrolytkondensator, 10 µF ±20 %, 25 V, 85 °C, 2000 h. Abmessungen Ø 5,0 × 5,4 mm passen exakt zum zugewiesenen KiCad-Footprint. C6 liegt zwischen +3V3_SYS und GND; 25 V bieten deutliche Spannungsreserve. Polarität beachten.</v>
      </c>
    </row>
    <row r="8" spans="1:13" ht="15" x14ac:dyDescent="0.2">
      <c r="A8" t="s">
        <v>724</v>
      </c>
      <c r="B8" t="s">
        <v>726</v>
      </c>
      <c r="C8" s="31">
        <v>70</v>
      </c>
      <c r="D8" t="s">
        <v>763</v>
      </c>
      <c r="E8" t="s">
        <v>401</v>
      </c>
      <c r="F8" s="31">
        <v>1</v>
      </c>
      <c r="G8" s="29" t="s">
        <v>759</v>
      </c>
      <c r="H8" s="29" t="s">
        <v>208</v>
      </c>
      <c r="I8" t="str">
        <f>IFERROR(VLOOKUP(E8,Parts!$A$2:$S$200,4,FALSE()),"")</f>
        <v>SS14, 1 A, 40 V, UF max. 0,5 V, IFSM 40 A</v>
      </c>
      <c r="J8" t="str">
        <f>IFERROR(VLOOKUP(E8,Parts!$A$2:$S$200,5,FALSE()),"")</f>
        <v>Diode_SMD:D_SMA</v>
      </c>
      <c r="K8" s="32">
        <f>SUMIFS(Part_Suppliers!$E$2:$E$300,Part_Suppliers!$A$2:$A$300,$E8,Part_Suppliers!$H$2:$H$300,"Ja")</f>
        <v>0.18</v>
      </c>
      <c r="L8" s="32">
        <f t="shared" si="0"/>
        <v>0.18</v>
      </c>
      <c r="M8" t="str">
        <f>IFERROR(VLOOKUP($E8,Parts!$A$2:$M$200,12,FALSE()),"")</f>
        <v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v>
      </c>
    </row>
    <row r="9" spans="1:13" ht="15" x14ac:dyDescent="0.2">
      <c r="A9" t="s">
        <v>724</v>
      </c>
      <c r="B9" t="s">
        <v>726</v>
      </c>
      <c r="C9" s="31">
        <v>80</v>
      </c>
      <c r="D9" t="s">
        <v>764</v>
      </c>
      <c r="E9" t="s">
        <v>401</v>
      </c>
      <c r="F9" s="31">
        <v>1</v>
      </c>
      <c r="G9" s="29" t="s">
        <v>759</v>
      </c>
      <c r="H9" s="29" t="s">
        <v>208</v>
      </c>
      <c r="I9" t="str">
        <f>IFERROR(VLOOKUP(E9,Parts!$A$2:$S$200,4,FALSE()),"")</f>
        <v>SS14, 1 A, 40 V, UF max. 0,5 V, IFSM 40 A</v>
      </c>
      <c r="J9" t="str">
        <f>IFERROR(VLOOKUP(E9,Parts!$A$2:$S$200,5,FALSE()),"")</f>
        <v>Diode_SMD:D_SMA</v>
      </c>
      <c r="K9" s="32">
        <f>SUMIFS(Part_Suppliers!$E$2:$E$300,Part_Suppliers!$A$2:$A$300,$E9,Part_Suppliers!$H$2:$H$300,"Ja")</f>
        <v>0.18</v>
      </c>
      <c r="L9" s="32">
        <f t="shared" si="0"/>
        <v>0.18</v>
      </c>
      <c r="M9" t="str">
        <f>IFERROR(VLOOKUP($E9,Parts!$A$2:$M$200,12,FALSE()),"")</f>
        <v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v>
      </c>
    </row>
    <row r="10" spans="1:13" ht="15" x14ac:dyDescent="0.2">
      <c r="A10" t="s">
        <v>724</v>
      </c>
      <c r="B10" t="s">
        <v>726</v>
      </c>
      <c r="C10" s="31">
        <v>90</v>
      </c>
      <c r="D10" t="s">
        <v>426</v>
      </c>
      <c r="E10" t="s">
        <v>106</v>
      </c>
      <c r="F10" s="31">
        <v>1</v>
      </c>
      <c r="G10" s="29" t="s">
        <v>759</v>
      </c>
      <c r="H10" s="29" t="s">
        <v>208</v>
      </c>
      <c r="I10" t="str">
        <f>IFERROR(VLOOKUP(E10,Parts!$A$2:$S$200,4,FALSE()),"")</f>
        <v>JST-PH, 2-polig, 2,00 mm</v>
      </c>
      <c r="J10" t="str">
        <f>IFERROR(VLOOKUP(E10,Parts!$A$2:$S$200,5,FALSE()),"")</f>
        <v>Connector_JST:JST_PH_B2B-PH-K_1x02_P2.00mm_Vertical</v>
      </c>
      <c r="K10" s="32">
        <f>SUMIFS(Part_Suppliers!$E$2:$E$300,Part_Suppliers!$A$2:$A$300,$E10,Part_Suppliers!$H$2:$H$300,"Ja")</f>
        <v>1.3</v>
      </c>
      <c r="L10" s="32">
        <f t="shared" si="0"/>
        <v>1.3</v>
      </c>
      <c r="M10">
        <f>IFERROR(VLOOKUP($E10,Parts!$A$2:$M$200,12,FALSE()),"")</f>
        <v>0</v>
      </c>
    </row>
    <row r="11" spans="1:13" ht="15" x14ac:dyDescent="0.2">
      <c r="A11" t="s">
        <v>724</v>
      </c>
      <c r="B11" t="s">
        <v>726</v>
      </c>
      <c r="C11" s="31">
        <v>100</v>
      </c>
      <c r="D11" t="s">
        <v>765</v>
      </c>
      <c r="E11" t="s">
        <v>390</v>
      </c>
      <c r="F11" s="31">
        <v>1</v>
      </c>
      <c r="G11" s="29" t="s">
        <v>759</v>
      </c>
      <c r="H11" s="29" t="s">
        <v>208</v>
      </c>
      <c r="I11" t="str">
        <f>IFERROR(VLOOKUP(E11,Parts!$A$2:$S$200,4,FALSE()),"")</f>
        <v>2x7, 2,54 mm, THT, vertikal, vergoldet, Bauhöhe 8,4 mm</v>
      </c>
      <c r="J11" t="str">
        <f>IFERROR(VLOOKUP(E11,Parts!$A$2:$S$200,5,FALSE()),"")</f>
        <v>Connector_PinSocket_2.54mm:PinSocket_2x07_P2.54mm_Vertical</v>
      </c>
      <c r="K11" s="32">
        <f>SUMIFS(Part_Suppliers!$E$2:$E$300,Part_Suppliers!$A$2:$A$300,$E11,Part_Suppliers!$H$2:$H$300,"Ja")</f>
        <v>0.56000000000000005</v>
      </c>
      <c r="L11" s="32">
        <f t="shared" si="0"/>
        <v>0.56000000000000005</v>
      </c>
      <c r="M11" t="str">
        <f>IFERROR(VLOOKUP($E11,Parts!$A$2:$M$200,12,FALSE()),"")</f>
        <v>Würth WR-PHD Dual Socket Header, 14 Kontakte, 2,54 mm, THT, vergoldet, 3 A/250 V AC. Der generische KiCad-Footprint bildet Raster und THT-Anordnung ab; Gehäusekontur/Courtyard sind nicht herstellerspezifisch.</v>
      </c>
    </row>
    <row r="12" spans="1:13" ht="15" x14ac:dyDescent="0.2">
      <c r="A12" t="s">
        <v>724</v>
      </c>
      <c r="B12" t="s">
        <v>726</v>
      </c>
      <c r="C12" s="31">
        <v>110</v>
      </c>
      <c r="D12" t="s">
        <v>766</v>
      </c>
      <c r="E12" t="s">
        <v>390</v>
      </c>
      <c r="F12" s="31">
        <v>1</v>
      </c>
      <c r="G12" s="29" t="s">
        <v>759</v>
      </c>
      <c r="H12" s="29" t="s">
        <v>208</v>
      </c>
      <c r="I12" t="str">
        <f>IFERROR(VLOOKUP(E12,Parts!$A$2:$S$200,4,FALSE()),"")</f>
        <v>2x7, 2,54 mm, THT, vertikal, vergoldet, Bauhöhe 8,4 mm</v>
      </c>
      <c r="J12" t="str">
        <f>IFERROR(VLOOKUP(E12,Parts!$A$2:$S$200,5,FALSE()),"")</f>
        <v>Connector_PinSocket_2.54mm:PinSocket_2x07_P2.54mm_Vertical</v>
      </c>
      <c r="K12" s="32">
        <f>SUMIFS(Part_Suppliers!$E$2:$E$300,Part_Suppliers!$A$2:$A$300,$E12,Part_Suppliers!$H$2:$H$300,"Ja")</f>
        <v>0.56000000000000005</v>
      </c>
      <c r="L12" s="32">
        <f t="shared" si="0"/>
        <v>0.56000000000000005</v>
      </c>
      <c r="M12" t="str">
        <f>IFERROR(VLOOKUP($E12,Parts!$A$2:$M$200,12,FALSE()),"")</f>
        <v>Würth WR-PHD Dual Socket Header, 14 Kontakte, 2,54 mm, THT, vergoldet, 3 A/250 V AC. Der generische KiCad-Footprint bildet Raster und THT-Anordnung ab; Gehäusekontur/Courtyard sind nicht herstellerspezifisch.</v>
      </c>
    </row>
    <row r="13" spans="1:13" ht="15" x14ac:dyDescent="0.2">
      <c r="A13" t="s">
        <v>724</v>
      </c>
      <c r="B13" t="s">
        <v>726</v>
      </c>
      <c r="C13" s="31">
        <v>120</v>
      </c>
      <c r="D13" t="s">
        <v>767</v>
      </c>
      <c r="E13" t="s">
        <v>210</v>
      </c>
      <c r="F13" s="31">
        <v>1</v>
      </c>
      <c r="G13" s="29" t="s">
        <v>759</v>
      </c>
      <c r="H13" s="29" t="s">
        <v>208</v>
      </c>
      <c r="I13" t="str">
        <f>IFERROR(VLOOKUP(E13,Parts!$A$2:$S$200,4,FALSE()),"")</f>
        <v>4-polig, 1,00 mm</v>
      </c>
      <c r="J13" t="str">
        <f>IFERROR(VLOOKUP(E13,Parts!$A$2:$S$200,5,FALSE()),"")</f>
        <v>Connector_JST:JST_SH_SM04B-SRSS-TB_1x04-1MP_P1.00mm_Horizontal</v>
      </c>
      <c r="K13" s="32">
        <f>SUMIFS(Part_Suppliers!$E$2:$E$300,Part_Suppliers!$A$2:$A$300,$E13,Part_Suppliers!$H$2:$H$300,"Ja")</f>
        <v>0.57999999999999996</v>
      </c>
      <c r="L13" s="32">
        <f t="shared" si="0"/>
        <v>0.57999999999999996</v>
      </c>
      <c r="M13" t="str">
        <f>IFERROR(VLOOKUP($E13,Parts!$A$2:$M$200,12,FALSE()),"")</f>
        <v>MPN-Suffix und Verpackungsform festlegen; nicht mit Qwiic-Pigtail zusammenführen.</v>
      </c>
    </row>
    <row r="14" spans="1:13" ht="15" x14ac:dyDescent="0.2">
      <c r="A14" t="s">
        <v>724</v>
      </c>
      <c r="B14" t="s">
        <v>726</v>
      </c>
      <c r="C14" s="31">
        <v>130</v>
      </c>
      <c r="D14" t="s">
        <v>768</v>
      </c>
      <c r="E14" t="s">
        <v>210</v>
      </c>
      <c r="F14" s="31">
        <v>1</v>
      </c>
      <c r="G14" s="29" t="s">
        <v>759</v>
      </c>
      <c r="H14" s="29" t="s">
        <v>208</v>
      </c>
      <c r="I14" t="str">
        <f>IFERROR(VLOOKUP(E14,Parts!$A$2:$S$200,4,FALSE()),"")</f>
        <v>4-polig, 1,00 mm</v>
      </c>
      <c r="J14" t="str">
        <f>IFERROR(VLOOKUP(E14,Parts!$A$2:$S$200,5,FALSE()),"")</f>
        <v>Connector_JST:JST_SH_SM04B-SRSS-TB_1x04-1MP_P1.00mm_Horizontal</v>
      </c>
      <c r="K14" s="32">
        <f>SUMIFS(Part_Suppliers!$E$2:$E$300,Part_Suppliers!$A$2:$A$300,$E14,Part_Suppliers!$H$2:$H$300,"Ja")</f>
        <v>0.57999999999999996</v>
      </c>
      <c r="L14" s="32">
        <f t="shared" si="0"/>
        <v>0.57999999999999996</v>
      </c>
      <c r="M14" t="str">
        <f>IFERROR(VLOOKUP($E14,Parts!$A$2:$M$200,12,FALSE()),"")</f>
        <v>MPN-Suffix und Verpackungsform festlegen; nicht mit Qwiic-Pigtail zusammenführen.</v>
      </c>
    </row>
    <row r="15" spans="1:13" ht="15" x14ac:dyDescent="0.2">
      <c r="A15" t="s">
        <v>724</v>
      </c>
      <c r="B15" t="s">
        <v>726</v>
      </c>
      <c r="C15" s="31">
        <v>140</v>
      </c>
      <c r="D15" t="s">
        <v>344</v>
      </c>
      <c r="E15" t="s">
        <v>46</v>
      </c>
      <c r="F15" s="31">
        <v>1</v>
      </c>
      <c r="G15" s="29" t="s">
        <v>759</v>
      </c>
      <c r="H15" s="29" t="s">
        <v>208</v>
      </c>
      <c r="I15" t="str">
        <f>IFERROR(VLOOKUP(E15,Parts!$A$2:$S$200,4,FALSE()),"")</f>
        <v>4,7 kΩ, 1 %, 250 mW</v>
      </c>
      <c r="J15" t="str">
        <f>IFERROR(VLOOKUP(E15,Parts!$A$2:$S$200,5,FALSE()),"")</f>
        <v>Resistor_SMD:R_1206_3216Metric_Pad1.30x1.75mm_HandSolder</v>
      </c>
      <c r="K15" s="32">
        <f>SUMIFS(Part_Suppliers!$E$2:$E$300,Part_Suppliers!$A$2:$A$300,$E15,Part_Suppliers!$H$2:$H$300,"Ja")</f>
        <v>0.15</v>
      </c>
      <c r="L15" s="32">
        <f t="shared" si="0"/>
        <v>0.15</v>
      </c>
      <c r="M15" t="str">
        <f>IFERROR(VLOOKUP($E15,Parts!$A$2:$M$200,12,FALSE()),"")</f>
        <v>I2C-Pull-ups für die beiden I2C-Busse</v>
      </c>
    </row>
    <row r="16" spans="1:13" ht="15" x14ac:dyDescent="0.2">
      <c r="A16" t="s">
        <v>724</v>
      </c>
      <c r="B16" t="s">
        <v>726</v>
      </c>
      <c r="C16" s="31">
        <v>150</v>
      </c>
      <c r="D16" t="s">
        <v>769</v>
      </c>
      <c r="E16" t="s">
        <v>46</v>
      </c>
      <c r="F16" s="31">
        <v>1</v>
      </c>
      <c r="G16" s="29" t="s">
        <v>759</v>
      </c>
      <c r="H16" s="29" t="s">
        <v>208</v>
      </c>
      <c r="I16" t="str">
        <f>IFERROR(VLOOKUP(E16,Parts!$A$2:$S$200,4,FALSE()),"")</f>
        <v>4,7 kΩ, 1 %, 250 mW</v>
      </c>
      <c r="J16" t="str">
        <f>IFERROR(VLOOKUP(E16,Parts!$A$2:$S$200,5,FALSE()),"")</f>
        <v>Resistor_SMD:R_1206_3216Metric_Pad1.30x1.75mm_HandSolder</v>
      </c>
      <c r="K16" s="32">
        <f>SUMIFS(Part_Suppliers!$E$2:$E$300,Part_Suppliers!$A$2:$A$300,$E16,Part_Suppliers!$H$2:$H$300,"Ja")</f>
        <v>0.15</v>
      </c>
      <c r="L16" s="32">
        <f t="shared" si="0"/>
        <v>0.15</v>
      </c>
      <c r="M16" t="str">
        <f>IFERROR(VLOOKUP($E16,Parts!$A$2:$M$200,12,FALSE()),"")</f>
        <v>I2C-Pull-ups für die beiden I2C-Busse</v>
      </c>
    </row>
    <row r="17" spans="1:13" ht="15" x14ac:dyDescent="0.2">
      <c r="A17" t="s">
        <v>724</v>
      </c>
      <c r="B17" t="s">
        <v>726</v>
      </c>
      <c r="C17" s="31">
        <v>160</v>
      </c>
      <c r="D17" t="s">
        <v>152</v>
      </c>
      <c r="E17" t="s">
        <v>46</v>
      </c>
      <c r="F17" s="31">
        <v>1</v>
      </c>
      <c r="G17" s="29" t="s">
        <v>759</v>
      </c>
      <c r="H17" s="29" t="s">
        <v>208</v>
      </c>
      <c r="I17" t="str">
        <f>IFERROR(VLOOKUP(E17,Parts!$A$2:$S$200,4,FALSE()),"")</f>
        <v>4,7 kΩ, 1 %, 250 mW</v>
      </c>
      <c r="J17" t="str">
        <f>IFERROR(VLOOKUP(E17,Parts!$A$2:$S$200,5,FALSE()),"")</f>
        <v>Resistor_SMD:R_1206_3216Metric_Pad1.30x1.75mm_HandSolder</v>
      </c>
      <c r="K17" s="32">
        <f>SUMIFS(Part_Suppliers!$E$2:$E$300,Part_Suppliers!$A$2:$A$300,$E17,Part_Suppliers!$H$2:$H$300,"Ja")</f>
        <v>0.15</v>
      </c>
      <c r="L17" s="32">
        <f t="shared" si="0"/>
        <v>0.15</v>
      </c>
      <c r="M17" t="str">
        <f>IFERROR(VLOOKUP($E17,Parts!$A$2:$M$200,12,FALSE()),"")</f>
        <v>I2C-Pull-ups für die beiden I2C-Busse</v>
      </c>
    </row>
    <row r="18" spans="1:13" ht="15" x14ac:dyDescent="0.2">
      <c r="A18" t="s">
        <v>724</v>
      </c>
      <c r="B18" t="s">
        <v>726</v>
      </c>
      <c r="C18" s="31">
        <v>170</v>
      </c>
      <c r="D18" t="s">
        <v>770</v>
      </c>
      <c r="E18" t="s">
        <v>46</v>
      </c>
      <c r="F18" s="31">
        <v>1</v>
      </c>
      <c r="G18" s="29" t="s">
        <v>759</v>
      </c>
      <c r="H18" s="29" t="s">
        <v>208</v>
      </c>
      <c r="I18" t="str">
        <f>IFERROR(VLOOKUP(E18,Parts!$A$2:$S$200,4,FALSE()),"")</f>
        <v>4,7 kΩ, 1 %, 250 mW</v>
      </c>
      <c r="J18" t="str">
        <f>IFERROR(VLOOKUP(E18,Parts!$A$2:$S$200,5,FALSE()),"")</f>
        <v>Resistor_SMD:R_1206_3216Metric_Pad1.30x1.75mm_HandSolder</v>
      </c>
      <c r="K18" s="32">
        <f>SUMIFS(Part_Suppliers!$E$2:$E$300,Part_Suppliers!$A$2:$A$300,$E18,Part_Suppliers!$H$2:$H$300,"Ja")</f>
        <v>0.15</v>
      </c>
      <c r="L18" s="32">
        <f t="shared" si="0"/>
        <v>0.15</v>
      </c>
      <c r="M18" t="str">
        <f>IFERROR(VLOOKUP($E18,Parts!$A$2:$M$200,12,FALSE()),"")</f>
        <v>I2C-Pull-ups für die beiden I2C-Busse</v>
      </c>
    </row>
    <row r="19" spans="1:13" ht="15" x14ac:dyDescent="0.2">
      <c r="A19" t="s">
        <v>724</v>
      </c>
      <c r="B19" t="s">
        <v>726</v>
      </c>
      <c r="C19" s="31">
        <v>180</v>
      </c>
      <c r="D19" t="s">
        <v>168</v>
      </c>
      <c r="E19" t="s">
        <v>90</v>
      </c>
      <c r="F19" s="31">
        <v>1</v>
      </c>
      <c r="G19" s="29" t="s">
        <v>759</v>
      </c>
      <c r="H19" s="29" t="s">
        <v>208</v>
      </c>
      <c r="I19" t="str">
        <f>IFERROR(VLOOKUP(E19,Parts!$A$2:$S$200,4,FALSE()),"")</f>
        <v>38 Pin</v>
      </c>
      <c r="J19" t="str">
        <f>IFERROR(VLOOKUP(E19,Parts!$A$2:$S$200,5,FALSE()),"")</f>
        <v>PCM_Espressif:ESP32-DevKitC</v>
      </c>
      <c r="K19" s="32">
        <f>SUMIFS(Part_Suppliers!$E$2:$E$300,Part_Suppliers!$A$2:$A$300,$E19,Part_Suppliers!$H$2:$H$300,"Ja")</f>
        <v>5</v>
      </c>
      <c r="L19" s="32">
        <f t="shared" si="0"/>
        <v>5</v>
      </c>
      <c r="M19" t="str">
        <f>IFERROR(VLOOKUP($E19,Parts!$A$2:$M$200,12,FALSE()),"")</f>
        <v>Exakte Modulvariante und Pinout vor Bestückung prüfen Hersteller/MPN aus verschobenen Altdaten korrigiert; genaue DevKitC-Variante fehlt.</v>
      </c>
    </row>
    <row r="20" spans="1:13" ht="15" x14ac:dyDescent="0.2">
      <c r="A20" t="s">
        <v>724</v>
      </c>
      <c r="B20" t="s">
        <v>726</v>
      </c>
      <c r="C20" s="31">
        <v>190</v>
      </c>
      <c r="D20" t="s">
        <v>356</v>
      </c>
      <c r="E20" t="s">
        <v>192</v>
      </c>
      <c r="F20" s="31">
        <v>1</v>
      </c>
      <c r="G20" s="29" t="s">
        <v>759</v>
      </c>
      <c r="H20" s="29" t="s">
        <v>208</v>
      </c>
      <c r="I20" t="str">
        <f>IFERROR(VLOOKUP(E20,Parts!$A$2:$S$200,4,FALSE()),"")</f>
        <v>2 Kbit, I²C, EUI-64, A0/A1, 1,7–5,5 V</v>
      </c>
      <c r="J20" t="str">
        <f>IFERROR(VLOOKUP(E20,Parts!$A$2:$S$200,5,FALSE()),"")</f>
        <v>Package_TO_SOT_SMD:SOT-23-6</v>
      </c>
      <c r="K20" s="32">
        <f>SUMIFS(Part_Suppliers!$E$2:$E$300,Part_Suppliers!$A$2:$A$300,$E20,Part_Suppliers!$H$2:$H$300,"Ja")</f>
        <v>0.32</v>
      </c>
      <c r="L20" s="32">
        <f t="shared" si="0"/>
        <v>0.32</v>
      </c>
      <c r="M20" t="str">
        <f>IFERROR(VLOOKUP($E20,Parts!$A$2:$M$200,12,FALSE()),"")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 Bezug als Cut Tape bei DigiKey; keine parametrischen Ersatztypen ohne vorprogrammierte EUI-64 verwenden.</v>
      </c>
    </row>
    <row r="21" spans="1:13" ht="15" x14ac:dyDescent="0.2">
      <c r="A21" t="s">
        <v>724</v>
      </c>
      <c r="B21" t="s">
        <v>726</v>
      </c>
      <c r="C21" s="31">
        <v>200</v>
      </c>
      <c r="D21" t="s">
        <v>771</v>
      </c>
      <c r="E21" t="s">
        <v>81</v>
      </c>
      <c r="F21" s="31">
        <v>1</v>
      </c>
      <c r="G21" s="29" t="s">
        <v>759</v>
      </c>
      <c r="H21" s="29" t="s">
        <v>208</v>
      </c>
      <c r="I21" t="str">
        <f>IFERROR(VLOOKUP(E21,Parts!$A$2:$S$200,4,FALSE()),"")</f>
        <v>3,3 V, 1 A</v>
      </c>
      <c r="J21" t="str">
        <f>IFERROR(VLOOKUP(E21,Parts!$A$2:$S$200,5,FALSE()),"")</f>
        <v>Package_TO_SOT_SMD:SOT-223-3_TabPin2</v>
      </c>
      <c r="K21" s="32">
        <f>SUMIFS(Part_Suppliers!$E$2:$E$300,Part_Suppliers!$A$2:$A$300,$E21,Part_Suppliers!$H$2:$H$300,"Ja")</f>
        <v>1</v>
      </c>
      <c r="L21" s="32">
        <f t="shared" si="0"/>
        <v>1</v>
      </c>
      <c r="M21" t="str">
        <f>IFERROR(VLOOKUP($E21,Parts!$A$2:$M$200,12,FALSE()),"")</f>
        <v>Footprint und thermische Auslegung vor Bestückung prüfen</v>
      </c>
    </row>
    <row r="22" spans="1:13" ht="15" x14ac:dyDescent="0.2">
      <c r="A22" t="s">
        <v>724</v>
      </c>
      <c r="B22" t="s">
        <v>726</v>
      </c>
      <c r="C22" s="31">
        <v>210</v>
      </c>
      <c r="E22" t="s">
        <v>416</v>
      </c>
      <c r="F22" s="31">
        <v>1</v>
      </c>
      <c r="G22" s="29" t="s">
        <v>759</v>
      </c>
      <c r="H22" s="29" t="s">
        <v>100</v>
      </c>
      <c r="I22" t="str">
        <f>IFERROR(VLOOKUP(E22,Parts!$A$2:$S$200,4,FALSE()),"")</f>
        <v>Revision 0.2</v>
      </c>
      <c r="J22" t="str">
        <f>IFERROR(VLOOKUP(E22,Parts!$A$2:$S$200,5,FALSE()),"")</f>
        <v>PCB: MainBoards/EnvNode Mini/EnvNode Mini.kicad_pcb</v>
      </c>
      <c r="K22" s="32">
        <f>SUMIFS(Part_Suppliers!$E$2:$E$300,Part_Suppliers!$A$2:$A$300,$E22,Part_Suppliers!$H$2:$H$300,"Ja")</f>
        <v>0</v>
      </c>
      <c r="L22" s="32">
        <f t="shared" si="0"/>
        <v>0</v>
      </c>
      <c r="M22" t="str">
        <f>IFERROR(VLOOKUP($E22,Parts!$A$2:$M$200,12,FALSE()),"")</f>
        <v>Aktueller KiCad-Stand; Fertiger und konkrete Fertigungsvariante festlegen.</v>
      </c>
    </row>
    <row r="23" spans="1:13" ht="15" x14ac:dyDescent="0.2">
      <c r="A23" t="s">
        <v>724</v>
      </c>
      <c r="B23" t="s">
        <v>726</v>
      </c>
      <c r="C23" s="31">
        <v>220</v>
      </c>
      <c r="E23" t="s">
        <v>585</v>
      </c>
      <c r="F23" s="31">
        <v>1</v>
      </c>
      <c r="G23" s="29" t="s">
        <v>772</v>
      </c>
      <c r="H23" s="29" t="s">
        <v>773</v>
      </c>
      <c r="I23" t="str">
        <f>IFERROR(VLOOKUP(E23,Parts!$A$2:$S$200,4,FALSE()),"")</f>
        <v>2-polig, Buchsenkontakte, IP68 gesteckt, Lötanschluss, Hinterwandmontage</v>
      </c>
      <c r="J23" t="str">
        <f>IFERROR(VLOOKUP(E23,Parts!$A$2:$S$200,5,FALSE()),"")</f>
        <v>WEIPU SP13 Gehäusebuchse, 2-polig</v>
      </c>
      <c r="K23" s="32">
        <f>SUMIFS(Part_Suppliers!$E$2:$E$300,Part_Suppliers!$A$2:$A$300,$E23,Part_Suppliers!$H$2:$H$300,"Ja")</f>
        <v>0</v>
      </c>
      <c r="L23" s="32">
        <f t="shared" si="0"/>
        <v>0</v>
      </c>
      <c r="M23" t="str">
        <f>IFERROR(VLOOKUP($E23,Parts!$A$2:$M$200,12,FALSE()),"")</f>
        <v>Passend zu Kabelstecker SP1310/P2-N (ENP-00081). 13 A / 250 V AC; Panel-Ausschnitt Ø13 mm. Einsatz und Pinbelegung im Kit festlegen.</v>
      </c>
    </row>
    <row r="24" spans="1:13" ht="15" x14ac:dyDescent="0.2">
      <c r="A24" t="s">
        <v>724</v>
      </c>
      <c r="B24" t="s">
        <v>726</v>
      </c>
      <c r="C24" s="31">
        <v>230</v>
      </c>
      <c r="E24" t="s">
        <v>593</v>
      </c>
      <c r="F24" s="31">
        <v>1</v>
      </c>
      <c r="G24" s="29" t="s">
        <v>772</v>
      </c>
      <c r="H24" s="29" t="s">
        <v>773</v>
      </c>
      <c r="I24" t="str">
        <f>IFERROR(VLOOKUP(E24,Parts!$A$2:$S$200,4,FALSE()),"")</f>
        <v>2-polig, Stiftkontakte, IP68 gesteckt, Lötanschluss</v>
      </c>
      <c r="J24" t="str">
        <f>IFERROR(VLOOKUP(E24,Parts!$A$2:$S$200,5,FALSE()),"")</f>
        <v>WEIPU SP13 Kabelstecker, 2-polig</v>
      </c>
      <c r="K24" s="32">
        <f>SUMIFS(Part_Suppliers!$E$2:$E$300,Part_Suppliers!$A$2:$A$300,$E24,Part_Suppliers!$H$2:$H$300,"Ja")</f>
        <v>0</v>
      </c>
      <c r="L24" s="32">
        <f t="shared" si="0"/>
        <v>0</v>
      </c>
      <c r="M24" t="str">
        <f>IFERROR(VLOOKUP($E24,Parts!$A$2:$M$200,12,FALSE()),"")</f>
        <v>Passend zu Gehäusebuchse SP1312/S2-N (ENP-00080). 13 A / 250 V AC. Standardvariante I für Kabel-Ø 4–6,5 mm; Variante II für 5–8 mm vor Bestellung prüfen.</v>
      </c>
    </row>
    <row r="25" spans="1:13" ht="15" x14ac:dyDescent="0.2">
      <c r="A25" t="s">
        <v>724</v>
      </c>
      <c r="B25" t="s">
        <v>726</v>
      </c>
      <c r="C25" s="31">
        <v>240</v>
      </c>
      <c r="E25" t="s">
        <v>608</v>
      </c>
      <c r="F25" s="31">
        <v>1</v>
      </c>
      <c r="G25" s="29" t="s">
        <v>772</v>
      </c>
      <c r="H25" s="29" t="s">
        <v>773</v>
      </c>
      <c r="I25" t="str">
        <f>IFERROR(VLOOKUP(E25,Parts!$A$2:$S$200,4,FALSE()),"")</f>
        <v>4-polig, Buchsenkontakte, IP68 gesteckt, Lötanschluss, Hinterwandmontage</v>
      </c>
      <c r="J25" t="str">
        <f>IFERROR(VLOOKUP(E25,Parts!$A$2:$S$200,5,FALSE()),"")</f>
        <v>WEIPU SP13 Gehäusebuchse, 4-polig</v>
      </c>
      <c r="K25" s="32">
        <f>SUMIFS(Part_Suppliers!$E$2:$E$300,Part_Suppliers!$A$2:$A$300,$E25,Part_Suppliers!$H$2:$H$300,"Ja")</f>
        <v>0</v>
      </c>
      <c r="L25" s="32">
        <f t="shared" si="0"/>
        <v>0</v>
      </c>
      <c r="M25" t="str">
        <f>IFERROR(VLOOKUP($E25,Parts!$A$2:$M$200,12,FALSE()),"")</f>
        <v>Passend zu Kabelstecker SP1310/P4-N (ENP-00085). 5 A / 200 V AC; Panel-Ausschnitt Ø13 mm. Vorgesehen für I2C/GPIO/Sensorik.</v>
      </c>
    </row>
    <row r="26" spans="1:13" ht="15" x14ac:dyDescent="0.2">
      <c r="A26" t="s">
        <v>724</v>
      </c>
      <c r="B26" t="s">
        <v>726</v>
      </c>
      <c r="C26" s="31">
        <v>250</v>
      </c>
      <c r="E26" t="s">
        <v>613</v>
      </c>
      <c r="F26" s="31">
        <v>1</v>
      </c>
      <c r="G26" s="29" t="s">
        <v>772</v>
      </c>
      <c r="H26" s="29" t="s">
        <v>773</v>
      </c>
      <c r="I26" t="str">
        <f>IFERROR(VLOOKUP(E26,Parts!$A$2:$S$200,4,FALSE()),"")</f>
        <v>4-polig, Stiftkontakte, IP68 gesteckt, Lötanschluss</v>
      </c>
      <c r="J26" t="str">
        <f>IFERROR(VLOOKUP(E26,Parts!$A$2:$S$200,5,FALSE()),"")</f>
        <v>WEIPU SP13 Kabelstecker, 4-polig</v>
      </c>
      <c r="K26" s="32">
        <f>SUMIFS(Part_Suppliers!$E$2:$E$300,Part_Suppliers!$A$2:$A$300,$E26,Part_Suppliers!$H$2:$H$300,"Ja")</f>
        <v>0</v>
      </c>
      <c r="L26" s="32">
        <f t="shared" si="0"/>
        <v>0</v>
      </c>
      <c r="M26" t="str">
        <f>IFERROR(VLOOKUP($E26,Parts!$A$2:$M$200,12,FALSE()),"")</f>
        <v>Passend zu Gehäusebuchse SP1312/S4-N (ENP-00084). 5 A / 200 V AC. Standardvariante I für Kabel-Ø 4–6,5 mm; Variante II für 5–8 mm vor Bestellung prüfen.</v>
      </c>
    </row>
    <row r="27" spans="1:13" ht="15" x14ac:dyDescent="0.2">
      <c r="A27" t="s">
        <v>724</v>
      </c>
      <c r="B27" t="s">
        <v>726</v>
      </c>
      <c r="C27" s="31">
        <v>260</v>
      </c>
      <c r="E27" t="s">
        <v>628</v>
      </c>
      <c r="F27" s="31">
        <v>1</v>
      </c>
      <c r="G27" s="29" t="s">
        <v>772</v>
      </c>
      <c r="H27" s="29" t="s">
        <v>773</v>
      </c>
      <c r="I27" t="str">
        <f>IFERROR(VLOOKUP(E27,Parts!$A$2:$S$200,4,FALSE()),"")</f>
        <v>5,5 × 2,1 mm, 2-polig, 20 V DC / 10 A, Lötanschluss</v>
      </c>
      <c r="J27">
        <f>IFERROR(VLOOKUP(E27,Parts!$A$2:$S$200,5,FALSE()),"")</f>
        <v>0</v>
      </c>
      <c r="K27" s="32">
        <f>SUMIFS(Part_Suppliers!$E$2:$E$300,Part_Suppliers!$A$2:$A$300,$E27,Part_Suppliers!$H$2:$H$300,"Ja")</f>
        <v>5.75</v>
      </c>
      <c r="L27" s="32">
        <f t="shared" si="0"/>
        <v>5.75</v>
      </c>
      <c r="M27" t="str">
        <f>IFERROR(VLOOKUP($E27,Parts!$A$2:$M$200,12,FALSE()),"")</f>
        <v>Für 5-V-Versorgung in trockener Umgebung. Passend für DC-Stecker 5,5/2,1 mm mit 9,5 oder 12 mm Stiftlänge. Polarität im Kit verbindlich festlegen, empfohlen: Plus am Innenkontakt.</v>
      </c>
    </row>
    <row r="28" spans="1:13" ht="15" x14ac:dyDescent="0.2">
      <c r="A28" t="s">
        <v>724</v>
      </c>
      <c r="B28" t="s">
        <v>726</v>
      </c>
      <c r="C28" s="31">
        <v>270</v>
      </c>
      <c r="D28" t="s">
        <v>774</v>
      </c>
      <c r="E28" t="s">
        <v>635</v>
      </c>
      <c r="F28" s="31">
        <v>1</v>
      </c>
      <c r="G28" s="29" t="s">
        <v>759</v>
      </c>
      <c r="H28" s="29" t="s">
        <v>208</v>
      </c>
      <c r="I28" t="str">
        <f>IFERROR(VLOOKUP(E28,Parts!$A$2:$S$200,4,FALSE()),"")</f>
        <v>USB Type-C Receptacle, 16 Signalpins (+ 8 Dummy), 5 A, 48 V DC, SMD/TH, horizontal</v>
      </c>
      <c r="J28" t="str">
        <f>IFERROR(VLOOKUP(E28,Parts!$A$2:$S$200,5,FALSE()),"")</f>
        <v>Connector_USB:USB_C_Receptacle_GCT_USB4105-xx-A_16P_TopMnt_Horizontal</v>
      </c>
      <c r="K28" s="32">
        <f>SUMIFS(Part_Suppliers!$E$2:$E$300,Part_Suppliers!$A$2:$A$300,$E28,Part_Suppliers!$H$2:$H$300,"Ja")</f>
        <v>0</v>
      </c>
      <c r="L28" s="32">
        <f t="shared" si="0"/>
        <v>0</v>
      </c>
      <c r="M28" t="str">
        <f>IFERROR(VLOOKUP($E28,Parts!$A$2:$M$200,12,FALSE()),"")</f>
        <v>Power-only mit Symbol Connector:USB_C_Receptacle_USB2.0_16P. Robuste Top-Mount-Ausführung mit vier durchkontaktierten Shield-/Haltezungen. D+/D− und SBU1/SBU2 NC; Shield an GND; CC1 und CC2 jeweils separat über 5,1 kΩ nach GND.</v>
      </c>
    </row>
    <row r="29" spans="1:13" ht="15" x14ac:dyDescent="0.2">
      <c r="A29" t="s">
        <v>724</v>
      </c>
      <c r="B29" t="s">
        <v>726</v>
      </c>
      <c r="C29" s="31">
        <v>280</v>
      </c>
      <c r="D29" t="s">
        <v>477</v>
      </c>
      <c r="E29" t="s">
        <v>645</v>
      </c>
      <c r="F29" s="31">
        <v>2</v>
      </c>
      <c r="G29" s="29" t="s">
        <v>759</v>
      </c>
      <c r="H29" s="29" t="s">
        <v>208</v>
      </c>
      <c r="I29" t="str">
        <f>IFERROR(VLOOKUP(E29,Parts!$A$2:$S$200,4,FALSE()),"")</f>
        <v>5,1 kΩ, 1 %, 250 mW</v>
      </c>
      <c r="J29" t="str">
        <f>IFERROR(VLOOKUP(E29,Parts!$A$2:$S$200,5,FALSE()),"")</f>
        <v>Resistor_SMD:R_1206_3216Metric_Pad1.30x1.75mm_HandSolder</v>
      </c>
      <c r="K29" s="32">
        <f>SUMIFS(Part_Suppliers!$E$2:$E$300,Part_Suppliers!$A$2:$A$300,$E29,Part_Suppliers!$H$2:$H$300,"Ja")</f>
        <v>0.09</v>
      </c>
      <c r="L29" s="32">
        <f t="shared" si="0"/>
        <v>0.18</v>
      </c>
      <c r="M29" t="str">
        <f>IFERROR(VLOOKUP($E29,Parts!$A$2:$M$200,12,FALSE()),"")</f>
        <v>Zwei Stück als getrennte Rd-Widerstände: je einer von CC1 bzw. CC2 nach GND; CC1 und CC2 nicht miteinander verbinden.</v>
      </c>
    </row>
    <row r="30" spans="1:13" ht="15" x14ac:dyDescent="0.2">
      <c r="A30" t="s">
        <v>731</v>
      </c>
      <c r="B30" t="s">
        <v>726</v>
      </c>
      <c r="C30" s="31">
        <v>10</v>
      </c>
      <c r="D30" t="s">
        <v>758</v>
      </c>
      <c r="E30" t="s">
        <v>56</v>
      </c>
      <c r="F30" s="31">
        <v>1</v>
      </c>
      <c r="G30" s="29" t="s">
        <v>775</v>
      </c>
      <c r="H30" s="29" t="s">
        <v>208</v>
      </c>
      <c r="I30" t="str">
        <f>IFERROR(VLOOKUP(E30,Parts!$A$2:$S$200,4,FALSE()),"")</f>
        <v>100 nF, 10 %, X7R, 100 V</v>
      </c>
      <c r="J30" t="str">
        <f>IFERROR(VLOOKUP(E30,Parts!$A$2:$S$200,5,FALSE()),"")</f>
        <v>Capacitor_SMD:C_1206_3216Metric_Pad1.33x1.80mm_HandSolder</v>
      </c>
      <c r="K30" s="32">
        <f>SUMIFS(Part_Suppliers!$E$2:$E$300,Part_Suppliers!$A$2:$A$300,$E30,Part_Suppliers!$H$2:$H$300,"Ja")</f>
        <v>0.24</v>
      </c>
      <c r="L30" s="32">
        <f t="shared" si="0"/>
        <v>0.24</v>
      </c>
      <c r="M30" t="str">
        <f>IFERROR(VLOOKUP($E30,Parts!$A$2:$M$200,12,FALSE()),"")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31" spans="1:13" ht="15" x14ac:dyDescent="0.2">
      <c r="A31" t="s">
        <v>731</v>
      </c>
      <c r="B31" t="s">
        <v>726</v>
      </c>
      <c r="C31" s="31">
        <v>20</v>
      </c>
      <c r="D31" t="s">
        <v>763</v>
      </c>
      <c r="E31" t="s">
        <v>260</v>
      </c>
      <c r="F31" s="31">
        <v>1</v>
      </c>
      <c r="G31" s="29" t="s">
        <v>759</v>
      </c>
      <c r="H31" s="29" t="s">
        <v>208</v>
      </c>
      <c r="I31" t="str">
        <f>IFERROR(VLOOKUP(E31,Parts!$A$2:$S$200,4,FALSE()),"")</f>
        <v>1N4148W</v>
      </c>
      <c r="J31" t="str">
        <f>IFERROR(VLOOKUP(E31,Parts!$A$2:$S$200,5,FALSE()),"")</f>
        <v>Diode_SMD:D_SOD-123</v>
      </c>
      <c r="K31" s="32">
        <f>SUMIFS(Part_Suppliers!$E$2:$E$300,Part_Suppliers!$A$2:$A$300,$E31,Part_Suppliers!$H$2:$H$300,"Ja")</f>
        <v>0.02</v>
      </c>
      <c r="L31" s="32">
        <f t="shared" si="0"/>
        <v>0.02</v>
      </c>
      <c r="M31">
        <f>IFERROR(VLOOKUP($E31,Parts!$A$2:$M$200,12,FALSE()),"")</f>
        <v>0</v>
      </c>
    </row>
    <row r="32" spans="1:13" ht="15" x14ac:dyDescent="0.2">
      <c r="A32" t="s">
        <v>731</v>
      </c>
      <c r="B32" t="s">
        <v>726</v>
      </c>
      <c r="C32" s="31">
        <v>30</v>
      </c>
      <c r="D32" t="s">
        <v>764</v>
      </c>
      <c r="E32" t="s">
        <v>260</v>
      </c>
      <c r="F32" s="31">
        <v>1</v>
      </c>
      <c r="G32" s="29" t="s">
        <v>759</v>
      </c>
      <c r="H32" s="29" t="s">
        <v>208</v>
      </c>
      <c r="I32" t="str">
        <f>IFERROR(VLOOKUP(E32,Parts!$A$2:$S$200,4,FALSE()),"")</f>
        <v>1N4148W</v>
      </c>
      <c r="J32" t="str">
        <f>IFERROR(VLOOKUP(E32,Parts!$A$2:$S$200,5,FALSE()),"")</f>
        <v>Diode_SMD:D_SOD-123</v>
      </c>
      <c r="K32" s="32">
        <f>SUMIFS(Part_Suppliers!$E$2:$E$300,Part_Suppliers!$A$2:$A$300,$E32,Part_Suppliers!$H$2:$H$300,"Ja")</f>
        <v>0.02</v>
      </c>
      <c r="L32" s="32">
        <f t="shared" si="0"/>
        <v>0.02</v>
      </c>
      <c r="M32">
        <f>IFERROR(VLOOKUP($E32,Parts!$A$2:$M$200,12,FALSE()),"")</f>
        <v>0</v>
      </c>
    </row>
    <row r="33" spans="1:13" ht="15" x14ac:dyDescent="0.2">
      <c r="A33" t="s">
        <v>731</v>
      </c>
      <c r="B33" t="s">
        <v>726</v>
      </c>
      <c r="C33" s="31">
        <v>40</v>
      </c>
      <c r="D33" t="s">
        <v>504</v>
      </c>
      <c r="E33" t="s">
        <v>462</v>
      </c>
      <c r="F33" s="31">
        <v>1</v>
      </c>
      <c r="G33" s="29" t="s">
        <v>759</v>
      </c>
      <c r="H33" s="29" t="s">
        <v>208</v>
      </c>
      <c r="I33" t="str">
        <f>IFERROR(VLOOKUP(E33,Parts!$A$2:$S$200,4,FALSE()),"")</f>
        <v>Hyperrot, 645 nm, 250 mcd, 140°, Vf 2,0–2,5 V, IF max. 30 mA</v>
      </c>
      <c r="J33" t="str">
        <f>IFERROR(VLOOKUP(E33,Parts!$A$2:$S$200,5,FALSE()),"")</f>
        <v>LED_SMD:LED_1206_3216Metric_Pad1.42x1.75mm_HandSolder</v>
      </c>
      <c r="K33" s="32">
        <f>SUMIFS(Part_Suppliers!$E$2:$E$300,Part_Suppliers!$A$2:$A$300,$E33,Part_Suppliers!$H$2:$H$300,"Ja")</f>
        <v>0.11</v>
      </c>
      <c r="L33" s="32">
        <f t="shared" si="0"/>
        <v>0.11</v>
      </c>
      <c r="M33" t="str">
        <f>IFERROR(VLOOKUP($E33,Parts!$A$2:$M$200,12,FALSE()),"")</f>
        <v>Kingbright SMD-LED im 1206-/3216-Gehäuse, hyperrot, 250 mcd, 140° Abstrahlwinkel, Bauhöhe 1,1 mm. Im DuoRelay liegen D3/D4 über je 1,5 kΩ an +5 V; bei etwa 2 V Vorwärtsspannung fließen rund 2 mA.</v>
      </c>
    </row>
    <row r="34" spans="1:13" ht="15" x14ac:dyDescent="0.2">
      <c r="A34" t="s">
        <v>731</v>
      </c>
      <c r="B34" t="s">
        <v>726</v>
      </c>
      <c r="C34" s="31">
        <v>50</v>
      </c>
      <c r="D34" t="s">
        <v>776</v>
      </c>
      <c r="E34" t="s">
        <v>462</v>
      </c>
      <c r="F34" s="31">
        <v>1</v>
      </c>
      <c r="G34" s="29" t="s">
        <v>759</v>
      </c>
      <c r="H34" s="29" t="s">
        <v>208</v>
      </c>
      <c r="I34" t="str">
        <f>IFERROR(VLOOKUP(E34,Parts!$A$2:$S$200,4,FALSE()),"")</f>
        <v>Hyperrot, 645 nm, 250 mcd, 140°, Vf 2,0–2,5 V, IF max. 30 mA</v>
      </c>
      <c r="J34" t="str">
        <f>IFERROR(VLOOKUP(E34,Parts!$A$2:$S$200,5,FALSE()),"")</f>
        <v>LED_SMD:LED_1206_3216Metric_Pad1.42x1.75mm_HandSolder</v>
      </c>
      <c r="K34" s="32">
        <f>SUMIFS(Part_Suppliers!$E$2:$E$300,Part_Suppliers!$A$2:$A$300,$E34,Part_Suppliers!$H$2:$H$300,"Ja")</f>
        <v>0.11</v>
      </c>
      <c r="L34" s="32">
        <f t="shared" ref="L34:L65" si="1">F34*K34</f>
        <v>0.11</v>
      </c>
      <c r="M34" t="str">
        <f>IFERROR(VLOOKUP($E34,Parts!$A$2:$M$200,12,FALSE()),"")</f>
        <v>Kingbright SMD-LED im 1206-/3216-Gehäuse, hyperrot, 250 mcd, 140° Abstrahlwinkel, Bauhöhe 1,1 mm. Im DuoRelay liegen D3/D4 über je 1,5 kΩ an +5 V; bei etwa 2 V Vorwärtsspannung fließen rund 2 mA.</v>
      </c>
    </row>
    <row r="35" spans="1:13" ht="15" x14ac:dyDescent="0.2">
      <c r="A35" t="s">
        <v>731</v>
      </c>
      <c r="B35" t="s">
        <v>726</v>
      </c>
      <c r="C35" s="31">
        <v>60</v>
      </c>
      <c r="D35" t="s">
        <v>426</v>
      </c>
      <c r="E35" t="s">
        <v>429</v>
      </c>
      <c r="F35" s="31">
        <v>1</v>
      </c>
      <c r="G35" s="29" t="s">
        <v>759</v>
      </c>
      <c r="H35" s="29" t="s">
        <v>208</v>
      </c>
      <c r="I35" t="str">
        <f>IFERROR(VLOOKUP(E35,Parts!$A$2:$S$200,4,FALSE()),"")</f>
        <v>2x7, 2,54 mm, THT, vertikal, vergoldet, 6,1 mm Stecklänge, 3,0 mm Lötstift</v>
      </c>
      <c r="J35" t="str">
        <f>IFERROR(VLOOKUP(E35,Parts!$A$2:$S$200,5,FALSE()),"")</f>
        <v>EnvNode-Footprints:PinHeader_2x07_P2.54mm_Vertical_Bottom</v>
      </c>
      <c r="K35" s="32">
        <f>SUMIFS(Part_Suppliers!$E$2:$E$300,Part_Suppliers!$A$2:$A$300,$E35,Part_Suppliers!$H$2:$H$300,"Ja")</f>
        <v>0.3</v>
      </c>
      <c r="L35" s="32">
        <f t="shared" si="1"/>
        <v>0.3</v>
      </c>
      <c r="M35" t="str">
        <f>IFERROR(VLOOKUP($E35,Parts!$A$2:$M$200,12,FALSE()),"")</f>
        <v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v>
      </c>
    </row>
    <row r="36" spans="1:13" ht="15" x14ac:dyDescent="0.2">
      <c r="A36" t="s">
        <v>731</v>
      </c>
      <c r="B36" t="s">
        <v>726</v>
      </c>
      <c r="C36" s="31">
        <v>70</v>
      </c>
      <c r="D36" t="s">
        <v>766</v>
      </c>
      <c r="E36" t="s">
        <v>265</v>
      </c>
      <c r="F36" s="31">
        <v>1</v>
      </c>
      <c r="G36" s="29" t="s">
        <v>759</v>
      </c>
      <c r="H36" s="29" t="s">
        <v>208</v>
      </c>
      <c r="I36" t="str">
        <f>IFERROR(VLOOKUP(E36,Parts!$A$2:$S$200,4,FALSE()),"")</f>
        <v>3-polig, 5,08 mm</v>
      </c>
      <c r="J36" t="str">
        <f>IFERROR(VLOOKUP(E36,Parts!$A$2:$S$200,5,FALSE()),"")</f>
        <v>TerminalBlock_Phoenix:TerminalBlock_Phoenix_MKDS-3-3-5.08_1x03_P5.08mm_Horizontal</v>
      </c>
      <c r="K36" s="32">
        <f>SUMIFS(Part_Suppliers!$E$2:$E$300,Part_Suppliers!$A$2:$A$300,$E36,Part_Suppliers!$H$2:$H$300,"Ja")</f>
        <v>0</v>
      </c>
      <c r="L36" s="32">
        <f t="shared" si="1"/>
        <v>0</v>
      </c>
      <c r="M36" t="str">
        <f>IFERROR(VLOOKUP($E36,Parts!$A$2:$M$200,12,FALSE()),"")</f>
        <v>Exakte Hersteller-MPN ergänzen.</v>
      </c>
    </row>
    <row r="37" spans="1:13" ht="15" x14ac:dyDescent="0.2">
      <c r="A37" t="s">
        <v>731</v>
      </c>
      <c r="B37" t="s">
        <v>726</v>
      </c>
      <c r="C37" s="31">
        <v>80</v>
      </c>
      <c r="D37" t="s">
        <v>767</v>
      </c>
      <c r="E37" t="s">
        <v>265</v>
      </c>
      <c r="F37" s="31">
        <v>1</v>
      </c>
      <c r="G37" s="29" t="s">
        <v>759</v>
      </c>
      <c r="H37" s="29" t="s">
        <v>208</v>
      </c>
      <c r="I37" t="str">
        <f>IFERROR(VLOOKUP(E37,Parts!$A$2:$S$200,4,FALSE()),"")</f>
        <v>3-polig, 5,08 mm</v>
      </c>
      <c r="J37" t="str">
        <f>IFERROR(VLOOKUP(E37,Parts!$A$2:$S$200,5,FALSE()),"")</f>
        <v>TerminalBlock_Phoenix:TerminalBlock_Phoenix_MKDS-3-3-5.08_1x03_P5.08mm_Horizontal</v>
      </c>
      <c r="K37" s="32">
        <f>SUMIFS(Part_Suppliers!$E$2:$E$300,Part_Suppliers!$A$2:$A$300,$E37,Part_Suppliers!$H$2:$H$300,"Ja")</f>
        <v>0</v>
      </c>
      <c r="L37" s="32">
        <f t="shared" si="1"/>
        <v>0</v>
      </c>
      <c r="M37" t="str">
        <f>IFERROR(VLOOKUP($E37,Parts!$A$2:$M$200,12,FALSE()),"")</f>
        <v>Exakte Hersteller-MPN ergänzen.</v>
      </c>
    </row>
    <row r="38" spans="1:13" ht="15" x14ac:dyDescent="0.2">
      <c r="A38" t="s">
        <v>731</v>
      </c>
      <c r="B38" t="s">
        <v>726</v>
      </c>
      <c r="C38" s="31">
        <v>90</v>
      </c>
      <c r="D38" t="s">
        <v>777</v>
      </c>
      <c r="E38" t="s">
        <v>183</v>
      </c>
      <c r="F38" s="31">
        <v>1</v>
      </c>
      <c r="G38" s="29" t="s">
        <v>759</v>
      </c>
      <c r="H38" s="29" t="s">
        <v>208</v>
      </c>
      <c r="I38" t="str">
        <f>IFERROR(VLOOKUP(E38,Parts!$A$2:$S$200,4,FALSE()),"")</f>
        <v>5 V, 1 Wechsler, 6 A</v>
      </c>
      <c r="J38" t="str">
        <f>IFERROR(VLOOKUP(E38,Parts!$A$2:$S$200,5,FALSE()),"")</f>
        <v>Relay_THT:Relay_SPDT_Finder_34.51_Vertical</v>
      </c>
      <c r="K38" s="32">
        <f>SUMIFS(Part_Suppliers!$E$2:$E$300,Part_Suppliers!$A$2:$A$300,$E38,Part_Suppliers!$H$2:$H$300,"Ja")</f>
        <v>5.8</v>
      </c>
      <c r="L38" s="32">
        <f t="shared" si="1"/>
        <v>5.8</v>
      </c>
      <c r="M38">
        <f>IFERROR(VLOOKUP($E38,Parts!$A$2:$M$200,12,FALSE()),"")</f>
        <v>0</v>
      </c>
    </row>
    <row r="39" spans="1:13" ht="15" x14ac:dyDescent="0.2">
      <c r="A39" t="s">
        <v>731</v>
      </c>
      <c r="B39" t="s">
        <v>726</v>
      </c>
      <c r="C39" s="31">
        <v>100</v>
      </c>
      <c r="D39" t="s">
        <v>778</v>
      </c>
      <c r="E39" t="s">
        <v>183</v>
      </c>
      <c r="F39" s="31">
        <v>1</v>
      </c>
      <c r="G39" s="29" t="s">
        <v>759</v>
      </c>
      <c r="H39" s="29" t="s">
        <v>208</v>
      </c>
      <c r="I39" t="str">
        <f>IFERROR(VLOOKUP(E39,Parts!$A$2:$S$200,4,FALSE()),"")</f>
        <v>5 V, 1 Wechsler, 6 A</v>
      </c>
      <c r="J39" t="str">
        <f>IFERROR(VLOOKUP(E39,Parts!$A$2:$S$200,5,FALSE()),"")</f>
        <v>Relay_THT:Relay_SPDT_Finder_34.51_Vertical</v>
      </c>
      <c r="K39" s="32">
        <f>SUMIFS(Part_Suppliers!$E$2:$E$300,Part_Suppliers!$A$2:$A$300,$E39,Part_Suppliers!$H$2:$H$300,"Ja")</f>
        <v>5.8</v>
      </c>
      <c r="L39" s="32">
        <f t="shared" si="1"/>
        <v>5.8</v>
      </c>
      <c r="M39">
        <f>IFERROR(VLOOKUP($E39,Parts!$A$2:$M$200,12,FALSE()),"")</f>
        <v>0</v>
      </c>
    </row>
    <row r="40" spans="1:13" ht="15" x14ac:dyDescent="0.2">
      <c r="A40" t="s">
        <v>731</v>
      </c>
      <c r="B40" t="s">
        <v>726</v>
      </c>
      <c r="C40" s="31">
        <v>110</v>
      </c>
      <c r="D40" t="s">
        <v>120</v>
      </c>
      <c r="E40" t="s">
        <v>273</v>
      </c>
      <c r="F40" s="31">
        <v>1</v>
      </c>
      <c r="G40" s="29" t="s">
        <v>759</v>
      </c>
      <c r="H40" s="29" t="s">
        <v>208</v>
      </c>
      <c r="I40" t="str">
        <f>IFERROR(VLOOKUP(E40,Parts!$A$2:$S$200,4,FALSE()),"")</f>
        <v>BC817</v>
      </c>
      <c r="J40" t="str">
        <f>IFERROR(VLOOKUP(E40,Parts!$A$2:$S$200,5,FALSE()),"")</f>
        <v>Package_TO_SOT_SMD:SOT-23_Handsoldering</v>
      </c>
      <c r="K40" s="32">
        <f>SUMIFS(Part_Suppliers!$E$2:$E$300,Part_Suppliers!$A$2:$A$300,$E40,Part_Suppliers!$H$2:$H$300,"Ja")</f>
        <v>0.02</v>
      </c>
      <c r="L40" s="32">
        <f t="shared" si="1"/>
        <v>0.02</v>
      </c>
      <c r="M40">
        <f>IFERROR(VLOOKUP($E40,Parts!$A$2:$M$200,12,FALSE()),"")</f>
        <v>0</v>
      </c>
    </row>
    <row r="41" spans="1:13" ht="15" x14ac:dyDescent="0.2">
      <c r="A41" t="s">
        <v>731</v>
      </c>
      <c r="B41" t="s">
        <v>726</v>
      </c>
      <c r="C41" s="31">
        <v>120</v>
      </c>
      <c r="D41" t="s">
        <v>779</v>
      </c>
      <c r="E41" t="s">
        <v>273</v>
      </c>
      <c r="F41" s="31">
        <v>1</v>
      </c>
      <c r="G41" s="29" t="s">
        <v>759</v>
      </c>
      <c r="H41" s="29" t="s">
        <v>208</v>
      </c>
      <c r="I41" t="str">
        <f>IFERROR(VLOOKUP(E41,Parts!$A$2:$S$200,4,FALSE()),"")</f>
        <v>BC817</v>
      </c>
      <c r="J41" t="str">
        <f>IFERROR(VLOOKUP(E41,Parts!$A$2:$S$200,5,FALSE()),"")</f>
        <v>Package_TO_SOT_SMD:SOT-23_Handsoldering</v>
      </c>
      <c r="K41" s="32">
        <f>SUMIFS(Part_Suppliers!$E$2:$E$300,Part_Suppliers!$A$2:$A$300,$E41,Part_Suppliers!$H$2:$H$300,"Ja")</f>
        <v>0.02</v>
      </c>
      <c r="L41" s="32">
        <f t="shared" si="1"/>
        <v>0.02</v>
      </c>
      <c r="M41">
        <f>IFERROR(VLOOKUP($E41,Parts!$A$2:$M$200,12,FALSE()),"")</f>
        <v>0</v>
      </c>
    </row>
    <row r="42" spans="1:13" ht="15" x14ac:dyDescent="0.2">
      <c r="A42" t="s">
        <v>731</v>
      </c>
      <c r="B42" t="s">
        <v>726</v>
      </c>
      <c r="C42" s="31">
        <v>130</v>
      </c>
      <c r="D42" t="s">
        <v>344</v>
      </c>
      <c r="E42" t="s">
        <v>279</v>
      </c>
      <c r="F42" s="31">
        <v>1</v>
      </c>
      <c r="G42" s="29" t="s">
        <v>759</v>
      </c>
      <c r="H42" s="29" t="s">
        <v>208</v>
      </c>
      <c r="I42" t="str">
        <f>IFERROR(VLOOKUP(E42,Parts!$A$2:$S$200,4,FALSE()),"")</f>
        <v>1 kΩ</v>
      </c>
      <c r="J42" t="str">
        <f>IFERROR(VLOOKUP(E42,Parts!$A$2:$S$200,5,FALSE()),"")</f>
        <v>Resistor_SMD:R_1206_3216Metric_Pad1.30x1.75mm_HandSolder</v>
      </c>
      <c r="K42" s="32">
        <f>SUMIFS(Part_Suppliers!$E$2:$E$300,Part_Suppliers!$A$2:$A$300,$E42,Part_Suppliers!$H$2:$H$300,"Ja")</f>
        <v>0.14000000000000001</v>
      </c>
      <c r="L42" s="32">
        <f t="shared" si="1"/>
        <v>0.14000000000000001</v>
      </c>
      <c r="M42">
        <f>IFERROR(VLOOKUP($E42,Parts!$A$2:$M$200,12,FALSE()),"")</f>
        <v>0</v>
      </c>
    </row>
    <row r="43" spans="1:13" ht="15" x14ac:dyDescent="0.2">
      <c r="A43" t="s">
        <v>731</v>
      </c>
      <c r="B43" t="s">
        <v>726</v>
      </c>
      <c r="C43" s="31">
        <v>140</v>
      </c>
      <c r="D43" t="s">
        <v>769</v>
      </c>
      <c r="E43" t="s">
        <v>279</v>
      </c>
      <c r="F43" s="31">
        <v>1</v>
      </c>
      <c r="G43" s="29" t="s">
        <v>759</v>
      </c>
      <c r="H43" s="29" t="s">
        <v>208</v>
      </c>
      <c r="I43" t="str">
        <f>IFERROR(VLOOKUP(E43,Parts!$A$2:$S$200,4,FALSE()),"")</f>
        <v>1 kΩ</v>
      </c>
      <c r="J43" t="str">
        <f>IFERROR(VLOOKUP(E43,Parts!$A$2:$S$200,5,FALSE()),"")</f>
        <v>Resistor_SMD:R_1206_3216Metric_Pad1.30x1.75mm_HandSolder</v>
      </c>
      <c r="K43" s="32">
        <f>SUMIFS(Part_Suppliers!$E$2:$E$300,Part_Suppliers!$A$2:$A$300,$E43,Part_Suppliers!$H$2:$H$300,"Ja")</f>
        <v>0.14000000000000001</v>
      </c>
      <c r="L43" s="32">
        <f t="shared" si="1"/>
        <v>0.14000000000000001</v>
      </c>
      <c r="M43">
        <f>IFERROR(VLOOKUP($E43,Parts!$A$2:$M$200,12,FALSE()),"")</f>
        <v>0</v>
      </c>
    </row>
    <row r="44" spans="1:13" ht="15" x14ac:dyDescent="0.2">
      <c r="A44" t="s">
        <v>731</v>
      </c>
      <c r="B44" t="s">
        <v>726</v>
      </c>
      <c r="C44" s="31">
        <v>150</v>
      </c>
      <c r="D44" t="s">
        <v>152</v>
      </c>
      <c r="E44" t="s">
        <v>133</v>
      </c>
      <c r="F44" s="31">
        <v>1</v>
      </c>
      <c r="G44" s="29" t="s">
        <v>759</v>
      </c>
      <c r="H44" s="29" t="s">
        <v>208</v>
      </c>
      <c r="I44" t="str">
        <f>IFERROR(VLOOKUP(E44,Parts!$A$2:$S$200,4,FALSE()),"")</f>
        <v>100 kΩ, 0,1 %, 250 mW</v>
      </c>
      <c r="J44" t="str">
        <f>IFERROR(VLOOKUP(E44,Parts!$A$2:$S$200,5,FALSE()),"")</f>
        <v>Resistor_SMD:R_1206_3216Metric_Pad1.30x1.75mm_HandSolder</v>
      </c>
      <c r="K44" s="32">
        <f>SUMIFS(Part_Suppliers!$E$2:$E$300,Part_Suppliers!$A$2:$A$300,$E44,Part_Suppliers!$H$2:$H$300,"Ja")</f>
        <v>0.83</v>
      </c>
      <c r="L44" s="32">
        <f t="shared" si="1"/>
        <v>0.83</v>
      </c>
      <c r="M44" t="str">
        <f>IFERROR(VLOOKUP($E44,Parts!$A$2:$M$200,12,FALSE()),"")</f>
        <v>Lieferanten-Bestellnummer in der Altdatei enthält vermischte Angaben.</v>
      </c>
    </row>
    <row r="45" spans="1:13" ht="15" x14ac:dyDescent="0.2">
      <c r="A45" t="s">
        <v>731</v>
      </c>
      <c r="B45" t="s">
        <v>726</v>
      </c>
      <c r="C45" s="31">
        <v>160</v>
      </c>
      <c r="D45" t="s">
        <v>770</v>
      </c>
      <c r="E45" t="s">
        <v>133</v>
      </c>
      <c r="F45" s="31">
        <v>1</v>
      </c>
      <c r="G45" s="29" t="s">
        <v>759</v>
      </c>
      <c r="H45" s="29" t="s">
        <v>208</v>
      </c>
      <c r="I45" t="str">
        <f>IFERROR(VLOOKUP(E45,Parts!$A$2:$S$200,4,FALSE()),"")</f>
        <v>100 kΩ, 0,1 %, 250 mW</v>
      </c>
      <c r="J45" t="str">
        <f>IFERROR(VLOOKUP(E45,Parts!$A$2:$S$200,5,FALSE()),"")</f>
        <v>Resistor_SMD:R_1206_3216Metric_Pad1.30x1.75mm_HandSolder</v>
      </c>
      <c r="K45" s="32">
        <f>SUMIFS(Part_Suppliers!$E$2:$E$300,Part_Suppliers!$A$2:$A$300,$E45,Part_Suppliers!$H$2:$H$300,"Ja")</f>
        <v>0.83</v>
      </c>
      <c r="L45" s="32">
        <f t="shared" si="1"/>
        <v>0.83</v>
      </c>
      <c r="M45" t="str">
        <f>IFERROR(VLOOKUP($E45,Parts!$A$2:$M$200,12,FALSE()),"")</f>
        <v>Lieferanten-Bestellnummer in der Altdatei enthält vermischte Angaben.</v>
      </c>
    </row>
    <row r="46" spans="1:13" ht="15" x14ac:dyDescent="0.2">
      <c r="A46" t="s">
        <v>731</v>
      </c>
      <c r="B46" t="s">
        <v>726</v>
      </c>
      <c r="C46" s="31">
        <v>170</v>
      </c>
      <c r="D46" t="s">
        <v>521</v>
      </c>
      <c r="E46" t="s">
        <v>473</v>
      </c>
      <c r="F46" s="31">
        <v>1</v>
      </c>
      <c r="G46" s="29" t="s">
        <v>759</v>
      </c>
      <c r="H46" s="29" t="s">
        <v>208</v>
      </c>
      <c r="I46" t="str">
        <f>IFERROR(VLOOKUP(E46,Parts!$A$2:$S$200,4,FALSE()),"")</f>
        <v>1,5 kΩ, 1 %, 0,25 W, 1206</v>
      </c>
      <c r="J46" t="str">
        <f>IFERROR(VLOOKUP(E46,Parts!$A$2:$S$200,5,FALSE()),"")</f>
        <v>Resistor_SMD:R_1206_3216Metric_Pad1.30x1.75mm_HandSolder</v>
      </c>
      <c r="K46" s="32">
        <f>SUMIFS(Part_Suppliers!$E$2:$E$300,Part_Suppliers!$A$2:$A$300,$E46,Part_Suppliers!$H$2:$H$300,"Ja")</f>
        <v>0.14000000000000001</v>
      </c>
      <c r="L46" s="32">
        <f t="shared" si="1"/>
        <v>0.14000000000000001</v>
      </c>
      <c r="M46" t="str">
        <f>IFERROR(VLOOKUP($E46,Parts!$A$2:$M$200,12,FALSE()),"")</f>
        <v>Exakt passend als Vorwiderstand der Relais-LEDs. Einzelpreis, Stand 2026-09-01; Preis und Verfügbarkeit vor Bestellung prüfen.</v>
      </c>
    </row>
    <row r="47" spans="1:13" ht="15" x14ac:dyDescent="0.2">
      <c r="A47" t="s">
        <v>731</v>
      </c>
      <c r="B47" t="s">
        <v>726</v>
      </c>
      <c r="C47" s="31">
        <v>180</v>
      </c>
      <c r="D47" t="s">
        <v>528</v>
      </c>
      <c r="E47" t="s">
        <v>473</v>
      </c>
      <c r="F47" s="31">
        <v>1</v>
      </c>
      <c r="G47" s="29" t="s">
        <v>759</v>
      </c>
      <c r="H47" s="29" t="s">
        <v>208</v>
      </c>
      <c r="I47" t="str">
        <f>IFERROR(VLOOKUP(E47,Parts!$A$2:$S$200,4,FALSE()),"")</f>
        <v>1,5 kΩ, 1 %, 0,25 W, 1206</v>
      </c>
      <c r="J47" t="str">
        <f>IFERROR(VLOOKUP(E47,Parts!$A$2:$S$200,5,FALSE()),"")</f>
        <v>Resistor_SMD:R_1206_3216Metric_Pad1.30x1.75mm_HandSolder</v>
      </c>
      <c r="K47" s="32">
        <f>SUMIFS(Part_Suppliers!$E$2:$E$300,Part_Suppliers!$A$2:$A$300,$E47,Part_Suppliers!$H$2:$H$300,"Ja")</f>
        <v>0.14000000000000001</v>
      </c>
      <c r="L47" s="32">
        <f t="shared" si="1"/>
        <v>0.14000000000000001</v>
      </c>
      <c r="M47" t="str">
        <f>IFERROR(VLOOKUP($E47,Parts!$A$2:$M$200,12,FALSE()),"")</f>
        <v>Exakt passend als Vorwiderstand der Relais-LEDs. Einzelpreis, Stand 2026-09-01; Preis und Verfügbarkeit vor Bestellung prüfen.</v>
      </c>
    </row>
    <row r="48" spans="1:13" ht="15" x14ac:dyDescent="0.2">
      <c r="A48" t="s">
        <v>731</v>
      </c>
      <c r="B48" t="s">
        <v>726</v>
      </c>
      <c r="C48" s="31">
        <v>190</v>
      </c>
      <c r="D48" t="s">
        <v>168</v>
      </c>
      <c r="E48" t="s">
        <v>192</v>
      </c>
      <c r="F48" s="31">
        <v>1</v>
      </c>
      <c r="G48" s="29" t="s">
        <v>775</v>
      </c>
      <c r="H48" s="29" t="s">
        <v>208</v>
      </c>
      <c r="I48" t="str">
        <f>IFERROR(VLOOKUP(E48,Parts!$A$2:$S$200,4,FALSE()),"")</f>
        <v>2 Kbit, I²C, EUI-64, A0/A1, 1,7–5,5 V</v>
      </c>
      <c r="J48" t="str">
        <f>IFERROR(VLOOKUP(E48,Parts!$A$2:$S$200,5,FALSE()),"")</f>
        <v>Package_TO_SOT_SMD:SOT-23-6</v>
      </c>
      <c r="K48" s="32">
        <f>SUMIFS(Part_Suppliers!$E$2:$E$300,Part_Suppliers!$A$2:$A$300,$E48,Part_Suppliers!$H$2:$H$300,"Ja")</f>
        <v>0.32</v>
      </c>
      <c r="L48" s="32">
        <f t="shared" si="1"/>
        <v>0.32</v>
      </c>
      <c r="M48" t="str">
        <f>IFERROR(VLOOKUP($E48,Parts!$A$2:$M$200,12,FALSE()),"")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 Bezug als Cut Tape bei DigiKey; keine parametrischen Ersatztypen ohne vorprogrammierte EUI-64 verwenden.</v>
      </c>
    </row>
    <row r="49" spans="1:13" ht="15" x14ac:dyDescent="0.2">
      <c r="A49" t="s">
        <v>731</v>
      </c>
      <c r="B49" t="s">
        <v>726</v>
      </c>
      <c r="C49" s="31">
        <v>200</v>
      </c>
      <c r="E49" t="s">
        <v>481</v>
      </c>
      <c r="F49" s="31">
        <v>1</v>
      </c>
      <c r="G49" s="29" t="s">
        <v>759</v>
      </c>
      <c r="H49" s="29" t="s">
        <v>100</v>
      </c>
      <c r="I49" t="str">
        <f>IFERROR(VLOOKUP(E49,Parts!$A$2:$S$200,4,FALSE()),"")</f>
        <v>Revision 0.2</v>
      </c>
      <c r="J49" t="str">
        <f>IFERROR(VLOOKUP(E49,Parts!$A$2:$S$200,5,FALSE()),"")</f>
        <v>PCB: Modules/FullSize/DuoRelay/DuoRelay.kicad_pcb</v>
      </c>
      <c r="K49" s="32">
        <f>SUMIFS(Part_Suppliers!$E$2:$E$300,Part_Suppliers!$A$2:$A$300,$E49,Part_Suppliers!$H$2:$H$300,"Ja")</f>
        <v>0</v>
      </c>
      <c r="L49" s="32">
        <f t="shared" si="1"/>
        <v>0</v>
      </c>
      <c r="M49" t="str">
        <f>IFERROR(VLOOKUP($E49,Parts!$A$2:$M$200,12,FALSE()),"")</f>
        <v>Aktueller KiCad-Stand; Fertiger und konkrete Fertigungsvariante festlegen.</v>
      </c>
    </row>
    <row r="50" spans="1:13" ht="15" x14ac:dyDescent="0.2">
      <c r="A50" t="s">
        <v>736</v>
      </c>
      <c r="B50" t="s">
        <v>726</v>
      </c>
      <c r="C50" s="31">
        <v>10</v>
      </c>
      <c r="D50" t="s">
        <v>758</v>
      </c>
      <c r="E50" t="s">
        <v>56</v>
      </c>
      <c r="F50" s="31">
        <v>1</v>
      </c>
      <c r="G50" s="29" t="s">
        <v>775</v>
      </c>
      <c r="H50" s="29" t="s">
        <v>208</v>
      </c>
      <c r="I50" t="str">
        <f>IFERROR(VLOOKUP(E50,Parts!$A$2:$S$200,4,FALSE()),"")</f>
        <v>100 nF, 10 %, X7R, 100 V</v>
      </c>
      <c r="J50" t="str">
        <f>IFERROR(VLOOKUP(E50,Parts!$A$2:$S$200,5,FALSE()),"")</f>
        <v>Capacitor_SMD:C_1206_3216Metric_Pad1.33x1.80mm_HandSolder</v>
      </c>
      <c r="K50" s="32">
        <f>SUMIFS(Part_Suppliers!$E$2:$E$300,Part_Suppliers!$A$2:$A$300,$E50,Part_Suppliers!$H$2:$H$300,"Ja")</f>
        <v>0.24</v>
      </c>
      <c r="L50" s="32">
        <f t="shared" si="1"/>
        <v>0.24</v>
      </c>
      <c r="M50" t="str">
        <f>IFERROR(VLOOKUP($E50,Parts!$A$2:$M$200,12,FALSE()),"")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51" spans="1:13" ht="15" x14ac:dyDescent="0.2">
      <c r="A51" t="s">
        <v>736</v>
      </c>
      <c r="B51" t="s">
        <v>726</v>
      </c>
      <c r="C51" s="31">
        <v>20</v>
      </c>
      <c r="D51" t="s">
        <v>760</v>
      </c>
      <c r="E51" t="s">
        <v>56</v>
      </c>
      <c r="F51" s="31">
        <v>1</v>
      </c>
      <c r="G51" s="29" t="s">
        <v>759</v>
      </c>
      <c r="H51" s="29" t="s">
        <v>208</v>
      </c>
      <c r="I51" t="str">
        <f>IFERROR(VLOOKUP(E51,Parts!$A$2:$S$200,4,FALSE()),"")</f>
        <v>100 nF, 10 %, X7R, 100 V</v>
      </c>
      <c r="J51" t="str">
        <f>IFERROR(VLOOKUP(E51,Parts!$A$2:$S$200,5,FALSE()),"")</f>
        <v>Capacitor_SMD:C_1206_3216Metric_Pad1.33x1.80mm_HandSolder</v>
      </c>
      <c r="K51" s="32">
        <f>SUMIFS(Part_Suppliers!$E$2:$E$300,Part_Suppliers!$A$2:$A$300,$E51,Part_Suppliers!$H$2:$H$300,"Ja")</f>
        <v>0.24</v>
      </c>
      <c r="L51" s="32">
        <f t="shared" si="1"/>
        <v>0.24</v>
      </c>
      <c r="M51" t="str">
        <f>IFERROR(VLOOKUP($E51,Parts!$A$2:$M$200,12,FALSE()),"")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52" spans="1:13" ht="15" x14ac:dyDescent="0.2">
      <c r="A52" t="s">
        <v>736</v>
      </c>
      <c r="B52" t="s">
        <v>726</v>
      </c>
      <c r="C52" s="31">
        <v>30</v>
      </c>
      <c r="D52" t="s">
        <v>761</v>
      </c>
      <c r="E52" t="s">
        <v>225</v>
      </c>
      <c r="F52" s="31">
        <v>1</v>
      </c>
      <c r="G52" s="29" t="s">
        <v>759</v>
      </c>
      <c r="H52" s="29" t="s">
        <v>208</v>
      </c>
      <c r="I52" t="str">
        <f>IFERROR(VLOOKUP(E52,Parts!$A$2:$S$200,4,FALSE()),"")</f>
        <v>1 µF</v>
      </c>
      <c r="J52" t="str">
        <f>IFERROR(VLOOKUP(E52,Parts!$A$2:$S$200,5,FALSE()),"")</f>
        <v>Capacitor_SMD:C_1206_3216Metric_Pad1.33x1.80mm_HandSolder</v>
      </c>
      <c r="K52" s="32">
        <f>SUMIFS(Part_Suppliers!$E$2:$E$300,Part_Suppliers!$A$2:$A$300,$E52,Part_Suppliers!$H$2:$H$300,"Ja")</f>
        <v>0.16</v>
      </c>
      <c r="L52" s="32">
        <f t="shared" si="1"/>
        <v>0.16</v>
      </c>
      <c r="M52">
        <f>IFERROR(VLOOKUP($E52,Parts!$A$2:$M$200,12,FALSE()),"")</f>
        <v>0</v>
      </c>
    </row>
    <row r="53" spans="1:13" ht="15" x14ac:dyDescent="0.2">
      <c r="A53" t="s">
        <v>736</v>
      </c>
      <c r="B53" t="s">
        <v>726</v>
      </c>
      <c r="C53" s="31">
        <v>40</v>
      </c>
      <c r="D53" t="s">
        <v>413</v>
      </c>
      <c r="E53" t="s">
        <v>485</v>
      </c>
      <c r="F53" s="31">
        <v>1</v>
      </c>
      <c r="G53" s="29" t="s">
        <v>759</v>
      </c>
      <c r="H53" s="29" t="s">
        <v>208</v>
      </c>
      <c r="I53" t="str">
        <f>IFERROR(VLOOKUP(E53,Parts!$A$2:$S$200,4,FALSE()),"")</f>
        <v>4,7 µF, 25 V, X7R, ±10 %, 1206</v>
      </c>
      <c r="J53" t="str">
        <f>IFERROR(VLOOKUP(E53,Parts!$A$2:$S$200,5,FALSE()),"")</f>
        <v>Capacitor_SMD:C_1206_3216Metric_Pad1.33x1.80mm_HandSolder</v>
      </c>
      <c r="K53" s="32">
        <f>SUMIFS(Part_Suppliers!$E$2:$E$300,Part_Suppliers!$A$2:$A$300,$E53,Part_Suppliers!$H$2:$H$300,"Ja")</f>
        <v>0.14000000000000001</v>
      </c>
      <c r="L53" s="32">
        <f t="shared" si="1"/>
        <v>0.14000000000000001</v>
      </c>
      <c r="M53" t="str">
        <f>IFERROR(VLOOKUP($E53,Parts!$A$2:$M$200,12,FALSE()),"")</f>
        <v>25-V-Ausführung übertrifft die geforderten mindestens 10 V. Einzelpreis, Stand 2026-09-01; Preis und Verfügbarkeit vor Bestellung prüfen.</v>
      </c>
    </row>
    <row r="54" spans="1:13" ht="15" x14ac:dyDescent="0.2">
      <c r="A54" t="s">
        <v>736</v>
      </c>
      <c r="B54" t="s">
        <v>726</v>
      </c>
      <c r="C54" s="31">
        <v>50</v>
      </c>
      <c r="D54" t="s">
        <v>780</v>
      </c>
      <c r="E54" t="s">
        <v>225</v>
      </c>
      <c r="F54" s="31">
        <v>1</v>
      </c>
      <c r="G54" s="29" t="s">
        <v>759</v>
      </c>
      <c r="H54" s="29" t="s">
        <v>208</v>
      </c>
      <c r="I54" t="str">
        <f>IFERROR(VLOOKUP(E54,Parts!$A$2:$S$200,4,FALSE()),"")</f>
        <v>1 µF</v>
      </c>
      <c r="J54" t="str">
        <f>IFERROR(VLOOKUP(E54,Parts!$A$2:$S$200,5,FALSE()),"")</f>
        <v>Capacitor_SMD:C_1206_3216Metric_Pad1.33x1.80mm_HandSolder</v>
      </c>
      <c r="K54" s="32">
        <f>SUMIFS(Part_Suppliers!$E$2:$E$300,Part_Suppliers!$A$2:$A$300,$E54,Part_Suppliers!$H$2:$H$300,"Ja")</f>
        <v>0.16</v>
      </c>
      <c r="L54" s="32">
        <f t="shared" si="1"/>
        <v>0.16</v>
      </c>
      <c r="M54">
        <f>IFERROR(VLOOKUP($E54,Parts!$A$2:$M$200,12,FALSE()),"")</f>
        <v>0</v>
      </c>
    </row>
    <row r="55" spans="1:13" ht="15" x14ac:dyDescent="0.2">
      <c r="A55" t="s">
        <v>736</v>
      </c>
      <c r="B55" t="s">
        <v>726</v>
      </c>
      <c r="C55" s="31">
        <v>60</v>
      </c>
      <c r="D55" t="s">
        <v>781</v>
      </c>
      <c r="E55" t="s">
        <v>56</v>
      </c>
      <c r="F55" s="31">
        <v>1</v>
      </c>
      <c r="G55" s="29" t="s">
        <v>759</v>
      </c>
      <c r="H55" s="29" t="s">
        <v>208</v>
      </c>
      <c r="I55" t="str">
        <f>IFERROR(VLOOKUP(E55,Parts!$A$2:$S$200,4,FALSE()),"")</f>
        <v>100 nF, 10 %, X7R, 100 V</v>
      </c>
      <c r="J55" t="str">
        <f>IFERROR(VLOOKUP(E55,Parts!$A$2:$S$200,5,FALSE()),"")</f>
        <v>Capacitor_SMD:C_1206_3216Metric_Pad1.33x1.80mm_HandSolder</v>
      </c>
      <c r="K55" s="32">
        <f>SUMIFS(Part_Suppliers!$E$2:$E$300,Part_Suppliers!$A$2:$A$300,$E55,Part_Suppliers!$H$2:$H$300,"Ja")</f>
        <v>0.24</v>
      </c>
      <c r="L55" s="32">
        <f t="shared" si="1"/>
        <v>0.24</v>
      </c>
      <c r="M55" t="str">
        <f>IFERROR(VLOOKUP($E55,Parts!$A$2:$M$200,12,FALSE()),"")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56" spans="1:13" ht="15" x14ac:dyDescent="0.2">
      <c r="A56" t="s">
        <v>736</v>
      </c>
      <c r="B56" t="s">
        <v>726</v>
      </c>
      <c r="C56" s="31">
        <v>70</v>
      </c>
      <c r="D56" t="s">
        <v>497</v>
      </c>
      <c r="E56" t="s">
        <v>493</v>
      </c>
      <c r="F56" s="31">
        <v>1</v>
      </c>
      <c r="G56" s="29" t="s">
        <v>759</v>
      </c>
      <c r="H56" s="29" t="s">
        <v>208</v>
      </c>
      <c r="I56" t="str">
        <f>IFERROR(VLOOKUP(E56,Parts!$A$2:$S$200,4,FALSE()),"")</f>
        <v>4,7 µF, 50 V, X7R, ±10 %, 1210</v>
      </c>
      <c r="J56" t="str">
        <f>IFERROR(VLOOKUP(E56,Parts!$A$2:$S$200,5,FALSE()),"")</f>
        <v>Capacitor_SMD:C_1210_3225Metric_Pad1.33x2.70mm_HandSolder</v>
      </c>
      <c r="K56" s="32">
        <f>SUMIFS(Part_Suppliers!$E$2:$E$300,Part_Suppliers!$A$2:$A$300,$E56,Part_Suppliers!$H$2:$H$300,"Ja")</f>
        <v>1.19</v>
      </c>
      <c r="L56" s="32">
        <f t="shared" si="1"/>
        <v>1.19</v>
      </c>
      <c r="M56" t="str">
        <f>IFERROR(VLOOKUP($E56,Parts!$A$2:$M$200,12,FALSE()),"")</f>
        <v>Passende 50-V-/1210-Ausführung für den Ausgang des 24-V-Boosters. Einzelpreis, Stand 2026-09-01; Preis und Verfügbarkeit vor Bestellung prüfen.</v>
      </c>
    </row>
    <row r="57" spans="1:13" ht="15" x14ac:dyDescent="0.2">
      <c r="A57" t="s">
        <v>736</v>
      </c>
      <c r="B57" t="s">
        <v>726</v>
      </c>
      <c r="C57" s="31">
        <v>80</v>
      </c>
      <c r="D57" t="s">
        <v>763</v>
      </c>
      <c r="E57" t="s">
        <v>231</v>
      </c>
      <c r="F57" s="31">
        <v>1</v>
      </c>
      <c r="G57" s="29" t="s">
        <v>759</v>
      </c>
      <c r="H57" s="29" t="s">
        <v>208</v>
      </c>
      <c r="I57" t="str">
        <f>IFERROR(VLOOKUP(E57,Parts!$A$2:$S$200,4,FALSE()),"")</f>
        <v>BAT54S</v>
      </c>
      <c r="J57" t="str">
        <f>IFERROR(VLOOKUP(E57,Parts!$A$2:$S$200,5,FALSE()),"")</f>
        <v>Package_TO_SOT_SMD:SOT-23</v>
      </c>
      <c r="K57" s="32">
        <f>SUMIFS(Part_Suppliers!$E$2:$E$300,Part_Suppliers!$A$2:$A$300,$E57,Part_Suppliers!$H$2:$H$300,"Ja")</f>
        <v>0.04</v>
      </c>
      <c r="L57" s="32">
        <f t="shared" si="1"/>
        <v>0.04</v>
      </c>
      <c r="M57" t="str">
        <f>IFERROR(VLOOKUP($E57,Parts!$A$2:$M$200,12,FALSE()),"")</f>
        <v>Aktuelles AnalogHydroPressure verwendet SOT-23 und stimmt damit mit dem Artikel-Footprint überein; Gehäuse der bestellten Variante dennoch prüfen.</v>
      </c>
    </row>
    <row r="58" spans="1:13" ht="15" x14ac:dyDescent="0.2">
      <c r="A58" t="s">
        <v>736</v>
      </c>
      <c r="B58" t="s">
        <v>726</v>
      </c>
      <c r="C58" s="31">
        <v>90</v>
      </c>
      <c r="D58" t="s">
        <v>504</v>
      </c>
      <c r="E58" t="s">
        <v>500</v>
      </c>
      <c r="F58" s="31">
        <v>1</v>
      </c>
      <c r="G58" s="29" t="s">
        <v>759</v>
      </c>
      <c r="H58" s="29" t="s">
        <v>208</v>
      </c>
      <c r="I58" t="str">
        <f>IFERROR(VLOOKUP(E58,Parts!$A$2:$S$200,4,FALSE()),"")</f>
        <v>Typ und elektrische Daten offen</v>
      </c>
      <c r="J58" t="str">
        <f>IFERROR(VLOOKUP(E58,Parts!$A$2:$S$200,5,FALSE()),"")</f>
        <v>Diode_SMD:D_SOD-323F</v>
      </c>
      <c r="K58" s="32">
        <f>SUMIFS(Part_Suppliers!$E$2:$E$300,Part_Suppliers!$A$2:$A$300,$E58,Part_Suppliers!$H$2:$H$300,"Ja")</f>
        <v>0</v>
      </c>
      <c r="L58" s="32">
        <f t="shared" si="1"/>
        <v>0</v>
      </c>
      <c r="M58" t="str">
        <f>IFERROR(VLOOKUP($E58,Parts!$A$2:$M$200,12,FALSE()),"")</f>
        <v>Schema enthält nur den generischen Wert D_Schottky; Sperrspannung, Strom, Hersteller und MPN festlegen. Einkaufsdaten bleiben offen, bis Sperrspannung und Strombelastbarkeit festgelegt sind.</v>
      </c>
    </row>
    <row r="59" spans="1:13" ht="15" x14ac:dyDescent="0.2">
      <c r="A59" t="s">
        <v>736</v>
      </c>
      <c r="B59" t="s">
        <v>726</v>
      </c>
      <c r="C59" s="31">
        <v>100</v>
      </c>
      <c r="D59" t="s">
        <v>426</v>
      </c>
      <c r="E59" t="s">
        <v>429</v>
      </c>
      <c r="F59" s="31">
        <v>1</v>
      </c>
      <c r="G59" s="29" t="s">
        <v>759</v>
      </c>
      <c r="H59" s="29" t="s">
        <v>208</v>
      </c>
      <c r="I59" t="str">
        <f>IFERROR(VLOOKUP(E59,Parts!$A$2:$S$200,4,FALSE()),"")</f>
        <v>2x7, 2,54 mm, THT, vertikal, vergoldet, 6,1 mm Stecklänge, 3,0 mm Lötstift</v>
      </c>
      <c r="J59" t="str">
        <f>IFERROR(VLOOKUP(E59,Parts!$A$2:$S$200,5,FALSE()),"")</f>
        <v>EnvNode-Footprints:PinHeader_2x07_P2.54mm_Vertical_Bottom</v>
      </c>
      <c r="K59" s="32">
        <f>SUMIFS(Part_Suppliers!$E$2:$E$300,Part_Suppliers!$A$2:$A$300,$E59,Part_Suppliers!$H$2:$H$300,"Ja")</f>
        <v>0.3</v>
      </c>
      <c r="L59" s="32">
        <f t="shared" si="1"/>
        <v>0.3</v>
      </c>
      <c r="M59" t="str">
        <f>IFERROR(VLOOKUP($E59,Parts!$A$2:$M$200,12,FALSE()),"")</f>
        <v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v>
      </c>
    </row>
    <row r="60" spans="1:13" ht="15" x14ac:dyDescent="0.2">
      <c r="A60" t="s">
        <v>736</v>
      </c>
      <c r="B60" t="s">
        <v>726</v>
      </c>
      <c r="C60" s="31">
        <v>110</v>
      </c>
      <c r="D60" t="s">
        <v>766</v>
      </c>
      <c r="E60" t="s">
        <v>247</v>
      </c>
      <c r="F60" s="31">
        <v>1</v>
      </c>
      <c r="G60" s="29" t="s">
        <v>759</v>
      </c>
      <c r="H60" s="29" t="s">
        <v>208</v>
      </c>
      <c r="I60" t="str">
        <f>IFERROR(VLOOKUP(E60,Parts!$A$2:$S$200,4,FALSE()),"")</f>
        <v>1x2, 2,54 mm</v>
      </c>
      <c r="J60" t="str">
        <f>IFERROR(VLOOKUP(E60,Parts!$A$2:$S$200,5,FALSE()),"")</f>
        <v>Connector_PinSocket_2.54mm:PinSocket_1x02_P2.54mm_Vertical</v>
      </c>
      <c r="K60" s="32">
        <f>SUMIFS(Part_Suppliers!$E$2:$E$300,Part_Suppliers!$A$2:$A$300,$E60,Part_Suppliers!$H$2:$H$300,"Ja")</f>
        <v>0</v>
      </c>
      <c r="L60" s="32">
        <f t="shared" si="1"/>
        <v>0</v>
      </c>
      <c r="M60">
        <f>IFERROR(VLOOKUP($E60,Parts!$A$2:$M$200,12,FALSE()),"")</f>
        <v>0</v>
      </c>
    </row>
    <row r="61" spans="1:13" ht="15" x14ac:dyDescent="0.2">
      <c r="A61" t="s">
        <v>736</v>
      </c>
      <c r="B61" t="s">
        <v>726</v>
      </c>
      <c r="C61" s="31">
        <v>120</v>
      </c>
      <c r="D61" t="s">
        <v>513</v>
      </c>
      <c r="E61" t="s">
        <v>507</v>
      </c>
      <c r="F61" s="31">
        <v>1</v>
      </c>
      <c r="G61" s="29" t="s">
        <v>759</v>
      </c>
      <c r="H61" s="29" t="s">
        <v>208</v>
      </c>
      <c r="I61" t="str">
        <f>IFERROR(VLOOKUP(E61,Parts!$A$2:$S$200,4,FALSE()),"")</f>
        <v>0,68 µH, 8,2 A, DCR 9 mΩ, WE-MAPI 3012</v>
      </c>
      <c r="J61" t="str">
        <f>IFERROR(VLOOKUP(E61,Parts!$A$2:$S$200,5,FALSE()),"")</f>
        <v>Inductor_SMD:L_Wuerth_MAPI-3012</v>
      </c>
      <c r="K61" s="32">
        <f>SUMIFS(Part_Suppliers!$E$2:$E$300,Part_Suppliers!$A$2:$A$300,$E61,Part_Suppliers!$H$2:$H$300,"Ja")</f>
        <v>1.66</v>
      </c>
      <c r="L61" s="32">
        <f t="shared" si="1"/>
        <v>1.66</v>
      </c>
      <c r="M61" t="str">
        <f>IFERROR(VLOOKUP($E61,Parts!$A$2:$M$200,12,FALSE()),"")</f>
        <v>Exakte MAPI-3012-Ausführung: 680 nH, 8,2 A, DCR 9 mΩ, AEC-Q200. Einzelpreis, Stand 2026-09-01; Preis und Verfügbarkeit vor Bestellung prüfen.</v>
      </c>
    </row>
    <row r="62" spans="1:13" ht="15" x14ac:dyDescent="0.2">
      <c r="A62" t="s">
        <v>736</v>
      </c>
      <c r="B62" t="s">
        <v>726</v>
      </c>
      <c r="C62" s="31">
        <v>130</v>
      </c>
      <c r="D62" t="s">
        <v>769</v>
      </c>
      <c r="E62" t="s">
        <v>46</v>
      </c>
      <c r="F62" s="31">
        <v>1</v>
      </c>
      <c r="G62" s="29" t="s">
        <v>759</v>
      </c>
      <c r="H62" s="29" t="s">
        <v>208</v>
      </c>
      <c r="I62" t="str">
        <f>IFERROR(VLOOKUP(E62,Parts!$A$2:$S$200,4,FALSE()),"")</f>
        <v>4,7 kΩ, 1 %, 250 mW</v>
      </c>
      <c r="J62" t="str">
        <f>IFERROR(VLOOKUP(E62,Parts!$A$2:$S$200,5,FALSE()),"")</f>
        <v>Resistor_SMD:R_1206_3216Metric_Pad1.30x1.75mm_HandSolder</v>
      </c>
      <c r="K62" s="32">
        <f>SUMIFS(Part_Suppliers!$E$2:$E$300,Part_Suppliers!$A$2:$A$300,$E62,Part_Suppliers!$H$2:$H$300,"Ja")</f>
        <v>0.15</v>
      </c>
      <c r="L62" s="32">
        <f t="shared" si="1"/>
        <v>0.15</v>
      </c>
      <c r="M62" t="str">
        <f>IFERROR(VLOOKUP($E62,Parts!$A$2:$M$200,12,FALSE()),"")</f>
        <v>I2C-Pull-ups für die beiden I2C-Busse</v>
      </c>
    </row>
    <row r="63" spans="1:13" ht="15" x14ac:dyDescent="0.2">
      <c r="A63" t="s">
        <v>736</v>
      </c>
      <c r="B63" t="s">
        <v>726</v>
      </c>
      <c r="C63" s="31">
        <v>140</v>
      </c>
      <c r="D63" t="s">
        <v>152</v>
      </c>
      <c r="E63" t="s">
        <v>253</v>
      </c>
      <c r="F63" s="31">
        <v>1</v>
      </c>
      <c r="G63" s="29" t="s">
        <v>759</v>
      </c>
      <c r="H63" s="29" t="s">
        <v>208</v>
      </c>
      <c r="I63" t="str">
        <f>IFERROR(VLOOKUP(E63,Parts!$A$2:$S$200,4,FALSE()),"")</f>
        <v>150 Ω, 0,1 %, ≤25 ppm/K, &gt;0,125 W</v>
      </c>
      <c r="J63" t="str">
        <f>IFERROR(VLOOKUP(E63,Parts!$A$2:$S$200,5,FALSE()),"")</f>
        <v>Resistor_THT:R_Axial_DIN0207_L6.3mm_D2.5mm_P7.62mm_Horizontal</v>
      </c>
      <c r="K63" s="32">
        <f>SUMIFS(Part_Suppliers!$E$2:$E$300,Part_Suppliers!$A$2:$A$300,$E63,Part_Suppliers!$H$2:$H$300,"Ja")</f>
        <v>1.3</v>
      </c>
      <c r="L63" s="32">
        <f t="shared" si="1"/>
        <v>1.3</v>
      </c>
      <c r="M63">
        <f>IFERROR(VLOOKUP($E63,Parts!$A$2:$M$200,12,FALSE()),"")</f>
        <v>0</v>
      </c>
    </row>
    <row r="64" spans="1:13" ht="15" x14ac:dyDescent="0.2">
      <c r="A64" t="s">
        <v>736</v>
      </c>
      <c r="B64" t="s">
        <v>726</v>
      </c>
      <c r="C64" s="31">
        <v>150</v>
      </c>
      <c r="D64" t="s">
        <v>521</v>
      </c>
      <c r="E64" t="s">
        <v>517</v>
      </c>
      <c r="F64" s="31">
        <v>1</v>
      </c>
      <c r="G64" s="29" t="s">
        <v>759</v>
      </c>
      <c r="H64" s="29" t="s">
        <v>208</v>
      </c>
      <c r="I64" t="str">
        <f>IFERROR(VLOOKUP(E64,Parts!$A$2:$S$200,4,FALSE()),"")</f>
        <v>1 MΩ, 1 %, 0,25 W, 1206</v>
      </c>
      <c r="J64" t="str">
        <f>IFERROR(VLOOKUP(E64,Parts!$A$2:$S$200,5,FALSE()),"")</f>
        <v>Resistor_SMD:R_1206_3216Metric_Pad1.30x1.75mm_HandSolder</v>
      </c>
      <c r="K64" s="32">
        <f>SUMIFS(Part_Suppliers!$E$2:$E$300,Part_Suppliers!$A$2:$A$300,$E64,Part_Suppliers!$H$2:$H$300,"Ja")</f>
        <v>0.18</v>
      </c>
      <c r="L64" s="32">
        <f t="shared" si="1"/>
        <v>0.18</v>
      </c>
      <c r="M64" t="str">
        <f>IFERROR(VLOOKUP($E64,Parts!$A$2:$M$200,12,FALSE()),"")</f>
        <v>Elektrisch und mechanisch passend. Einzelpreis, Stand 2026-09-01; Preis und Verfügbarkeit vor Bestellung prüfen.</v>
      </c>
    </row>
    <row r="65" spans="1:13" ht="15" x14ac:dyDescent="0.2">
      <c r="A65" t="s">
        <v>736</v>
      </c>
      <c r="B65" t="s">
        <v>726</v>
      </c>
      <c r="C65" s="31">
        <v>160</v>
      </c>
      <c r="D65" t="s">
        <v>528</v>
      </c>
      <c r="E65" t="s">
        <v>524</v>
      </c>
      <c r="F65" s="31">
        <v>1</v>
      </c>
      <c r="G65" s="29" t="s">
        <v>759</v>
      </c>
      <c r="H65" s="29" t="s">
        <v>208</v>
      </c>
      <c r="I65" t="str">
        <f>IFERROR(VLOOKUP(E65,Parts!$A$2:$S$200,4,FALSE()),"")</f>
        <v>71,5 kΩ, 1 %, 0,25 W, 1206</v>
      </c>
      <c r="J65" t="str">
        <f>IFERROR(VLOOKUP(E65,Parts!$A$2:$S$200,5,FALSE()),"")</f>
        <v>Resistor_SMD:R_1206_3216Metric_Pad1.30x1.75mm_HandSolder</v>
      </c>
      <c r="K65" s="32">
        <f>SUMIFS(Part_Suppliers!$E$2:$E$300,Part_Suppliers!$A$2:$A$300,$E65,Part_Suppliers!$H$2:$H$300,"Ja")</f>
        <v>0.09</v>
      </c>
      <c r="L65" s="32">
        <f t="shared" si="1"/>
        <v>0.09</v>
      </c>
      <c r="M65" t="str">
        <f>IFERROR(VLOOKUP($E65,Parts!$A$2:$M$200,12,FALSE()),"")</f>
        <v>Exakter Wert für den Feedback-Widerstand; DigiKey-Bestellnummer auf der Produktseite vor Bestellung ergänzen. Einzelpreis, Stand 2026-09-01; Preis und Verfügbarkeit vor Bestellung prüfen.</v>
      </c>
    </row>
    <row r="66" spans="1:13" ht="15" x14ac:dyDescent="0.2">
      <c r="A66" t="s">
        <v>736</v>
      </c>
      <c r="B66" t="s">
        <v>726</v>
      </c>
      <c r="C66" s="31">
        <v>170</v>
      </c>
      <c r="D66" t="s">
        <v>782</v>
      </c>
      <c r="E66" t="s">
        <v>133</v>
      </c>
      <c r="F66" s="31">
        <v>1</v>
      </c>
      <c r="G66" s="29" t="s">
        <v>759</v>
      </c>
      <c r="H66" s="29" t="s">
        <v>208</v>
      </c>
      <c r="I66" t="str">
        <f>IFERROR(VLOOKUP(E66,Parts!$A$2:$S$200,4,FALSE()),"")</f>
        <v>100 kΩ, 0,1 %, 250 mW</v>
      </c>
      <c r="J66" t="str">
        <f>IFERROR(VLOOKUP(E66,Parts!$A$2:$S$200,5,FALSE()),"")</f>
        <v>Resistor_SMD:R_1206_3216Metric_Pad1.30x1.75mm_HandSolder</v>
      </c>
      <c r="K66" s="32">
        <f>SUMIFS(Part_Suppliers!$E$2:$E$300,Part_Suppliers!$A$2:$A$300,$E66,Part_Suppliers!$H$2:$H$300,"Ja")</f>
        <v>0.83</v>
      </c>
      <c r="L66" s="32">
        <f t="shared" ref="L66:L97" si="2">F66*K66</f>
        <v>0.83</v>
      </c>
      <c r="M66" t="str">
        <f>IFERROR(VLOOKUP($E66,Parts!$A$2:$M$200,12,FALSE()),"")</f>
        <v>Lieferanten-Bestellnummer in der Altdatei enthält vermischte Angaben.</v>
      </c>
    </row>
    <row r="67" spans="1:13" ht="15" x14ac:dyDescent="0.2">
      <c r="A67" t="s">
        <v>736</v>
      </c>
      <c r="B67" t="s">
        <v>726</v>
      </c>
      <c r="C67" s="31">
        <v>180</v>
      </c>
      <c r="D67" t="s">
        <v>537</v>
      </c>
      <c r="E67" t="s">
        <v>532</v>
      </c>
      <c r="F67" s="31">
        <v>1</v>
      </c>
      <c r="G67" s="29" t="s">
        <v>759</v>
      </c>
      <c r="H67" s="29" t="s">
        <v>208</v>
      </c>
      <c r="I67" t="str">
        <f>IFERROR(VLOOKUP(E67,Parts!$A$2:$S$200,4,FALSE()),"")</f>
        <v>220 kΩ, 1 %, 0,25 W, 1206</v>
      </c>
      <c r="J67" t="str">
        <f>IFERROR(VLOOKUP(E67,Parts!$A$2:$S$200,5,FALSE()),"")</f>
        <v>Resistor_SMD:R_1206_3216Metric_Pad1.30x1.75mm_HandSolder</v>
      </c>
      <c r="K67" s="32">
        <f>SUMIFS(Part_Suppliers!$E$2:$E$300,Part_Suppliers!$A$2:$A$300,$E67,Part_Suppliers!$H$2:$H$300,"Ja")</f>
        <v>7.0000000000000007E-2</v>
      </c>
      <c r="L67" s="32">
        <f t="shared" si="2"/>
        <v>7.0000000000000007E-2</v>
      </c>
      <c r="M67" t="str">
        <f>IFERROR(VLOOKUP($E67,Parts!$A$2:$M$200,12,FALSE()),"")</f>
        <v>Exakte 1-%-Ausführung; der gefundene Reichelt-Typ mit 5 % wurde nicht übernommen. Einzelpreis, Stand 2026-09-01; Preis und Verfügbarkeit vor Bestellung prüfen.</v>
      </c>
    </row>
    <row r="68" spans="1:13" ht="15" x14ac:dyDescent="0.2">
      <c r="A68" t="s">
        <v>736</v>
      </c>
      <c r="B68" t="s">
        <v>726</v>
      </c>
      <c r="C68" s="31">
        <v>190</v>
      </c>
      <c r="D68" t="s">
        <v>548</v>
      </c>
      <c r="E68" t="s">
        <v>541</v>
      </c>
      <c r="F68" s="31">
        <v>1</v>
      </c>
      <c r="G68" s="29" t="s">
        <v>759</v>
      </c>
      <c r="H68" s="29" t="s">
        <v>208</v>
      </c>
      <c r="I68" t="str">
        <f>IFERROR(VLOOKUP(E68,Parts!$A$2:$S$200,4,FALSE()),"")</f>
        <v>DPDT</v>
      </c>
      <c r="J68" t="str">
        <f>IFERROR(VLOOKUP(E68,Parts!$A$2:$S$200,5,FALSE()),"")</f>
        <v>EnvNode-Footprints:SW_Slide_CK_OS202011MS2QS1</v>
      </c>
      <c r="K68" s="32">
        <f>SUMIFS(Part_Suppliers!$E$2:$E$300,Part_Suppliers!$A$2:$A$300,$E68,Part_Suppliers!$H$2:$H$300,"Ja")</f>
        <v>0.92</v>
      </c>
      <c r="L68" s="32">
        <f t="shared" si="2"/>
        <v>0.92</v>
      </c>
      <c r="M68" t="str">
        <f>IFERROR(VLOOKUP($E68,Parts!$A$2:$M$200,12,FALSE()),"")</f>
        <v>Exakt der dem Projekt-Footprint zugrunde liegende DPDT-On-On-Schalter. Einzelpreis, Stand 2026-09-01; Preis und Verfügbarkeit vor Bestellung prüfen.</v>
      </c>
    </row>
    <row r="69" spans="1:13" ht="15" x14ac:dyDescent="0.2">
      <c r="A69" t="s">
        <v>736</v>
      </c>
      <c r="B69" t="s">
        <v>726</v>
      </c>
      <c r="C69" s="31">
        <v>200</v>
      </c>
      <c r="D69" t="s">
        <v>168</v>
      </c>
      <c r="E69" t="s">
        <v>192</v>
      </c>
      <c r="F69" s="31">
        <v>1</v>
      </c>
      <c r="G69" s="29" t="s">
        <v>775</v>
      </c>
      <c r="H69" s="29" t="s">
        <v>208</v>
      </c>
      <c r="I69" t="str">
        <f>IFERROR(VLOOKUP(E69,Parts!$A$2:$S$200,4,FALSE()),"")</f>
        <v>2 Kbit, I²C, EUI-64, A0/A1, 1,7–5,5 V</v>
      </c>
      <c r="J69" t="str">
        <f>IFERROR(VLOOKUP(E69,Parts!$A$2:$S$200,5,FALSE()),"")</f>
        <v>Package_TO_SOT_SMD:SOT-23-6</v>
      </c>
      <c r="K69" s="32">
        <f>SUMIFS(Part_Suppliers!$E$2:$E$300,Part_Suppliers!$A$2:$A$300,$E69,Part_Suppliers!$H$2:$H$300,"Ja")</f>
        <v>0.32</v>
      </c>
      <c r="L69" s="32">
        <f t="shared" si="2"/>
        <v>0.32</v>
      </c>
      <c r="M69" t="str">
        <f>IFERROR(VLOOKUP($E69,Parts!$A$2:$M$200,12,FALSE()),"")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 Bezug als Cut Tape bei DigiKey; keine parametrischen Ersatztypen ohne vorprogrammierte EUI-64 verwenden.</v>
      </c>
    </row>
    <row r="70" spans="1:13" ht="15" x14ac:dyDescent="0.2">
      <c r="A70" t="s">
        <v>736</v>
      </c>
      <c r="B70" t="s">
        <v>726</v>
      </c>
      <c r="C70">
        <v>210</v>
      </c>
      <c r="D70" t="s">
        <v>356</v>
      </c>
      <c r="E70" t="s">
        <v>218</v>
      </c>
      <c r="F70">
        <v>1</v>
      </c>
      <c r="G70" s="29" t="s">
        <v>759</v>
      </c>
      <c r="H70" s="29" t="s">
        <v>208</v>
      </c>
      <c r="I70" t="str">
        <f>IFERROR(VLOOKUP(E70,Parts!$A$2:$S$200,4,FALSE()),"")</f>
        <v>ADS1115IDGS</v>
      </c>
      <c r="J70" t="str">
        <f>IFERROR(VLOOKUP(E70,Parts!$A$2:$S$200,5,FALSE()),"")</f>
        <v>Package_SO:TSSOP-10_3x3mm_P0.5mm</v>
      </c>
      <c r="K70" s="32">
        <f>SUMIFS(Part_Suppliers!$E$2:$E$300,Part_Suppliers!$A$2:$A$300,$E70,Part_Suppliers!$H$2:$H$300,"Ja")</f>
        <v>0</v>
      </c>
      <c r="L70" s="32">
        <f t="shared" si="2"/>
        <v>0</v>
      </c>
      <c r="M70" t="str">
        <f>IFERROR(VLOOKUP($E70,Parts!$A$2:$M$200,12,FALSE()),"")</f>
        <v>Nicht mit dem vorhandenen ADS1115-Entwicklungsboard zusammenführen.</v>
      </c>
    </row>
    <row r="71" spans="1:13" ht="15" x14ac:dyDescent="0.2">
      <c r="A71" t="s">
        <v>736</v>
      </c>
      <c r="B71" t="s">
        <v>726</v>
      </c>
      <c r="C71">
        <v>220</v>
      </c>
      <c r="D71" t="s">
        <v>556</v>
      </c>
      <c r="E71" t="s">
        <v>551</v>
      </c>
      <c r="F71">
        <v>1</v>
      </c>
      <c r="G71" s="29" t="s">
        <v>759</v>
      </c>
      <c r="H71" s="29" t="s">
        <v>208</v>
      </c>
      <c r="I71" t="str">
        <f>IFERROR(VLOOKUP(E71,Parts!$A$2:$S$200,4,FALSE()),"")</f>
        <v>LT8330, 3…40 V Eingang, 60 V/1 A Schalter, TSOT-23-6</v>
      </c>
      <c r="J71" t="str">
        <f>IFERROR(VLOOKUP(E71,Parts!$A$2:$S$200,5,FALSE()),"")</f>
        <v>Package_TO_SOT_SMD:SOT-23-6</v>
      </c>
      <c r="K71" s="32">
        <f>SUMIFS(Part_Suppliers!$E$2:$E$300,Part_Suppliers!$A$2:$A$300,$E71,Part_Suppliers!$H$2:$H$300,"Ja")</f>
        <v>7.11</v>
      </c>
      <c r="L71" s="32">
        <f t="shared" si="2"/>
        <v>7.11</v>
      </c>
      <c r="M71" t="str">
        <f>IFERROR(VLOOKUP($E71,Parts!$A$2:$M$200,12,FALSE()),"")</f>
        <v>Bestellbare E-Temperaturvariante im geforderten TSOT-23-6, Cut Tape. Einzelpreis, Stand 2026-09-01; Preis und Verfügbarkeit vor Bestellung prüfen.</v>
      </c>
    </row>
    <row r="72" spans="1:13" ht="15" x14ac:dyDescent="0.2">
      <c r="A72" t="s">
        <v>736</v>
      </c>
      <c r="B72" t="s">
        <v>726</v>
      </c>
      <c r="C72">
        <v>230</v>
      </c>
      <c r="E72" t="s">
        <v>560</v>
      </c>
      <c r="F72">
        <v>1</v>
      </c>
      <c r="G72" s="29" t="s">
        <v>759</v>
      </c>
      <c r="H72" s="29" t="s">
        <v>100</v>
      </c>
      <c r="I72" t="str">
        <f>IFERROR(VLOOKUP(E72,Parts!$A$2:$S$200,4,FALSE()),"")</f>
        <v>Revision 0.2</v>
      </c>
      <c r="J72" t="str">
        <f>IFERROR(VLOOKUP(E72,Parts!$A$2:$S$200,5,FALSE()),"")</f>
        <v>PCB: Modules/FullSize/AnalogHydroPressure/AnalogHydroPressure.kicad_pcb</v>
      </c>
      <c r="K72" s="32">
        <f>SUMIFS(Part_Suppliers!$E$2:$E$300,Part_Suppliers!$A$2:$A$300,$E72,Part_Suppliers!$H$2:$H$300,"Ja")</f>
        <v>0</v>
      </c>
      <c r="L72" s="32">
        <f t="shared" si="2"/>
        <v>0</v>
      </c>
      <c r="M72" t="str">
        <f>IFERROR(VLOOKUP($E72,Parts!$A$2:$M$200,12,FALSE()),"")</f>
        <v>Aktueller KiCad-Stand einschließlich Busumschaltung auf Modulseite und F.Cu-Backfill; Fertiger und Fertigungsvariante festlegen.</v>
      </c>
    </row>
    <row r="73" spans="1:13" ht="15" x14ac:dyDescent="0.2">
      <c r="A73" t="s">
        <v>741</v>
      </c>
      <c r="B73" t="s">
        <v>743</v>
      </c>
      <c r="C73">
        <v>10</v>
      </c>
      <c r="D73" t="s">
        <v>758</v>
      </c>
      <c r="E73" t="s">
        <v>56</v>
      </c>
      <c r="F73">
        <v>1</v>
      </c>
      <c r="G73" s="29" t="s">
        <v>759</v>
      </c>
      <c r="H73" s="29" t="s">
        <v>208</v>
      </c>
      <c r="I73" t="str">
        <f>IFERROR(VLOOKUP(E73,Parts!$A$2:$S$200,4,FALSE()),"")</f>
        <v>100 nF, 10 %, X7R, 100 V</v>
      </c>
      <c r="J73" t="str">
        <f>IFERROR(VLOOKUP(E73,Parts!$A$2:$S$200,5,FALSE()),"")</f>
        <v>Capacitor_SMD:C_1206_3216Metric_Pad1.33x1.80mm_HandSolder</v>
      </c>
      <c r="K73" s="32">
        <f>SUMIFS(Part_Suppliers!$E$2:$E$300,Part_Suppliers!$A$2:$A$300,$E73,Part_Suppliers!$H$2:$H$300,"Ja")</f>
        <v>0.24</v>
      </c>
      <c r="L73" s="32">
        <f t="shared" si="2"/>
        <v>0.24</v>
      </c>
      <c r="M73" t="str">
        <f>IFERROR(VLOOKUP($E73,Parts!$A$2:$M$200,12,FALSE()),"")</f>
        <v>Spannungsfestigkeit, Dielektrikum und Bauform vor Bestellung gegen Schaltplan und Footprint prüfen; C1 ist in allen vier aktuellen Empty-Schemata derzeit DNP; C1 ist im aktuellen DuoRelay-Schema derzeit DNP</v>
      </c>
    </row>
    <row r="74" spans="1:13" ht="15" x14ac:dyDescent="0.2">
      <c r="A74" t="s">
        <v>741</v>
      </c>
      <c r="B74" t="s">
        <v>743</v>
      </c>
      <c r="C74">
        <v>20</v>
      </c>
      <c r="D74" t="s">
        <v>426</v>
      </c>
      <c r="E74" t="s">
        <v>154</v>
      </c>
      <c r="F74">
        <v>1</v>
      </c>
      <c r="G74" s="29" t="s">
        <v>759</v>
      </c>
      <c r="H74" s="29" t="s">
        <v>208</v>
      </c>
      <c r="I74" t="str">
        <f>IFERROR(VLOOKUP(E74,Parts!$A$2:$S$200,4,FALSE()),"")</f>
        <v>1x8, 2,54 mm</v>
      </c>
      <c r="J74" t="str">
        <f>IFERROR(VLOOKUP(E74,Parts!$A$2:$S$200,5,FALSE()),"")</f>
        <v>Connector_PinHeader_2.54mm:PinHeader_1x08_P2.54mm_Vertical</v>
      </c>
      <c r="K74" s="32">
        <f>SUMIFS(Part_Suppliers!$E$2:$E$300,Part_Suppliers!$A$2:$A$300,$E74,Part_Suppliers!$H$2:$H$300,"Ja")</f>
        <v>0.31</v>
      </c>
      <c r="L74" s="32">
        <f t="shared" si="2"/>
        <v>0.31</v>
      </c>
      <c r="M74">
        <f>IFERROR(VLOOKUP($E74,Parts!$A$2:$M$200,12,FALSE()),"")</f>
        <v>0</v>
      </c>
    </row>
    <row r="75" spans="1:13" ht="15" x14ac:dyDescent="0.2">
      <c r="A75" t="s">
        <v>741</v>
      </c>
      <c r="B75" t="s">
        <v>743</v>
      </c>
      <c r="C75">
        <v>30</v>
      </c>
      <c r="D75" t="s">
        <v>765</v>
      </c>
      <c r="E75" t="s">
        <v>154</v>
      </c>
      <c r="F75">
        <v>1</v>
      </c>
      <c r="G75" s="29" t="s">
        <v>759</v>
      </c>
      <c r="H75" s="29" t="s">
        <v>208</v>
      </c>
      <c r="I75" t="str">
        <f>IFERROR(VLOOKUP(E75,Parts!$A$2:$S$200,4,FALSE()),"")</f>
        <v>1x8, 2,54 mm</v>
      </c>
      <c r="J75" t="str">
        <f>IFERROR(VLOOKUP(E75,Parts!$A$2:$S$200,5,FALSE()),"")</f>
        <v>Connector_PinHeader_2.54mm:PinHeader_1x08_P2.54mm_Vertical</v>
      </c>
      <c r="K75" s="32">
        <f>SUMIFS(Part_Suppliers!$E$2:$E$300,Part_Suppliers!$A$2:$A$300,$E75,Part_Suppliers!$H$2:$H$300,"Ja")</f>
        <v>0.31</v>
      </c>
      <c r="L75" s="32">
        <f t="shared" si="2"/>
        <v>0.31</v>
      </c>
      <c r="M75">
        <f>IFERROR(VLOOKUP($E75,Parts!$A$2:$M$200,12,FALSE()),"")</f>
        <v>0</v>
      </c>
    </row>
    <row r="76" spans="1:13" ht="15" x14ac:dyDescent="0.2">
      <c r="A76" t="s">
        <v>741</v>
      </c>
      <c r="B76" t="s">
        <v>743</v>
      </c>
      <c r="C76">
        <v>40</v>
      </c>
      <c r="D76" t="s">
        <v>766</v>
      </c>
      <c r="E76" t="s">
        <v>30</v>
      </c>
      <c r="F76">
        <v>1</v>
      </c>
      <c r="G76" s="29" t="s">
        <v>759</v>
      </c>
      <c r="H76" s="29" t="s">
        <v>208</v>
      </c>
      <c r="I76" t="str">
        <f>IFERROR(VLOOKUP(E76,Parts!$A$2:$S$200,4,FALSE()),"")</f>
        <v>1x4, 2,54 mm</v>
      </c>
      <c r="J76" t="str">
        <f>IFERROR(VLOOKUP(E76,Parts!$A$2:$S$200,5,FALSE()),"")</f>
        <v>PinSocket_1x04_P2.54mm_Vertical</v>
      </c>
      <c r="K76" s="32">
        <f>SUMIFS(Part_Suppliers!$E$2:$E$300,Part_Suppliers!$A$2:$A$300,$E76,Part_Suppliers!$H$2:$H$300,"Ja")</f>
        <v>0.81</v>
      </c>
      <c r="L76" s="32">
        <f t="shared" si="2"/>
        <v>0.81</v>
      </c>
      <c r="M76" t="str">
        <f>IFERROR(VLOOKUP($E76,Parts!$A$2:$M$200,12,FALSE()),"")</f>
        <v>Für interne Qwiic-Breakouts; Bauhöhe und Ausführung passend zur Mechanik wählen</v>
      </c>
    </row>
    <row r="77" spans="1:13" ht="15" x14ac:dyDescent="0.2">
      <c r="A77" t="s">
        <v>741</v>
      </c>
      <c r="B77" t="s">
        <v>743</v>
      </c>
      <c r="C77">
        <v>50</v>
      </c>
      <c r="D77" t="s">
        <v>767</v>
      </c>
      <c r="E77" t="s">
        <v>30</v>
      </c>
      <c r="F77">
        <v>1</v>
      </c>
      <c r="G77" s="29" t="s">
        <v>759</v>
      </c>
      <c r="H77" s="29" t="s">
        <v>208</v>
      </c>
      <c r="I77" t="str">
        <f>IFERROR(VLOOKUP(E77,Parts!$A$2:$S$200,4,FALSE()),"")</f>
        <v>1x4, 2,54 mm</v>
      </c>
      <c r="J77" t="str">
        <f>IFERROR(VLOOKUP(E77,Parts!$A$2:$S$200,5,FALSE()),"")</f>
        <v>PinSocket_1x04_P2.54mm_Vertical</v>
      </c>
      <c r="K77" s="32">
        <f>SUMIFS(Part_Suppliers!$E$2:$E$300,Part_Suppliers!$A$2:$A$300,$E77,Part_Suppliers!$H$2:$H$300,"Ja")</f>
        <v>0.81</v>
      </c>
      <c r="L77" s="32">
        <f t="shared" si="2"/>
        <v>0.81</v>
      </c>
      <c r="M77" t="str">
        <f>IFERROR(VLOOKUP($E77,Parts!$A$2:$M$200,12,FALSE()),"")</f>
        <v>Für interne Qwiic-Breakouts; Bauhöhe und Ausführung passend zur Mechanik wählen</v>
      </c>
    </row>
    <row r="78" spans="1:13" ht="15" x14ac:dyDescent="0.2">
      <c r="A78" t="s">
        <v>741</v>
      </c>
      <c r="B78" t="s">
        <v>743</v>
      </c>
      <c r="C78">
        <v>60</v>
      </c>
      <c r="D78" t="s">
        <v>120</v>
      </c>
      <c r="E78" t="s">
        <v>112</v>
      </c>
      <c r="F78">
        <v>1</v>
      </c>
      <c r="G78" s="29" t="s">
        <v>759</v>
      </c>
      <c r="H78" s="29" t="s">
        <v>208</v>
      </c>
      <c r="I78" t="str">
        <f>IFERROR(VLOOKUP(E78,Parts!$A$2:$S$200,4,FALSE()),"")</f>
        <v>N-Kanal, 30 V, 5,7 A</v>
      </c>
      <c r="J78" t="str">
        <f>IFERROR(VLOOKUP(E78,Parts!$A$2:$S$200,5,FALSE()),"")</f>
        <v>Package_TO_SOT_SMD:SOT-23</v>
      </c>
      <c r="K78" s="32">
        <f>SUMIFS(Part_Suppliers!$E$2:$E$300,Part_Suppliers!$A$2:$A$300,$E78,Part_Suppliers!$H$2:$H$300,"Ja")</f>
        <v>0.18</v>
      </c>
      <c r="L78" s="32">
        <f t="shared" si="2"/>
        <v>0.18</v>
      </c>
      <c r="M78">
        <f>IFERROR(VLOOKUP($E78,Parts!$A$2:$M$200,12,FALSE()),"")</f>
        <v>0</v>
      </c>
    </row>
    <row r="79" spans="1:13" ht="15" x14ac:dyDescent="0.2">
      <c r="A79" t="s">
        <v>741</v>
      </c>
      <c r="B79" t="s">
        <v>743</v>
      </c>
      <c r="C79">
        <v>70</v>
      </c>
      <c r="D79" t="s">
        <v>344</v>
      </c>
      <c r="E79" t="s">
        <v>141</v>
      </c>
      <c r="F79">
        <v>1</v>
      </c>
      <c r="G79" s="29" t="s">
        <v>759</v>
      </c>
      <c r="H79" s="29" t="s">
        <v>208</v>
      </c>
      <c r="I79" t="str">
        <f>IFERROR(VLOOKUP(E79,Parts!$A$2:$S$200,4,FALSE()),"")</f>
        <v>100 Ω, 5 %, 250 mW</v>
      </c>
      <c r="J79" t="str">
        <f>IFERROR(VLOOKUP(E79,Parts!$A$2:$S$200,5,FALSE()),"")</f>
        <v>Resistor_SMD:R_1206_3216Metric_Pad1.30x1.75mm_HandSolder</v>
      </c>
      <c r="K79" s="32">
        <f>SUMIFS(Part_Suppliers!$E$2:$E$300,Part_Suppliers!$A$2:$A$300,$E79,Part_Suppliers!$H$2:$H$300,"Ja")</f>
        <v>0.06</v>
      </c>
      <c r="L79" s="32">
        <f t="shared" si="2"/>
        <v>0.06</v>
      </c>
      <c r="M79">
        <f>IFERROR(VLOOKUP($E79,Parts!$A$2:$M$200,12,FALSE()),"")</f>
        <v>0</v>
      </c>
    </row>
    <row r="80" spans="1:13" ht="15" x14ac:dyDescent="0.2">
      <c r="A80" t="s">
        <v>741</v>
      </c>
      <c r="B80" t="s">
        <v>743</v>
      </c>
      <c r="C80">
        <v>80</v>
      </c>
      <c r="D80" t="s">
        <v>769</v>
      </c>
      <c r="E80" t="s">
        <v>133</v>
      </c>
      <c r="F80">
        <v>1</v>
      </c>
      <c r="G80" s="29" t="s">
        <v>759</v>
      </c>
      <c r="H80" s="29" t="s">
        <v>208</v>
      </c>
      <c r="I80" t="str">
        <f>IFERROR(VLOOKUP(E80,Parts!$A$2:$S$200,4,FALSE()),"")</f>
        <v>100 kΩ, 0,1 %, 250 mW</v>
      </c>
      <c r="J80" t="str">
        <f>IFERROR(VLOOKUP(E80,Parts!$A$2:$S$200,5,FALSE()),"")</f>
        <v>Resistor_SMD:R_1206_3216Metric_Pad1.30x1.75mm_HandSolder</v>
      </c>
      <c r="K80" s="32">
        <f>SUMIFS(Part_Suppliers!$E$2:$E$300,Part_Suppliers!$A$2:$A$300,$E80,Part_Suppliers!$H$2:$H$300,"Ja")</f>
        <v>0.83</v>
      </c>
      <c r="L80" s="32">
        <f t="shared" si="2"/>
        <v>0.83</v>
      </c>
      <c r="M80" t="str">
        <f>IFERROR(VLOOKUP($E80,Parts!$A$2:$M$200,12,FALSE()),"")</f>
        <v>Lieferanten-Bestellnummer in der Altdatei enthält vermischte Angaben.</v>
      </c>
    </row>
    <row r="81" spans="1:13" ht="15" x14ac:dyDescent="0.2">
      <c r="A81" t="s">
        <v>741</v>
      </c>
      <c r="B81" t="s">
        <v>743</v>
      </c>
      <c r="C81">
        <v>90</v>
      </c>
      <c r="D81" t="s">
        <v>152</v>
      </c>
      <c r="E81" t="s">
        <v>148</v>
      </c>
      <c r="F81">
        <v>1</v>
      </c>
      <c r="G81" s="29" t="s">
        <v>759</v>
      </c>
      <c r="H81" s="29" t="s">
        <v>208</v>
      </c>
      <c r="I81" t="str">
        <f>IFERROR(VLOOKUP(E81,Parts!$A$2:$S$200,4,FALSE()),"")</f>
        <v>10 kΩ, 0,1 %, 250 mW</v>
      </c>
      <c r="J81" t="str">
        <f>IFERROR(VLOOKUP(E81,Parts!$A$2:$S$200,5,FALSE()),"")</f>
        <v>Resistor_SMD:R_1206_3216Metric_Pad1.30x1.75mm_HandSolder</v>
      </c>
      <c r="K81" s="32">
        <f>SUMIFS(Part_Suppliers!$E$2:$E$300,Part_Suppliers!$A$2:$A$300,$E81,Part_Suppliers!$H$2:$H$300,"Ja")</f>
        <v>0.75</v>
      </c>
      <c r="L81" s="32">
        <f t="shared" si="2"/>
        <v>0.75</v>
      </c>
      <c r="M81" t="str">
        <f>IFERROR(VLOOKUP($E81,Parts!$A$2:$M$200,12,FALSE()),"")</f>
        <v>Offensichtlich zusammengesetzte MPN aus Altdaten normalisiert.</v>
      </c>
    </row>
    <row r="82" spans="1:13" x14ac:dyDescent="0.15">
      <c r="A82" t="s">
        <v>741</v>
      </c>
      <c r="B82" t="s">
        <v>743</v>
      </c>
      <c r="C82">
        <v>100</v>
      </c>
      <c r="D82" t="s">
        <v>770</v>
      </c>
      <c r="E82" t="s">
        <v>133</v>
      </c>
      <c r="F82">
        <v>1</v>
      </c>
      <c r="G82" s="29" t="s">
        <v>759</v>
      </c>
      <c r="H82" s="29" t="s">
        <v>208</v>
      </c>
      <c r="I82" t="str">
        <f>IFERROR(VLOOKUP(E82,Parts!$A$2:$S$200,4,FALSE()),"")</f>
        <v>100 kΩ, 0,1 %, 250 mW</v>
      </c>
      <c r="J82" t="str">
        <f>IFERROR(VLOOKUP(E82,Parts!$A$2:$S$200,5,FALSE()),"")</f>
        <v>Resistor_SMD:R_1206_3216Metric_Pad1.30x1.75mm_HandSolder</v>
      </c>
      <c r="K82">
        <f>SUMIFS(Part_Suppliers!$E$2:$E$300,Part_Suppliers!$A$2:$A$300,$E82,Part_Suppliers!$H$2:$H$300,"Ja")</f>
        <v>0.83</v>
      </c>
      <c r="L82">
        <f t="shared" si="2"/>
        <v>0.83</v>
      </c>
      <c r="M82" t="str">
        <f>IFERROR(VLOOKUP($E82,Parts!$A$2:$M$200,12,FALSE()),"")</f>
        <v>Lieferanten-Bestellnummer in der Altdatei enthält vermischte Angaben.</v>
      </c>
    </row>
    <row r="83" spans="1:13" x14ac:dyDescent="0.15">
      <c r="A83" t="s">
        <v>741</v>
      </c>
      <c r="B83" t="s">
        <v>743</v>
      </c>
      <c r="C83">
        <v>110</v>
      </c>
      <c r="D83" t="s">
        <v>168</v>
      </c>
      <c r="E83" t="s">
        <v>161</v>
      </c>
      <c r="F83">
        <v>1</v>
      </c>
      <c r="G83" s="29" t="s">
        <v>759</v>
      </c>
      <c r="H83" s="29" t="s">
        <v>208</v>
      </c>
      <c r="I83" t="str">
        <f>IFERROR(VLOOKUP(E83,Parts!$A$2:$S$200,4,FALSE()),"")</f>
        <v>CMOS 555</v>
      </c>
      <c r="J83" t="str">
        <f>IFERROR(VLOOKUP(E83,Parts!$A$2:$S$200,5,FALSE()),"")</f>
        <v>Package_SO:SOIC-8_3.9x4.9mm_P1.27mm</v>
      </c>
      <c r="K83">
        <f>SUMIFS(Part_Suppliers!$E$2:$E$300,Part_Suppliers!$A$2:$A$300,$E83,Part_Suppliers!$H$2:$H$300,"Ja")</f>
        <v>1.1000000000000001</v>
      </c>
      <c r="L83">
        <f t="shared" si="2"/>
        <v>1.1000000000000001</v>
      </c>
      <c r="M83">
        <f>IFERROR(VLOOKUP($E83,Parts!$A$2:$M$200,12,FALSE()),"")</f>
        <v>0</v>
      </c>
    </row>
    <row r="84" spans="1:13" x14ac:dyDescent="0.15">
      <c r="A84" t="s">
        <v>741</v>
      </c>
      <c r="B84" t="s">
        <v>743</v>
      </c>
      <c r="C84">
        <v>120</v>
      </c>
      <c r="E84" t="s">
        <v>385</v>
      </c>
      <c r="F84">
        <v>1</v>
      </c>
      <c r="G84" s="29" t="s">
        <v>759</v>
      </c>
      <c r="H84" s="29" t="s">
        <v>100</v>
      </c>
      <c r="I84" t="str">
        <f>IFERROR(VLOOKUP(E84,Parts!$A$2:$S$200,4,FALSE()),"")</f>
        <v>Revision 1.0</v>
      </c>
      <c r="J84" t="str">
        <f>IFERROR(VLOOKUP(E84,Parts!$A$2:$S$200,5,FALSE()),"")</f>
        <v>PCB: Raindetector.kicad_pcb</v>
      </c>
      <c r="K84">
        <f>SUMIFS(Part_Suppliers!$E$2:$E$300,Part_Suppliers!$A$2:$A$300,$E84,Part_Suppliers!$H$2:$H$300,"Ja")</f>
        <v>1.73</v>
      </c>
      <c r="L84">
        <f t="shared" si="2"/>
        <v>1.73</v>
      </c>
      <c r="M84" t="str">
        <f>IFERROR(VLOOKUP($E84,Parts!$A$2:$M$200,12,FALSE()),"")</f>
        <v>Fertiger und konkrete Fertigungsvariante festlegen.</v>
      </c>
    </row>
  </sheetData>
  <conditionalFormatting sqref="G2:G69">
    <cfRule type="containsText" dxfId="8" priority="2" operator="containsText" text="DNP">
      <formula>NOT(ISERROR(SEARCH("DNP",G2)))</formula>
    </cfRule>
    <cfRule type="containsText" dxfId="7" priority="3" operator="containsText" text="Optional">
      <formula>NOT(ISERROR(SEARCH("Optional",G2)))</formula>
    </cfRule>
  </conditionalFormatting>
  <dataValidations count="4">
    <dataValidation type="list" sqref="H85:H504" xr:uid="{00000000-0002-0000-0200-000000000000}">
      <formula1>"KiCad,PCB,Mechanical,Cable,Assembly,Consumable"</formula1>
      <formula2>0</formula2>
    </dataValidation>
    <dataValidation type="list" sqref="G85:G504" xr:uid="{00000000-0002-0000-0200-000001000000}">
      <formula1>"Bestücken,DNP,Optional"</formula1>
      <formula2>0</formula2>
    </dataValidation>
    <dataValidation type="list" sqref="G2:G84" xr:uid="{00000000-0002-0000-0200-000002000000}">
      <formula1>"Bestücken,DNP,Optional,Mechanical"</formula1>
      <formula2>0</formula2>
    </dataValidation>
    <dataValidation type="list" sqref="H2:H84" xr:uid="{00000000-0002-0000-0200-000003000000}">
      <formula1>"KiCad,PCB,Mechanik,Elektromechanik,Kabel,Zukauf,Assembly"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6"/>
  <sheetViews>
    <sheetView showGridLines="0" topLeftCell="K1" zoomScaleNormal="100" workbookViewId="0">
      <selection sqref="A1:K1"/>
    </sheetView>
  </sheetViews>
  <sheetFormatPr baseColWidth="10" defaultColWidth="8.83203125" defaultRowHeight="13" x14ac:dyDescent="0.15"/>
  <cols>
    <col min="1" max="1" width="13" customWidth="1"/>
    <col min="2" max="2" width="35" customWidth="1"/>
    <col min="3" max="3" width="15" customWidth="1"/>
    <col min="4" max="4" width="22" customWidth="1"/>
    <col min="5" max="5" width="15.5" customWidth="1"/>
    <col min="6" max="6" width="15" customWidth="1"/>
    <col min="7" max="8" width="14" customWidth="1"/>
    <col min="9" max="9" width="15" customWidth="1"/>
    <col min="10" max="10" width="20" customWidth="1"/>
    <col min="11" max="11" width="255" customWidth="1"/>
    <col min="12" max="13" width="11" customWidth="1"/>
    <col min="14" max="14" width="12" customWidth="1"/>
    <col min="15" max="15" width="18" customWidth="1"/>
    <col min="16" max="16" width="15" customWidth="1"/>
  </cols>
  <sheetData>
    <row r="1" spans="1:16" ht="30" customHeight="1" x14ac:dyDescent="0.15">
      <c r="A1" s="5" t="s">
        <v>783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6" ht="26" customHeight="1" x14ac:dyDescent="0.15">
      <c r="A2" s="4" t="s">
        <v>784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6" ht="15" x14ac:dyDescent="0.2">
      <c r="A4" s="33" t="s">
        <v>718</v>
      </c>
      <c r="B4" s="33" t="s">
        <v>785</v>
      </c>
      <c r="C4" s="33" t="s">
        <v>786</v>
      </c>
      <c r="E4" s="33" t="s">
        <v>787</v>
      </c>
      <c r="F4" s="33" t="s">
        <v>788</v>
      </c>
    </row>
    <row r="5" spans="1:16" ht="15" x14ac:dyDescent="0.2">
      <c r="A5" s="34" t="s">
        <v>724</v>
      </c>
      <c r="B5" s="35" t="s">
        <v>725</v>
      </c>
      <c r="C5" s="36">
        <v>1</v>
      </c>
      <c r="E5" s="34" t="s">
        <v>789</v>
      </c>
      <c r="F5" s="37" t="s">
        <v>790</v>
      </c>
    </row>
    <row r="6" spans="1:16" ht="15" x14ac:dyDescent="0.2">
      <c r="A6" s="38" t="s">
        <v>731</v>
      </c>
      <c r="B6" s="39" t="s">
        <v>732</v>
      </c>
      <c r="C6" s="40">
        <v>0</v>
      </c>
      <c r="E6" s="41" t="s">
        <v>791</v>
      </c>
      <c r="F6" s="42" t="s">
        <v>792</v>
      </c>
    </row>
    <row r="7" spans="1:16" ht="15" x14ac:dyDescent="0.2">
      <c r="A7" s="41" t="s">
        <v>736</v>
      </c>
      <c r="B7" s="43" t="s">
        <v>737</v>
      </c>
      <c r="C7" s="44">
        <v>0</v>
      </c>
    </row>
    <row r="8" spans="1:16" ht="14" customHeight="1" x14ac:dyDescent="0.2">
      <c r="A8" t="s">
        <v>741</v>
      </c>
      <c r="B8" t="s">
        <v>742</v>
      </c>
      <c r="C8" s="44">
        <v>0</v>
      </c>
      <c r="E8" s="45" t="s">
        <v>793</v>
      </c>
      <c r="F8" s="3" t="s">
        <v>794</v>
      </c>
      <c r="G8" s="3"/>
      <c r="H8" s="3"/>
      <c r="I8" s="3"/>
      <c r="J8" s="3"/>
      <c r="K8" s="3"/>
    </row>
    <row r="9" spans="1:16" ht="15" x14ac:dyDescent="0.15">
      <c r="E9" s="46"/>
      <c r="F9" s="3"/>
      <c r="G9" s="3"/>
      <c r="H9" s="3"/>
      <c r="I9" s="3"/>
      <c r="J9" s="3"/>
      <c r="K9" s="3"/>
    </row>
    <row r="13" spans="1:16" ht="14" customHeight="1" x14ac:dyDescent="0.2">
      <c r="A13" s="29" t="s">
        <v>0</v>
      </c>
      <c r="B13" s="29" t="s">
        <v>2</v>
      </c>
      <c r="C13" s="29" t="s">
        <v>795</v>
      </c>
      <c r="D13" s="29" t="s">
        <v>796</v>
      </c>
      <c r="E13" s="29" t="s">
        <v>797</v>
      </c>
      <c r="F13" s="29" t="s">
        <v>798</v>
      </c>
      <c r="G13" s="29" t="s">
        <v>799</v>
      </c>
      <c r="H13" s="29" t="s">
        <v>756</v>
      </c>
      <c r="I13" s="29" t="s">
        <v>800</v>
      </c>
      <c r="J13" s="29" t="s">
        <v>801</v>
      </c>
      <c r="K13" s="29" t="s">
        <v>802</v>
      </c>
      <c r="L13" s="47" t="s">
        <v>803</v>
      </c>
      <c r="M13" s="47" t="s">
        <v>804</v>
      </c>
      <c r="N13" s="47" t="s">
        <v>805</v>
      </c>
      <c r="O13" s="47" t="s">
        <v>806</v>
      </c>
      <c r="P13" s="47" t="s">
        <v>807</v>
      </c>
    </row>
    <row r="14" spans="1:16" ht="14" customHeight="1" x14ac:dyDescent="0.2">
      <c r="A14" s="29" t="s">
        <v>30</v>
      </c>
      <c r="B14" s="48" t="str">
        <f>IFERROR(VLOOKUP($A14,Parts!$A$2:$M$200,3,FALSE()),"")</f>
        <v>PinSocket 1x4, 2.54 mm</v>
      </c>
      <c r="C14" s="29" t="str">
        <f>IFERROR(VLOOKUP($A14,Stock!$A$5:$I$200,8,FALSE()),"")</f>
        <v>Reichelt</v>
      </c>
      <c r="D14" s="29" t="str">
        <f>IFERROR(VLOOKUP($A14,Stock!$A$5:$I$200,9,FALSE()),"")</f>
        <v>BKL 10120946</v>
      </c>
      <c r="E14" s="31">
        <f>SUMIFS(Kit_BOM!$F$2:$F$204,Kit_BOM!$E$2:$E$204,$A14,Kit_BOM!$A$2:$A$204,$A$5,Kit_BOM!$G$2:$G$204,"Bestücken")*$C$5+SUMIFS(Kit_BOM!$F$2:$F$204,Kit_BOM!$E$2:$E$204,$A14,Kit_BOM!$A$2:$A$204,$A$5,Kit_BOM!$G$2:$G$204,"Mechanical")*$C$5+IF($F$5="Ja",SUMIFS(Kit_BOM!$F$2:$F$204,Kit_BOM!$E$2:$E$204,$A14,Kit_BOM!$A$2:$A$204,$A$5,Kit_BOM!$G$2:$G$204,"Optional")*$C$5,0)+IF($F$6="Ja",SUMIFS(Kit_BOM!$F$2:$F$204,Kit_BOM!$E$2:$E$204,$A14,Kit_BOM!$A$2:$A$204,$A$5,Kit_BOM!$G$2:$G$204,"DNP")*$C$5,0)+SUMIFS(Kit_BOM!$F$2:$F$204,Kit_BOM!$E$2:$E$204,$A14,Kit_BOM!$A$2:$A$204,$A$6,Kit_BOM!$G$2:$G$204,"Bestücken")*$C$6+SUMIFS(Kit_BOM!$F$2:$F$204,Kit_BOM!$E$2:$E$204,$A14,Kit_BOM!$A$2:$A$204,$A$6,Kit_BOM!$G$2:$G$204,"Mechanical")*$C$6+IF($F$5="Ja",SUMIFS(Kit_BOM!$F$2:$F$204,Kit_BOM!$E$2:$E$204,$A14,Kit_BOM!$A$2:$A$204,$A$6,Kit_BOM!$G$2:$G$204,"Optional")*$C$6,0)+IF($F$6="Ja",SUMIFS(Kit_BOM!$F$2:$F$204,Kit_BOM!$E$2:$E$204,$A14,Kit_BOM!$A$2:$A$204,$A$6,Kit_BOM!$G$2:$G$204,"DNP")*$C$6,0)+SUMIFS(Kit_BOM!$F$2:$F$204,Kit_BOM!$E$2:$E$204,$A14,Kit_BOM!$A$2:$A$204,$A$7,Kit_BOM!$G$2:$G$204,"Bestücken")*$C$7+SUMIFS(Kit_BOM!$F$2:$F$204,Kit_BOM!$E$2:$E$204,$A14,Kit_BOM!$A$2:$A$204,$A$7,Kit_BOM!$G$2:$G$204,"Mechanical")*$C$7+IF($F$5="Ja",SUMIFS(Kit_BOM!$F$2:$F$204,Kit_BOM!$E$2:$E$204,$A14,Kit_BOM!$A$2:$A$204,$A$7,Kit_BOM!$G$2:$G$204,"Optional")*$C$7,0)+IF($F$6="Ja",SUMIFS(Kit_BOM!$F$2:$F$204,Kit_BOM!$E$2:$E$204,$A14,Kit_BOM!$A$2:$A$204,$A$7,Kit_BOM!$G$2:$G$204,"DNP")*$C$7,0)+SUMIFS(Kit_BOM!$F$2:$F$204,Kit_BOM!$E$2:$E$204,$A14,Kit_BOM!$A$2:$A$204,$A$8,Kit_BOM!$G$2:$G$204,"Bestücken")*$C$8+SUMIFS(Kit_BOM!$F$2:$F$204,Kit_BOM!$E$2:$E$204,$A14,Kit_BOM!$A$2:$A$204,$A$8,Kit_BOM!$G$2:$G$204,"Mechanical")*$C$8+IF($F$5="Ja",SUMIFS(Kit_BOM!$F$2:$F$204,Kit_BOM!$E$2:$E$204,$A14,Kit_BOM!$A$2:$A$204,$A$8,Kit_BOM!$G$2:$G$204,"Optional")*$C$8,0)+IF($F$6="Ja",SUMIFS(Kit_BOM!$F$2:$F$204,Kit_BOM!$E$2:$E$204,$A14,Kit_BOM!$A$2:$A$204,$A$8,Kit_BOM!$G$2:$G$204,"DNP")*$C$8,0)</f>
        <v>0</v>
      </c>
      <c r="F14" s="31" t="str">
        <f>IFERROR(IF(INDEX(Part_Suppliers!$G$2:$G$300,MATCH($A14&amp;"|"&amp;$C14,Part_Suppliers!$K$2:$K$300,0))=0,"",INDEX(Part_Suppliers!$G$2:$G$300,MATCH($A14&amp;"|"&amp;$C14,Part_Suppliers!$K$2:$K$300,0))),"")</f>
        <v/>
      </c>
      <c r="G14" s="31">
        <f t="shared" ref="G14:G45" si="0">IF($E14=0,0,IF(OR($F14="",$F14=0),$E14,CEILING($E14,$F14)))</f>
        <v>0</v>
      </c>
      <c r="H14" s="49">
        <f>SUMIFS(Part_Suppliers!$E$2:$E$300,Part_Suppliers!$A$2:$A$300,$A14,Part_Suppliers!$B$2:$B$300,$C14)</f>
        <v>0.81</v>
      </c>
      <c r="I14" s="49">
        <f t="shared" ref="I14:I45" si="1">$G14*$H14</f>
        <v>0</v>
      </c>
      <c r="J14" t="str">
        <f t="shared" ref="J14:J45" si="2">IF($E14=0,"Nicht benötigt",IF(LOWER($C14)&lt;&gt;"reichelt","Anderer Lieferant",IF($D14="","Supplier-PN fehlt","Reichelt bereit")))</f>
        <v>Nicht benötigt</v>
      </c>
      <c r="K14" s="29" t="str">
        <f>IFERROR(IF(INDEX(Part_Suppliers!$D$2:$D$300,MATCH($A14&amp;"|"&amp;$C14,Part_Suppliers!$K$2:$K$300,0))=0,"",INDEX(Part_Suppliers!$D$2:$D$300,MATCH($A14&amp;"|"&amp;$C14,Part_Suppliers!$K$2:$K$300,0))),"")</f>
        <v>https://www.reichelt.de/de/de/shop/produkt/buchsenleiste_2_54mm_1x4_gerade-266671</v>
      </c>
      <c r="L14" s="31">
        <f>IFERROR(VLOOKUP($A14,Stock!$A$5:$K$200,10,FALSE()),0)</f>
        <v>4</v>
      </c>
      <c r="M14" s="31">
        <f>IFERROR(VLOOKUP($A14,Stock!$A$5:$K$200,11,FALSE()),0)</f>
        <v>0</v>
      </c>
      <c r="N14" s="31">
        <f t="shared" ref="N14:N45" si="3">$L14+$M14-$E14</f>
        <v>4</v>
      </c>
      <c r="O14" s="31">
        <f t="shared" ref="O14:O45" si="4">IF($N14&gt;=0,0,IF(OR($F14="",$F14=0),-$N14,CEILING(-$N14,$F14)))</f>
        <v>0</v>
      </c>
      <c r="P14" s="50">
        <v>0</v>
      </c>
    </row>
    <row r="15" spans="1:16" ht="14" customHeight="1" x14ac:dyDescent="0.2">
      <c r="A15" s="29" t="s">
        <v>46</v>
      </c>
      <c r="B15" s="48" t="str">
        <f>IFERROR(VLOOKUP($A15,Parts!$A$2:$M$200,3,FALSE()),"")</f>
        <v>4.7 kOhm 1% SMD 1206</v>
      </c>
      <c r="C15" s="29" t="str">
        <f>IFERROR(VLOOKUP($A15,Stock!$A$5:$I$200,8,FALSE()),"")</f>
        <v>Reichelt</v>
      </c>
      <c r="D15" s="29" t="str">
        <f>IFERROR(VLOOKUP($A15,Stock!$A$5:$I$200,9,FALSE()),"")</f>
        <v>VIS CRCW12064K7</v>
      </c>
      <c r="E15" s="31">
        <f>SUMIFS(Kit_BOM!$F$2:$F$204,Kit_BOM!$E$2:$E$204,$A15,Kit_BOM!$A$2:$A$204,$A$5,Kit_BOM!$G$2:$G$204,"Bestücken")*$C$5+SUMIFS(Kit_BOM!$F$2:$F$204,Kit_BOM!$E$2:$E$204,$A15,Kit_BOM!$A$2:$A$204,$A$5,Kit_BOM!$G$2:$G$204,"Mechanical")*$C$5+IF($F$5="Ja",SUMIFS(Kit_BOM!$F$2:$F$204,Kit_BOM!$E$2:$E$204,$A15,Kit_BOM!$A$2:$A$204,$A$5,Kit_BOM!$G$2:$G$204,"Optional")*$C$5,0)+IF($F$6="Ja",SUMIFS(Kit_BOM!$F$2:$F$204,Kit_BOM!$E$2:$E$204,$A15,Kit_BOM!$A$2:$A$204,$A$5,Kit_BOM!$G$2:$G$204,"DNP")*$C$5,0)+SUMIFS(Kit_BOM!$F$2:$F$204,Kit_BOM!$E$2:$E$204,$A15,Kit_BOM!$A$2:$A$204,$A$6,Kit_BOM!$G$2:$G$204,"Bestücken")*$C$6+SUMIFS(Kit_BOM!$F$2:$F$204,Kit_BOM!$E$2:$E$204,$A15,Kit_BOM!$A$2:$A$204,$A$6,Kit_BOM!$G$2:$G$204,"Mechanical")*$C$6+IF($F$5="Ja",SUMIFS(Kit_BOM!$F$2:$F$204,Kit_BOM!$E$2:$E$204,$A15,Kit_BOM!$A$2:$A$204,$A$6,Kit_BOM!$G$2:$G$204,"Optional")*$C$6,0)+IF($F$6="Ja",SUMIFS(Kit_BOM!$F$2:$F$204,Kit_BOM!$E$2:$E$204,$A15,Kit_BOM!$A$2:$A$204,$A$6,Kit_BOM!$G$2:$G$204,"DNP")*$C$6,0)+SUMIFS(Kit_BOM!$F$2:$F$204,Kit_BOM!$E$2:$E$204,$A15,Kit_BOM!$A$2:$A$204,$A$7,Kit_BOM!$G$2:$G$204,"Bestücken")*$C$7+SUMIFS(Kit_BOM!$F$2:$F$204,Kit_BOM!$E$2:$E$204,$A15,Kit_BOM!$A$2:$A$204,$A$7,Kit_BOM!$G$2:$G$204,"Mechanical")*$C$7+IF($F$5="Ja",SUMIFS(Kit_BOM!$F$2:$F$204,Kit_BOM!$E$2:$E$204,$A15,Kit_BOM!$A$2:$A$204,$A$7,Kit_BOM!$G$2:$G$204,"Optional")*$C$7,0)+IF($F$6="Ja",SUMIFS(Kit_BOM!$F$2:$F$204,Kit_BOM!$E$2:$E$204,$A15,Kit_BOM!$A$2:$A$204,$A$7,Kit_BOM!$G$2:$G$204,"DNP")*$C$7,0)+SUMIFS(Kit_BOM!$F$2:$F$204,Kit_BOM!$E$2:$E$204,$A15,Kit_BOM!$A$2:$A$204,$A$8,Kit_BOM!$G$2:$G$204,"Bestücken")*$C$8+SUMIFS(Kit_BOM!$F$2:$F$204,Kit_BOM!$E$2:$E$204,$A15,Kit_BOM!$A$2:$A$204,$A$8,Kit_BOM!$G$2:$G$204,"Mechanical")*$C$8+IF($F$5="Ja",SUMIFS(Kit_BOM!$F$2:$F$204,Kit_BOM!$E$2:$E$204,$A15,Kit_BOM!$A$2:$A$204,$A$8,Kit_BOM!$G$2:$G$204,"Optional")*$C$8,0)+IF($F$6="Ja",SUMIFS(Kit_BOM!$F$2:$F$204,Kit_BOM!$E$2:$E$204,$A15,Kit_BOM!$A$2:$A$204,$A$8,Kit_BOM!$G$2:$G$204,"DNP")*$C$8,0)</f>
        <v>4</v>
      </c>
      <c r="F15" s="31" t="str">
        <f>IFERROR(IF(INDEX(Part_Suppliers!$G$2:$G$300,MATCH($A15&amp;"|"&amp;$C15,Part_Suppliers!$K$2:$K$300,0))=0,"",INDEX(Part_Suppliers!$G$2:$G$300,MATCH($A15&amp;"|"&amp;$C15,Part_Suppliers!$K$2:$K$300,0))),"")</f>
        <v/>
      </c>
      <c r="G15" s="31">
        <f t="shared" si="0"/>
        <v>4</v>
      </c>
      <c r="H15" s="49">
        <f>SUMIFS(Part_Suppliers!$E$2:$E$300,Part_Suppliers!$A$2:$A$300,$A15,Part_Suppliers!$B$2:$B$300,$C15)</f>
        <v>0.15</v>
      </c>
      <c r="I15" s="49">
        <f t="shared" si="1"/>
        <v>0.6</v>
      </c>
      <c r="J15" t="str">
        <f t="shared" si="2"/>
        <v>Reichelt bereit</v>
      </c>
      <c r="K15" s="29" t="str">
        <f>IFERROR(IF(INDEX(Part_Suppliers!$D$2:$D$300,MATCH($A15&amp;"|"&amp;$C15,Part_Suppliers!$K$2:$K$300,0))=0,"",INDEX(Part_Suppliers!$D$2:$D$300,MATCH($A15&amp;"|"&amp;$C15,Part_Suppliers!$K$2:$K$300,0))),"")</f>
        <v>https://www.reichelt.de/de/de/shop/produkt/smd-widerstand_1206_4_7_kohm_250_mw_1_-238119</v>
      </c>
      <c r="L15" s="31">
        <f>IFERROR(VLOOKUP($A15,Stock!$A$5:$K$200,10,FALSE()),0)</f>
        <v>12</v>
      </c>
      <c r="M15" s="31">
        <f>IFERROR(VLOOKUP($A15,Stock!$A$5:$K$200,11,FALSE()),0)</f>
        <v>0</v>
      </c>
      <c r="N15" s="31">
        <f t="shared" si="3"/>
        <v>8</v>
      </c>
      <c r="O15" s="31">
        <f t="shared" si="4"/>
        <v>0</v>
      </c>
      <c r="P15" s="50">
        <v>0</v>
      </c>
    </row>
    <row r="16" spans="1:16" ht="14" customHeight="1" x14ac:dyDescent="0.2">
      <c r="A16" s="29" t="s">
        <v>56</v>
      </c>
      <c r="B16" s="48" t="str">
        <f>IFERROR(VLOOKUP($A16,Parts!$A$2:$M$200,3,FALSE()),"")</f>
        <v>100 nF Keramik SMD</v>
      </c>
      <c r="C16" s="29" t="str">
        <f>IFERROR(VLOOKUP($A16,Stock!$A$5:$I$200,8,FALSE()),"")</f>
        <v>Reichelt</v>
      </c>
      <c r="D16" s="29" t="str">
        <f>IFERROR(VLOOKUP($A16,Stock!$A$5:$I$200,9,FALSE()),"")</f>
        <v>KEM X7R1206A100N</v>
      </c>
      <c r="E16" s="31">
        <f>SUMIFS(Kit_BOM!$F$2:$F$204,Kit_BOM!$E$2:$E$204,$A16,Kit_BOM!$A$2:$A$204,$A$5,Kit_BOM!$G$2:$G$204,"Bestücken")*$C$5+SUMIFS(Kit_BOM!$F$2:$F$204,Kit_BOM!$E$2:$E$204,$A16,Kit_BOM!$A$2:$A$204,$A$5,Kit_BOM!$G$2:$G$204,"Mechanical")*$C$5+IF($F$5="Ja",SUMIFS(Kit_BOM!$F$2:$F$204,Kit_BOM!$E$2:$E$204,$A16,Kit_BOM!$A$2:$A$204,$A$5,Kit_BOM!$G$2:$G$204,"Optional")*$C$5,0)+IF($F$6="Ja",SUMIFS(Kit_BOM!$F$2:$F$204,Kit_BOM!$E$2:$E$204,$A16,Kit_BOM!$A$2:$A$204,$A$5,Kit_BOM!$G$2:$G$204,"DNP")*$C$5,0)+SUMIFS(Kit_BOM!$F$2:$F$204,Kit_BOM!$E$2:$E$204,$A16,Kit_BOM!$A$2:$A$204,$A$6,Kit_BOM!$G$2:$G$204,"Bestücken")*$C$6+SUMIFS(Kit_BOM!$F$2:$F$204,Kit_BOM!$E$2:$E$204,$A16,Kit_BOM!$A$2:$A$204,$A$6,Kit_BOM!$G$2:$G$204,"Mechanical")*$C$6+IF($F$5="Ja",SUMIFS(Kit_BOM!$F$2:$F$204,Kit_BOM!$E$2:$E$204,$A16,Kit_BOM!$A$2:$A$204,$A$6,Kit_BOM!$G$2:$G$204,"Optional")*$C$6,0)+IF($F$6="Ja",SUMIFS(Kit_BOM!$F$2:$F$204,Kit_BOM!$E$2:$E$204,$A16,Kit_BOM!$A$2:$A$204,$A$6,Kit_BOM!$G$2:$G$204,"DNP")*$C$6,0)+SUMIFS(Kit_BOM!$F$2:$F$204,Kit_BOM!$E$2:$E$204,$A16,Kit_BOM!$A$2:$A$204,$A$7,Kit_BOM!$G$2:$G$204,"Bestücken")*$C$7+SUMIFS(Kit_BOM!$F$2:$F$204,Kit_BOM!$E$2:$E$204,$A16,Kit_BOM!$A$2:$A$204,$A$7,Kit_BOM!$G$2:$G$204,"Mechanical")*$C$7+IF($F$5="Ja",SUMIFS(Kit_BOM!$F$2:$F$204,Kit_BOM!$E$2:$E$204,$A16,Kit_BOM!$A$2:$A$204,$A$7,Kit_BOM!$G$2:$G$204,"Optional")*$C$7,0)+IF($F$6="Ja",SUMIFS(Kit_BOM!$F$2:$F$204,Kit_BOM!$E$2:$E$204,$A16,Kit_BOM!$A$2:$A$204,$A$7,Kit_BOM!$G$2:$G$204,"DNP")*$C$7,0)+SUMIFS(Kit_BOM!$F$2:$F$204,Kit_BOM!$E$2:$E$204,$A16,Kit_BOM!$A$2:$A$204,$A$8,Kit_BOM!$G$2:$G$204,"Bestücken")*$C$8+SUMIFS(Kit_BOM!$F$2:$F$204,Kit_BOM!$E$2:$E$204,$A16,Kit_BOM!$A$2:$A$204,$A$8,Kit_BOM!$G$2:$G$204,"Mechanical")*$C$8+IF($F$5="Ja",SUMIFS(Kit_BOM!$F$2:$F$204,Kit_BOM!$E$2:$E$204,$A16,Kit_BOM!$A$2:$A$204,$A$8,Kit_BOM!$G$2:$G$204,"Optional")*$C$8,0)+IF($F$6="Ja",SUMIFS(Kit_BOM!$F$2:$F$204,Kit_BOM!$E$2:$E$204,$A16,Kit_BOM!$A$2:$A$204,$A$8,Kit_BOM!$G$2:$G$204,"DNP")*$C$8,0)</f>
        <v>3</v>
      </c>
      <c r="F16" s="31">
        <f>IFERROR(IF(INDEX(Part_Suppliers!$G$2:$G$300,MATCH($A16&amp;"|"&amp;$C16,Part_Suppliers!$K$2:$K$300,0))=0,"",INDEX(Part_Suppliers!$G$2:$G$300,MATCH($A16&amp;"|"&amp;$C16,Part_Suppliers!$K$2:$K$300,0))),"")</f>
        <v>10</v>
      </c>
      <c r="G16" s="31">
        <f t="shared" si="0"/>
        <v>10</v>
      </c>
      <c r="H16" s="49">
        <f>SUMIFS(Part_Suppliers!$E$2:$E$300,Part_Suppliers!$A$2:$A$300,$A16,Part_Suppliers!$B$2:$B$300,$C16)</f>
        <v>0.24</v>
      </c>
      <c r="I16" s="49">
        <f t="shared" si="1"/>
        <v>2.4</v>
      </c>
      <c r="J16" t="str">
        <f t="shared" si="2"/>
        <v>Reichelt bereit</v>
      </c>
      <c r="K16" s="29" t="str">
        <f>IFERROR(IF(INDEX(Part_Suppliers!$D$2:$D$300,MATCH($A16&amp;"|"&amp;$C16,Part_Suppliers!$K$2:$K$300,0))=0,"",INDEX(Part_Suppliers!$D$2:$D$300,MATCH($A16&amp;"|"&amp;$C16,Part_Suppliers!$K$2:$K$300,0))),"")</f>
        <v>https://www.reichelt.de/de/de/shop/produkt/vielschicht_kerko_1206_100_nf_10_x7r_100_v_125_c-207151</v>
      </c>
      <c r="L16" s="31">
        <f>IFERROR(VLOOKUP($A16,Stock!$A$5:$K$200,10,FALSE()),0)</f>
        <v>0</v>
      </c>
      <c r="M16" s="31">
        <f>IFERROR(VLOOKUP($A16,Stock!$A$5:$K$200,11,FALSE()),0)</f>
        <v>10</v>
      </c>
      <c r="N16" s="31">
        <f t="shared" si="3"/>
        <v>7</v>
      </c>
      <c r="O16" s="31">
        <f t="shared" si="4"/>
        <v>0</v>
      </c>
      <c r="P16" s="50">
        <v>0</v>
      </c>
    </row>
    <row r="17" spans="1:16" ht="14" customHeight="1" x14ac:dyDescent="0.2">
      <c r="A17" s="29" t="s">
        <v>66</v>
      </c>
      <c r="B17" s="48" t="str">
        <f>IFERROR(VLOOKUP($A17,Parts!$A$2:$M$200,3,FALSE()),"")</f>
        <v>10 uF Keramik SMD</v>
      </c>
      <c r="C17" s="29" t="str">
        <f>IFERROR(VLOOKUP($A17,Stock!$A$5:$I$200,8,FALSE()),"")</f>
        <v>Reichelt</v>
      </c>
      <c r="D17" s="29" t="str">
        <f>IFERROR(VLOOKUP($A17,Stock!$A$5:$I$200,9,FALSE()),"")</f>
        <v>12063C106KAT2A</v>
      </c>
      <c r="E17" s="31">
        <f>SUMIFS(Kit_BOM!$F$2:$F$204,Kit_BOM!$E$2:$E$204,$A17,Kit_BOM!$A$2:$A$204,$A$5,Kit_BOM!$G$2:$G$204,"Bestücken")*$C$5+SUMIFS(Kit_BOM!$F$2:$F$204,Kit_BOM!$E$2:$E$204,$A17,Kit_BOM!$A$2:$A$204,$A$5,Kit_BOM!$G$2:$G$204,"Mechanical")*$C$5+IF($F$5="Ja",SUMIFS(Kit_BOM!$F$2:$F$204,Kit_BOM!$E$2:$E$204,$A17,Kit_BOM!$A$2:$A$204,$A$5,Kit_BOM!$G$2:$G$204,"Optional")*$C$5,0)+IF($F$6="Ja",SUMIFS(Kit_BOM!$F$2:$F$204,Kit_BOM!$E$2:$E$204,$A17,Kit_BOM!$A$2:$A$204,$A$5,Kit_BOM!$G$2:$G$204,"DNP")*$C$5,0)+SUMIFS(Kit_BOM!$F$2:$F$204,Kit_BOM!$E$2:$E$204,$A17,Kit_BOM!$A$2:$A$204,$A$6,Kit_BOM!$G$2:$G$204,"Bestücken")*$C$6+SUMIFS(Kit_BOM!$F$2:$F$204,Kit_BOM!$E$2:$E$204,$A17,Kit_BOM!$A$2:$A$204,$A$6,Kit_BOM!$G$2:$G$204,"Mechanical")*$C$6+IF($F$5="Ja",SUMIFS(Kit_BOM!$F$2:$F$204,Kit_BOM!$E$2:$E$204,$A17,Kit_BOM!$A$2:$A$204,$A$6,Kit_BOM!$G$2:$G$204,"Optional")*$C$6,0)+IF($F$6="Ja",SUMIFS(Kit_BOM!$F$2:$F$204,Kit_BOM!$E$2:$E$204,$A17,Kit_BOM!$A$2:$A$204,$A$6,Kit_BOM!$G$2:$G$204,"DNP")*$C$6,0)+SUMIFS(Kit_BOM!$F$2:$F$204,Kit_BOM!$E$2:$E$204,$A17,Kit_BOM!$A$2:$A$204,$A$7,Kit_BOM!$G$2:$G$204,"Bestücken")*$C$7+SUMIFS(Kit_BOM!$F$2:$F$204,Kit_BOM!$E$2:$E$204,$A17,Kit_BOM!$A$2:$A$204,$A$7,Kit_BOM!$G$2:$G$204,"Mechanical")*$C$7+IF($F$5="Ja",SUMIFS(Kit_BOM!$F$2:$F$204,Kit_BOM!$E$2:$E$204,$A17,Kit_BOM!$A$2:$A$204,$A$7,Kit_BOM!$G$2:$G$204,"Optional")*$C$7,0)+IF($F$6="Ja",SUMIFS(Kit_BOM!$F$2:$F$204,Kit_BOM!$E$2:$E$204,$A17,Kit_BOM!$A$2:$A$204,$A$7,Kit_BOM!$G$2:$G$204,"DNP")*$C$7,0)+SUMIFS(Kit_BOM!$F$2:$F$204,Kit_BOM!$E$2:$E$204,$A17,Kit_BOM!$A$2:$A$204,$A$8,Kit_BOM!$G$2:$G$204,"Bestücken")*$C$8+SUMIFS(Kit_BOM!$F$2:$F$204,Kit_BOM!$E$2:$E$204,$A17,Kit_BOM!$A$2:$A$204,$A$8,Kit_BOM!$G$2:$G$204,"Mechanical")*$C$8+IF($F$5="Ja",SUMIFS(Kit_BOM!$F$2:$F$204,Kit_BOM!$E$2:$E$204,$A17,Kit_BOM!$A$2:$A$204,$A$8,Kit_BOM!$G$2:$G$204,"Optional")*$C$8,0)+IF($F$6="Ja",SUMIFS(Kit_BOM!$F$2:$F$204,Kit_BOM!$E$2:$E$204,$A17,Kit_BOM!$A$2:$A$204,$A$8,Kit_BOM!$G$2:$G$204,"DNP")*$C$8,0)</f>
        <v>1</v>
      </c>
      <c r="F17" s="31">
        <f>IFERROR(IF(INDEX(Part_Suppliers!$G$2:$G$300,MATCH($A17&amp;"|"&amp;$C17,Part_Suppliers!$K$2:$K$300,0))=0,"",INDEX(Part_Suppliers!$G$2:$G$300,MATCH($A17&amp;"|"&amp;$C17,Part_Suppliers!$K$2:$K$300,0))),"")</f>
        <v>10</v>
      </c>
      <c r="G17" s="31">
        <f t="shared" si="0"/>
        <v>10</v>
      </c>
      <c r="H17" s="49">
        <f>SUMIFS(Part_Suppliers!$E$2:$E$300,Part_Suppliers!$A$2:$A$300,$A17,Part_Suppliers!$B$2:$B$300,$C17)</f>
        <v>0.11</v>
      </c>
      <c r="I17" s="49">
        <f t="shared" si="1"/>
        <v>1.1000000000000001</v>
      </c>
      <c r="J17" t="str">
        <f t="shared" si="2"/>
        <v>Reichelt bereit</v>
      </c>
      <c r="K17" s="29" t="str">
        <f>IFERROR(IF(INDEX(Part_Suppliers!$D$2:$D$300,MATCH($A17&amp;"|"&amp;$C17,Part_Suppliers!$K$2:$K$300,0))=0,"",INDEX(Part_Suppliers!$D$2:$D$300,MATCH($A17&amp;"|"&amp;$C17,Part_Suppliers!$K$2:$K$300,0))),"")</f>
        <v>https://www.reichelt.de/de/de/shop/produkt/mlcc_1206_10_f_25_v_-10_x7r-409262</v>
      </c>
      <c r="L17" s="31">
        <f>IFERROR(VLOOKUP($A17,Stock!$A$5:$K$200,10,FALSE()),0)</f>
        <v>0</v>
      </c>
      <c r="M17" s="31">
        <f>IFERROR(VLOOKUP($A17,Stock!$A$5:$K$200,11,FALSE()),0)</f>
        <v>10</v>
      </c>
      <c r="N17" s="31">
        <f t="shared" si="3"/>
        <v>9</v>
      </c>
      <c r="O17" s="31">
        <f t="shared" si="4"/>
        <v>0</v>
      </c>
      <c r="P17" s="50">
        <v>0</v>
      </c>
    </row>
    <row r="18" spans="1:16" ht="14" customHeight="1" x14ac:dyDescent="0.2">
      <c r="A18" s="29" t="s">
        <v>74</v>
      </c>
      <c r="B18" s="48" t="str">
        <f>IFERROR(VLOOKUP($A18,Parts!$A$2:$M$200,3,FALSE()),"")</f>
        <v>47 uF 10V Tantal</v>
      </c>
      <c r="C18" s="29" t="str">
        <f>IFERROR(VLOOKUP($A18,Stock!$A$5:$I$200,8,FALSE()),"")</f>
        <v>Reichelt</v>
      </c>
      <c r="D18" s="29" t="str">
        <f>IFERROR(VLOOKUP($A18,Stock!$A$5:$I$200,9,FALSE()),"")</f>
        <v>TAJ 3528 47/10</v>
      </c>
      <c r="E18" s="31">
        <f>SUMIFS(Kit_BOM!$F$2:$F$204,Kit_BOM!$E$2:$E$204,$A18,Kit_BOM!$A$2:$A$204,$A$5,Kit_BOM!$G$2:$G$204,"Bestücken")*$C$5+SUMIFS(Kit_BOM!$F$2:$F$204,Kit_BOM!$E$2:$E$204,$A18,Kit_BOM!$A$2:$A$204,$A$5,Kit_BOM!$G$2:$G$204,"Mechanical")*$C$5+IF($F$5="Ja",SUMIFS(Kit_BOM!$F$2:$F$204,Kit_BOM!$E$2:$E$204,$A18,Kit_BOM!$A$2:$A$204,$A$5,Kit_BOM!$G$2:$G$204,"Optional")*$C$5,0)+IF($F$6="Ja",SUMIFS(Kit_BOM!$F$2:$F$204,Kit_BOM!$E$2:$E$204,$A18,Kit_BOM!$A$2:$A$204,$A$5,Kit_BOM!$G$2:$G$204,"DNP")*$C$5,0)+SUMIFS(Kit_BOM!$F$2:$F$204,Kit_BOM!$E$2:$E$204,$A18,Kit_BOM!$A$2:$A$204,$A$6,Kit_BOM!$G$2:$G$204,"Bestücken")*$C$6+SUMIFS(Kit_BOM!$F$2:$F$204,Kit_BOM!$E$2:$E$204,$A18,Kit_BOM!$A$2:$A$204,$A$6,Kit_BOM!$G$2:$G$204,"Mechanical")*$C$6+IF($F$5="Ja",SUMIFS(Kit_BOM!$F$2:$F$204,Kit_BOM!$E$2:$E$204,$A18,Kit_BOM!$A$2:$A$204,$A$6,Kit_BOM!$G$2:$G$204,"Optional")*$C$6,0)+IF($F$6="Ja",SUMIFS(Kit_BOM!$F$2:$F$204,Kit_BOM!$E$2:$E$204,$A18,Kit_BOM!$A$2:$A$204,$A$6,Kit_BOM!$G$2:$G$204,"DNP")*$C$6,0)+SUMIFS(Kit_BOM!$F$2:$F$204,Kit_BOM!$E$2:$E$204,$A18,Kit_BOM!$A$2:$A$204,$A$7,Kit_BOM!$G$2:$G$204,"Bestücken")*$C$7+SUMIFS(Kit_BOM!$F$2:$F$204,Kit_BOM!$E$2:$E$204,$A18,Kit_BOM!$A$2:$A$204,$A$7,Kit_BOM!$G$2:$G$204,"Mechanical")*$C$7+IF($F$5="Ja",SUMIFS(Kit_BOM!$F$2:$F$204,Kit_BOM!$E$2:$E$204,$A18,Kit_BOM!$A$2:$A$204,$A$7,Kit_BOM!$G$2:$G$204,"Optional")*$C$7,0)+IF($F$6="Ja",SUMIFS(Kit_BOM!$F$2:$F$204,Kit_BOM!$E$2:$E$204,$A18,Kit_BOM!$A$2:$A$204,$A$7,Kit_BOM!$G$2:$G$204,"DNP")*$C$7,0)+SUMIFS(Kit_BOM!$F$2:$F$204,Kit_BOM!$E$2:$E$204,$A18,Kit_BOM!$A$2:$A$204,$A$8,Kit_BOM!$G$2:$G$204,"Bestücken")*$C$8+SUMIFS(Kit_BOM!$F$2:$F$204,Kit_BOM!$E$2:$E$204,$A18,Kit_BOM!$A$2:$A$204,$A$8,Kit_BOM!$G$2:$G$204,"Mechanical")*$C$8+IF($F$5="Ja",SUMIFS(Kit_BOM!$F$2:$F$204,Kit_BOM!$E$2:$E$204,$A18,Kit_BOM!$A$2:$A$204,$A$8,Kit_BOM!$G$2:$G$204,"Optional")*$C$8,0)+IF($F$6="Ja",SUMIFS(Kit_BOM!$F$2:$F$204,Kit_BOM!$E$2:$E$204,$A18,Kit_BOM!$A$2:$A$204,$A$8,Kit_BOM!$G$2:$G$204,"DNP")*$C$8,0)</f>
        <v>1</v>
      </c>
      <c r="F18" s="31" t="str">
        <f>IFERROR(IF(INDEX(Part_Suppliers!$G$2:$G$300,MATCH($A18&amp;"|"&amp;$C18,Part_Suppliers!$K$2:$K$300,0))=0,"",INDEX(Part_Suppliers!$G$2:$G$300,MATCH($A18&amp;"|"&amp;$C18,Part_Suppliers!$K$2:$K$300,0))),"")</f>
        <v/>
      </c>
      <c r="G18" s="31">
        <f t="shared" si="0"/>
        <v>1</v>
      </c>
      <c r="H18" s="49">
        <f>SUMIFS(Part_Suppliers!$E$2:$E$300,Part_Suppliers!$A$2:$A$300,$A18,Part_Suppliers!$B$2:$B$300,$C18)</f>
        <v>0.28999999999999998</v>
      </c>
      <c r="I18" s="49">
        <f t="shared" si="1"/>
        <v>0.28999999999999998</v>
      </c>
      <c r="J18" t="str">
        <f t="shared" si="2"/>
        <v>Reichelt bereit</v>
      </c>
      <c r="K18" s="29" t="str">
        <f>IFERROR(IF(INDEX(Part_Suppliers!$D$2:$D$300,MATCH($A18&amp;"|"&amp;$C18,Part_Suppliers!$K$2:$K$300,0))=0,"",INDEX(Part_Suppliers!$D$2:$D$300,MATCH($A18&amp;"|"&amp;$C18,Part_Suppliers!$K$2:$K$300,0))),"")</f>
        <v>https://www.reichelt.de/de/de/shop/produkt/smd-tantal_kondensator_47_f_10_v-167014</v>
      </c>
      <c r="L18" s="31">
        <f>IFERROR(VLOOKUP($A18,Stock!$A$5:$K$200,10,FALSE()),0)</f>
        <v>0</v>
      </c>
      <c r="M18" s="31">
        <f>IFERROR(VLOOKUP($A18,Stock!$A$5:$K$200,11,FALSE()),0)</f>
        <v>0</v>
      </c>
      <c r="N18" s="31">
        <f t="shared" si="3"/>
        <v>-1</v>
      </c>
      <c r="O18" s="31">
        <f t="shared" si="4"/>
        <v>1</v>
      </c>
      <c r="P18" s="50">
        <v>0</v>
      </c>
    </row>
    <row r="19" spans="1:16" ht="14" customHeight="1" x14ac:dyDescent="0.2">
      <c r="A19" s="29" t="s">
        <v>81</v>
      </c>
      <c r="B19" s="48" t="str">
        <f>IFERROR(VLOOKUP($A19,Parts!$A$2:$M$200,3,FALSE()),"")</f>
        <v>LDO 3.3V SOT-223</v>
      </c>
      <c r="C19" s="29" t="str">
        <f>IFERROR(VLOOKUP($A19,Stock!$A$5:$I$200,8,FALSE()),"")</f>
        <v>Reichelt</v>
      </c>
      <c r="D19" s="29" t="str">
        <f>IFERROR(VLOOKUP($A19,Stock!$A$5:$I$200,9,FALSE()),"")</f>
        <v>LM 3940 IMP-3</v>
      </c>
      <c r="E19" s="31">
        <f>SUMIFS(Kit_BOM!$F$2:$F$204,Kit_BOM!$E$2:$E$204,$A19,Kit_BOM!$A$2:$A$204,$A$5,Kit_BOM!$G$2:$G$204,"Bestücken")*$C$5+SUMIFS(Kit_BOM!$F$2:$F$204,Kit_BOM!$E$2:$E$204,$A19,Kit_BOM!$A$2:$A$204,$A$5,Kit_BOM!$G$2:$G$204,"Mechanical")*$C$5+IF($F$5="Ja",SUMIFS(Kit_BOM!$F$2:$F$204,Kit_BOM!$E$2:$E$204,$A19,Kit_BOM!$A$2:$A$204,$A$5,Kit_BOM!$G$2:$G$204,"Optional")*$C$5,0)+IF($F$6="Ja",SUMIFS(Kit_BOM!$F$2:$F$204,Kit_BOM!$E$2:$E$204,$A19,Kit_BOM!$A$2:$A$204,$A$5,Kit_BOM!$G$2:$G$204,"DNP")*$C$5,0)+SUMIFS(Kit_BOM!$F$2:$F$204,Kit_BOM!$E$2:$E$204,$A19,Kit_BOM!$A$2:$A$204,$A$6,Kit_BOM!$G$2:$G$204,"Bestücken")*$C$6+SUMIFS(Kit_BOM!$F$2:$F$204,Kit_BOM!$E$2:$E$204,$A19,Kit_BOM!$A$2:$A$204,$A$6,Kit_BOM!$G$2:$G$204,"Mechanical")*$C$6+IF($F$5="Ja",SUMIFS(Kit_BOM!$F$2:$F$204,Kit_BOM!$E$2:$E$204,$A19,Kit_BOM!$A$2:$A$204,$A$6,Kit_BOM!$G$2:$G$204,"Optional")*$C$6,0)+IF($F$6="Ja",SUMIFS(Kit_BOM!$F$2:$F$204,Kit_BOM!$E$2:$E$204,$A19,Kit_BOM!$A$2:$A$204,$A$6,Kit_BOM!$G$2:$G$204,"DNP")*$C$6,0)+SUMIFS(Kit_BOM!$F$2:$F$204,Kit_BOM!$E$2:$E$204,$A19,Kit_BOM!$A$2:$A$204,$A$7,Kit_BOM!$G$2:$G$204,"Bestücken")*$C$7+SUMIFS(Kit_BOM!$F$2:$F$204,Kit_BOM!$E$2:$E$204,$A19,Kit_BOM!$A$2:$A$204,$A$7,Kit_BOM!$G$2:$G$204,"Mechanical")*$C$7+IF($F$5="Ja",SUMIFS(Kit_BOM!$F$2:$F$204,Kit_BOM!$E$2:$E$204,$A19,Kit_BOM!$A$2:$A$204,$A$7,Kit_BOM!$G$2:$G$204,"Optional")*$C$7,0)+IF($F$6="Ja",SUMIFS(Kit_BOM!$F$2:$F$204,Kit_BOM!$E$2:$E$204,$A19,Kit_BOM!$A$2:$A$204,$A$7,Kit_BOM!$G$2:$G$204,"DNP")*$C$7,0)+SUMIFS(Kit_BOM!$F$2:$F$204,Kit_BOM!$E$2:$E$204,$A19,Kit_BOM!$A$2:$A$204,$A$8,Kit_BOM!$G$2:$G$204,"Bestücken")*$C$8+SUMIFS(Kit_BOM!$F$2:$F$204,Kit_BOM!$E$2:$E$204,$A19,Kit_BOM!$A$2:$A$204,$A$8,Kit_BOM!$G$2:$G$204,"Mechanical")*$C$8+IF($F$5="Ja",SUMIFS(Kit_BOM!$F$2:$F$204,Kit_BOM!$E$2:$E$204,$A19,Kit_BOM!$A$2:$A$204,$A$8,Kit_BOM!$G$2:$G$204,"Optional")*$C$8,0)+IF($F$6="Ja",SUMIFS(Kit_BOM!$F$2:$F$204,Kit_BOM!$E$2:$E$204,$A19,Kit_BOM!$A$2:$A$204,$A$8,Kit_BOM!$G$2:$G$204,"DNP")*$C$8,0)</f>
        <v>1</v>
      </c>
      <c r="F19" s="31">
        <f>IFERROR(IF(INDEX(Part_Suppliers!$G$2:$G$300,MATCH($A19&amp;"|"&amp;$C19,Part_Suppliers!$K$2:$K$300,0))=0,"",INDEX(Part_Suppliers!$G$2:$G$300,MATCH($A19&amp;"|"&amp;$C19,Part_Suppliers!$K$2:$K$300,0))),"")</f>
        <v>3</v>
      </c>
      <c r="G19" s="31">
        <f t="shared" si="0"/>
        <v>3</v>
      </c>
      <c r="H19" s="49">
        <f>SUMIFS(Part_Suppliers!$E$2:$E$300,Part_Suppliers!$A$2:$A$300,$A19,Part_Suppliers!$B$2:$B$300,$C19)</f>
        <v>1</v>
      </c>
      <c r="I19" s="49">
        <f t="shared" si="1"/>
        <v>3</v>
      </c>
      <c r="J19" t="str">
        <f t="shared" si="2"/>
        <v>Reichelt bereit</v>
      </c>
      <c r="K19" s="29" t="str">
        <f>IFERROR(IF(INDEX(Part_Suppliers!$D$2:$D$300,MATCH($A19&amp;"|"&amp;$C19,Part_Suppliers!$K$2:$K$300,0))=0,"",INDEX(Part_Suppliers!$D$2:$D$300,MATCH($A19&amp;"|"&amp;$C19,Part_Suppliers!$K$2:$K$300,0))),"")</f>
        <v>https://www.reichelt.de/de/de/shop/produkt/ldo-spannungsregler_fix_3_3_vout_1_a_sot-223-109407?search=LM3940%2520&amp;</v>
      </c>
      <c r="L19" s="31">
        <f>IFERROR(VLOOKUP($A19,Stock!$A$5:$K$200,10,FALSE()),0)</f>
        <v>0</v>
      </c>
      <c r="M19" s="31">
        <f>IFERROR(VLOOKUP($A19,Stock!$A$5:$K$200,11,FALSE()),0)</f>
        <v>3</v>
      </c>
      <c r="N19" s="31">
        <f t="shared" si="3"/>
        <v>2</v>
      </c>
      <c r="O19" s="31">
        <f t="shared" si="4"/>
        <v>0</v>
      </c>
      <c r="P19" s="50">
        <v>0</v>
      </c>
    </row>
    <row r="20" spans="1:16" ht="14" customHeight="1" x14ac:dyDescent="0.2">
      <c r="A20" s="29" t="s">
        <v>90</v>
      </c>
      <c r="B20" s="48" t="str">
        <f>IFERROR(VLOOKUP($A20,Parts!$A$2:$M$200,3,FALSE()),"")</f>
        <v>ESP32-DevKitC</v>
      </c>
      <c r="C20" s="29" t="str">
        <f>IFERROR(VLOOKUP($A20,Stock!$A$5:$I$200,8,FALSE()),"")</f>
        <v>Noch festlegen</v>
      </c>
      <c r="D20" s="29" t="str">
        <f>IFERROR(VLOOKUP($A20,Stock!$A$5:$I$200,9,FALSE()),"")</f>
        <v/>
      </c>
      <c r="E20" s="31">
        <f>SUMIFS(Kit_BOM!$F$2:$F$204,Kit_BOM!$E$2:$E$204,$A20,Kit_BOM!$A$2:$A$204,$A$5,Kit_BOM!$G$2:$G$204,"Bestücken")*$C$5+SUMIFS(Kit_BOM!$F$2:$F$204,Kit_BOM!$E$2:$E$204,$A20,Kit_BOM!$A$2:$A$204,$A$5,Kit_BOM!$G$2:$G$204,"Mechanical")*$C$5+IF($F$5="Ja",SUMIFS(Kit_BOM!$F$2:$F$204,Kit_BOM!$E$2:$E$204,$A20,Kit_BOM!$A$2:$A$204,$A$5,Kit_BOM!$G$2:$G$204,"Optional")*$C$5,0)+IF($F$6="Ja",SUMIFS(Kit_BOM!$F$2:$F$204,Kit_BOM!$E$2:$E$204,$A20,Kit_BOM!$A$2:$A$204,$A$5,Kit_BOM!$G$2:$G$204,"DNP")*$C$5,0)+SUMIFS(Kit_BOM!$F$2:$F$204,Kit_BOM!$E$2:$E$204,$A20,Kit_BOM!$A$2:$A$204,$A$6,Kit_BOM!$G$2:$G$204,"Bestücken")*$C$6+SUMIFS(Kit_BOM!$F$2:$F$204,Kit_BOM!$E$2:$E$204,$A20,Kit_BOM!$A$2:$A$204,$A$6,Kit_BOM!$G$2:$G$204,"Mechanical")*$C$6+IF($F$5="Ja",SUMIFS(Kit_BOM!$F$2:$F$204,Kit_BOM!$E$2:$E$204,$A20,Kit_BOM!$A$2:$A$204,$A$6,Kit_BOM!$G$2:$G$204,"Optional")*$C$6,0)+IF($F$6="Ja",SUMIFS(Kit_BOM!$F$2:$F$204,Kit_BOM!$E$2:$E$204,$A20,Kit_BOM!$A$2:$A$204,$A$6,Kit_BOM!$G$2:$G$204,"DNP")*$C$6,0)+SUMIFS(Kit_BOM!$F$2:$F$204,Kit_BOM!$E$2:$E$204,$A20,Kit_BOM!$A$2:$A$204,$A$7,Kit_BOM!$G$2:$G$204,"Bestücken")*$C$7+SUMIFS(Kit_BOM!$F$2:$F$204,Kit_BOM!$E$2:$E$204,$A20,Kit_BOM!$A$2:$A$204,$A$7,Kit_BOM!$G$2:$G$204,"Mechanical")*$C$7+IF($F$5="Ja",SUMIFS(Kit_BOM!$F$2:$F$204,Kit_BOM!$E$2:$E$204,$A20,Kit_BOM!$A$2:$A$204,$A$7,Kit_BOM!$G$2:$G$204,"Optional")*$C$7,0)+IF($F$6="Ja",SUMIFS(Kit_BOM!$F$2:$F$204,Kit_BOM!$E$2:$E$204,$A20,Kit_BOM!$A$2:$A$204,$A$7,Kit_BOM!$G$2:$G$204,"DNP")*$C$7,0)+SUMIFS(Kit_BOM!$F$2:$F$204,Kit_BOM!$E$2:$E$204,$A20,Kit_BOM!$A$2:$A$204,$A$8,Kit_BOM!$G$2:$G$204,"Bestücken")*$C$8+SUMIFS(Kit_BOM!$F$2:$F$204,Kit_BOM!$E$2:$E$204,$A20,Kit_BOM!$A$2:$A$204,$A$8,Kit_BOM!$G$2:$G$204,"Mechanical")*$C$8+IF($F$5="Ja",SUMIFS(Kit_BOM!$F$2:$F$204,Kit_BOM!$E$2:$E$204,$A20,Kit_BOM!$A$2:$A$204,$A$8,Kit_BOM!$G$2:$G$204,"Optional")*$C$8,0)+IF($F$6="Ja",SUMIFS(Kit_BOM!$F$2:$F$204,Kit_BOM!$E$2:$E$204,$A20,Kit_BOM!$A$2:$A$204,$A$8,Kit_BOM!$G$2:$G$204,"DNP")*$C$8,0)</f>
        <v>1</v>
      </c>
      <c r="F20" s="31">
        <f>IFERROR(IF(INDEX(Part_Suppliers!$G$2:$G$300,MATCH($A20&amp;"|"&amp;$C20,Part_Suppliers!$K$2:$K$300,0))=0,"",INDEX(Part_Suppliers!$G$2:$G$300,MATCH($A20&amp;"|"&amp;$C20,Part_Suppliers!$K$2:$K$300,0))),"")</f>
        <v>3</v>
      </c>
      <c r="G20" s="31">
        <f t="shared" si="0"/>
        <v>3</v>
      </c>
      <c r="H20" s="49">
        <f>SUMIFS(Part_Suppliers!$E$2:$E$300,Part_Suppliers!$A$2:$A$300,$A20,Part_Suppliers!$B$2:$B$300,$C20)</f>
        <v>5</v>
      </c>
      <c r="I20" s="49">
        <f t="shared" si="1"/>
        <v>15</v>
      </c>
      <c r="J20" t="str">
        <f t="shared" si="2"/>
        <v>Anderer Lieferant</v>
      </c>
      <c r="K20" s="29" t="str">
        <f>IFERROR(IF(INDEX(Part_Suppliers!$D$2:$D$300,MATCH($A20&amp;"|"&amp;$C20,Part_Suppliers!$K$2:$K$300,0))=0,"",INDEX(Part_Suppliers!$D$2:$D$300,MATCH($A20&amp;"|"&amp;$C20,Part_Suppliers!$K$2:$K$300,0))),"")</f>
        <v/>
      </c>
      <c r="L20" s="31">
        <f>IFERROR(VLOOKUP($A20,Stock!$A$5:$K$200,10,FALSE()),0)</f>
        <v>3</v>
      </c>
      <c r="M20" s="31">
        <f>IFERROR(VLOOKUP($A20,Stock!$A$5:$K$200,11,FALSE()),0)</f>
        <v>0</v>
      </c>
      <c r="N20" s="31">
        <f t="shared" si="3"/>
        <v>2</v>
      </c>
      <c r="O20" s="31">
        <f t="shared" si="4"/>
        <v>0</v>
      </c>
      <c r="P20" s="50">
        <v>0</v>
      </c>
    </row>
    <row r="21" spans="1:16" ht="14" customHeight="1" x14ac:dyDescent="0.2">
      <c r="A21" s="29" t="s">
        <v>106</v>
      </c>
      <c r="B21" s="48" t="str">
        <f>IFERROR(VLOOKUP($A21,Parts!$A$2:$M$200,3,FALSE()),"")</f>
        <v>JST - Stiftleiste, gerade, 1x2-polig - PH</v>
      </c>
      <c r="C21" s="29" t="str">
        <f>IFERROR(VLOOKUP($A21,Stock!$A$5:$I$200,8,FALSE()),"")</f>
        <v>Reichelt</v>
      </c>
      <c r="D21" s="29" t="str">
        <f>IFERROR(VLOOKUP($A21,Stock!$A$5:$I$200,9,FALSE()),"")</f>
        <v>JST PH2P ST</v>
      </c>
      <c r="E21" s="31">
        <f>SUMIFS(Kit_BOM!$F$2:$F$204,Kit_BOM!$E$2:$E$204,$A21,Kit_BOM!$A$2:$A$204,$A$5,Kit_BOM!$G$2:$G$204,"Bestücken")*$C$5+SUMIFS(Kit_BOM!$F$2:$F$204,Kit_BOM!$E$2:$E$204,$A21,Kit_BOM!$A$2:$A$204,$A$5,Kit_BOM!$G$2:$G$204,"Mechanical")*$C$5+IF($F$5="Ja",SUMIFS(Kit_BOM!$F$2:$F$204,Kit_BOM!$E$2:$E$204,$A21,Kit_BOM!$A$2:$A$204,$A$5,Kit_BOM!$G$2:$G$204,"Optional")*$C$5,0)+IF($F$6="Ja",SUMIFS(Kit_BOM!$F$2:$F$204,Kit_BOM!$E$2:$E$204,$A21,Kit_BOM!$A$2:$A$204,$A$5,Kit_BOM!$G$2:$G$204,"DNP")*$C$5,0)+SUMIFS(Kit_BOM!$F$2:$F$204,Kit_BOM!$E$2:$E$204,$A21,Kit_BOM!$A$2:$A$204,$A$6,Kit_BOM!$G$2:$G$204,"Bestücken")*$C$6+SUMIFS(Kit_BOM!$F$2:$F$204,Kit_BOM!$E$2:$E$204,$A21,Kit_BOM!$A$2:$A$204,$A$6,Kit_BOM!$G$2:$G$204,"Mechanical")*$C$6+IF($F$5="Ja",SUMIFS(Kit_BOM!$F$2:$F$204,Kit_BOM!$E$2:$E$204,$A21,Kit_BOM!$A$2:$A$204,$A$6,Kit_BOM!$G$2:$G$204,"Optional")*$C$6,0)+IF($F$6="Ja",SUMIFS(Kit_BOM!$F$2:$F$204,Kit_BOM!$E$2:$E$204,$A21,Kit_BOM!$A$2:$A$204,$A$6,Kit_BOM!$G$2:$G$204,"DNP")*$C$6,0)+SUMIFS(Kit_BOM!$F$2:$F$204,Kit_BOM!$E$2:$E$204,$A21,Kit_BOM!$A$2:$A$204,$A$7,Kit_BOM!$G$2:$G$204,"Bestücken")*$C$7+SUMIFS(Kit_BOM!$F$2:$F$204,Kit_BOM!$E$2:$E$204,$A21,Kit_BOM!$A$2:$A$204,$A$7,Kit_BOM!$G$2:$G$204,"Mechanical")*$C$7+IF($F$5="Ja",SUMIFS(Kit_BOM!$F$2:$F$204,Kit_BOM!$E$2:$E$204,$A21,Kit_BOM!$A$2:$A$204,$A$7,Kit_BOM!$G$2:$G$204,"Optional")*$C$7,0)+IF($F$6="Ja",SUMIFS(Kit_BOM!$F$2:$F$204,Kit_BOM!$E$2:$E$204,$A21,Kit_BOM!$A$2:$A$204,$A$7,Kit_BOM!$G$2:$G$204,"DNP")*$C$7,0)+SUMIFS(Kit_BOM!$F$2:$F$204,Kit_BOM!$E$2:$E$204,$A21,Kit_BOM!$A$2:$A$204,$A$8,Kit_BOM!$G$2:$G$204,"Bestücken")*$C$8+SUMIFS(Kit_BOM!$F$2:$F$204,Kit_BOM!$E$2:$E$204,$A21,Kit_BOM!$A$2:$A$204,$A$8,Kit_BOM!$G$2:$G$204,"Mechanical")*$C$8+IF($F$5="Ja",SUMIFS(Kit_BOM!$F$2:$F$204,Kit_BOM!$E$2:$E$204,$A21,Kit_BOM!$A$2:$A$204,$A$8,Kit_BOM!$G$2:$G$204,"Optional")*$C$8,0)+IF($F$6="Ja",SUMIFS(Kit_BOM!$F$2:$F$204,Kit_BOM!$E$2:$E$204,$A21,Kit_BOM!$A$2:$A$204,$A$8,Kit_BOM!$G$2:$G$204,"DNP")*$C$8,0)</f>
        <v>1</v>
      </c>
      <c r="F21" s="31" t="str">
        <f>IFERROR(IF(INDEX(Part_Suppliers!$G$2:$G$300,MATCH($A21&amp;"|"&amp;$C21,Part_Suppliers!$K$2:$K$300,0))=0,"",INDEX(Part_Suppliers!$G$2:$G$300,MATCH($A21&amp;"|"&amp;$C21,Part_Suppliers!$K$2:$K$300,0))),"")</f>
        <v/>
      </c>
      <c r="G21" s="31">
        <f t="shared" si="0"/>
        <v>1</v>
      </c>
      <c r="H21" s="49">
        <f>SUMIFS(Part_Suppliers!$E$2:$E$300,Part_Suppliers!$A$2:$A$300,$A21,Part_Suppliers!$B$2:$B$300,$C21)</f>
        <v>1.3</v>
      </c>
      <c r="I21" s="49">
        <f t="shared" si="1"/>
        <v>1.3</v>
      </c>
      <c r="J21" t="str">
        <f t="shared" si="2"/>
        <v>Reichelt bereit</v>
      </c>
      <c r="K21" s="29" t="str">
        <f>IFERROR(IF(INDEX(Part_Suppliers!$D$2:$D$300,MATCH($A21&amp;"|"&amp;$C21,Part_Suppliers!$K$2:$K$300,0))=0,"",INDEX(Part_Suppliers!$D$2:$D$300,MATCH($A21&amp;"|"&amp;$C21,Part_Suppliers!$K$2:$K$300,0))),"")</f>
        <v>https://www.reichelt.de/de/de/shop/produkt/jst_-_stiftleiste_gerade_1x2-polig_-_ph-185049</v>
      </c>
      <c r="L21" s="31">
        <f>IFERROR(VLOOKUP($A21,Stock!$A$5:$K$200,10,FALSE()),0)</f>
        <v>0</v>
      </c>
      <c r="M21" s="31">
        <f>IFERROR(VLOOKUP($A21,Stock!$A$5:$K$200,11,FALSE()),0)</f>
        <v>0</v>
      </c>
      <c r="N21" s="31">
        <f t="shared" si="3"/>
        <v>-1</v>
      </c>
      <c r="O21" s="31">
        <f t="shared" si="4"/>
        <v>1</v>
      </c>
      <c r="P21" s="50">
        <v>0</v>
      </c>
    </row>
    <row r="22" spans="1:16" ht="14" customHeight="1" x14ac:dyDescent="0.2">
      <c r="A22" s="29" t="s">
        <v>112</v>
      </c>
      <c r="B22" s="48" t="str">
        <f>IFERROR(VLOOKUP($A22,Parts!$A$2:$M$200,3,FALSE()),"")</f>
        <v>MOSFET, N-Ch 30V 5,7A 0,018R, SOT-23</v>
      </c>
      <c r="C22" s="29" t="str">
        <f>IFERROR(VLOOKUP($A22,Stock!$A$5:$I$200,8,FALSE()),"")</f>
        <v>Reichelt</v>
      </c>
      <c r="D22" s="29" t="str">
        <f>IFERROR(VLOOKUP($A22,Stock!$A$5:$I$200,9,FALSE()),"")</f>
        <v>AO3400A</v>
      </c>
      <c r="E22" s="31">
        <f>SUMIFS(Kit_BOM!$F$2:$F$204,Kit_BOM!$E$2:$E$204,$A22,Kit_BOM!$A$2:$A$204,$A$5,Kit_BOM!$G$2:$G$204,"Bestücken")*$C$5+SUMIFS(Kit_BOM!$F$2:$F$204,Kit_BOM!$E$2:$E$204,$A22,Kit_BOM!$A$2:$A$204,$A$5,Kit_BOM!$G$2:$G$204,"Mechanical")*$C$5+IF($F$5="Ja",SUMIFS(Kit_BOM!$F$2:$F$204,Kit_BOM!$E$2:$E$204,$A22,Kit_BOM!$A$2:$A$204,$A$5,Kit_BOM!$G$2:$G$204,"Optional")*$C$5,0)+IF($F$6="Ja",SUMIFS(Kit_BOM!$F$2:$F$204,Kit_BOM!$E$2:$E$204,$A22,Kit_BOM!$A$2:$A$204,$A$5,Kit_BOM!$G$2:$G$204,"DNP")*$C$5,0)+SUMIFS(Kit_BOM!$F$2:$F$204,Kit_BOM!$E$2:$E$204,$A22,Kit_BOM!$A$2:$A$204,$A$6,Kit_BOM!$G$2:$G$204,"Bestücken")*$C$6+SUMIFS(Kit_BOM!$F$2:$F$204,Kit_BOM!$E$2:$E$204,$A22,Kit_BOM!$A$2:$A$204,$A$6,Kit_BOM!$G$2:$G$204,"Mechanical")*$C$6+IF($F$5="Ja",SUMIFS(Kit_BOM!$F$2:$F$204,Kit_BOM!$E$2:$E$204,$A22,Kit_BOM!$A$2:$A$204,$A$6,Kit_BOM!$G$2:$G$204,"Optional")*$C$6,0)+IF($F$6="Ja",SUMIFS(Kit_BOM!$F$2:$F$204,Kit_BOM!$E$2:$E$204,$A22,Kit_BOM!$A$2:$A$204,$A$6,Kit_BOM!$G$2:$G$204,"DNP")*$C$6,0)+SUMIFS(Kit_BOM!$F$2:$F$204,Kit_BOM!$E$2:$E$204,$A22,Kit_BOM!$A$2:$A$204,$A$7,Kit_BOM!$G$2:$G$204,"Bestücken")*$C$7+SUMIFS(Kit_BOM!$F$2:$F$204,Kit_BOM!$E$2:$E$204,$A22,Kit_BOM!$A$2:$A$204,$A$7,Kit_BOM!$G$2:$G$204,"Mechanical")*$C$7+IF($F$5="Ja",SUMIFS(Kit_BOM!$F$2:$F$204,Kit_BOM!$E$2:$E$204,$A22,Kit_BOM!$A$2:$A$204,$A$7,Kit_BOM!$G$2:$G$204,"Optional")*$C$7,0)+IF($F$6="Ja",SUMIFS(Kit_BOM!$F$2:$F$204,Kit_BOM!$E$2:$E$204,$A22,Kit_BOM!$A$2:$A$204,$A$7,Kit_BOM!$G$2:$G$204,"DNP")*$C$7,0)+SUMIFS(Kit_BOM!$F$2:$F$204,Kit_BOM!$E$2:$E$204,$A22,Kit_BOM!$A$2:$A$204,$A$8,Kit_BOM!$G$2:$G$204,"Bestücken")*$C$8+SUMIFS(Kit_BOM!$F$2:$F$204,Kit_BOM!$E$2:$E$204,$A22,Kit_BOM!$A$2:$A$204,$A$8,Kit_BOM!$G$2:$G$204,"Mechanical")*$C$8+IF($F$5="Ja",SUMIFS(Kit_BOM!$F$2:$F$204,Kit_BOM!$E$2:$E$204,$A22,Kit_BOM!$A$2:$A$204,$A$8,Kit_BOM!$G$2:$G$204,"Optional")*$C$8,0)+IF($F$6="Ja",SUMIFS(Kit_BOM!$F$2:$F$204,Kit_BOM!$E$2:$E$204,$A22,Kit_BOM!$A$2:$A$204,$A$8,Kit_BOM!$G$2:$G$204,"DNP")*$C$8,0)</f>
        <v>0</v>
      </c>
      <c r="F22" s="31" t="str">
        <f>IFERROR(IF(INDEX(Part_Suppliers!$G$2:$G$300,MATCH($A22&amp;"|"&amp;$C22,Part_Suppliers!$K$2:$K$300,0))=0,"",INDEX(Part_Suppliers!$G$2:$G$300,MATCH($A22&amp;"|"&amp;$C22,Part_Suppliers!$K$2:$K$300,0))),"")</f>
        <v/>
      </c>
      <c r="G22" s="31">
        <f t="shared" si="0"/>
        <v>0</v>
      </c>
      <c r="H22" s="49">
        <f>SUMIFS(Part_Suppliers!$E$2:$E$300,Part_Suppliers!$A$2:$A$300,$A22,Part_Suppliers!$B$2:$B$300,$C22)</f>
        <v>0.18</v>
      </c>
      <c r="I22" s="49">
        <f t="shared" si="1"/>
        <v>0</v>
      </c>
      <c r="J22" t="str">
        <f t="shared" si="2"/>
        <v>Nicht benötigt</v>
      </c>
      <c r="K22" s="29" t="str">
        <f>IFERROR(IF(INDEX(Part_Suppliers!$D$2:$D$300,MATCH($A22&amp;"|"&amp;$C22,Part_Suppliers!$K$2:$K$300,0))=0,"",INDEX(Part_Suppliers!$D$2:$D$300,MATCH($A22&amp;"|"&amp;$C22,Part_Suppliers!$K$2:$K$300,0))),"")</f>
        <v>https://www.reichelt.de/de/de/shop/produkt/mosfet_n-ch_30v_5_7a_0_018r_sot-23-166490</v>
      </c>
      <c r="L22" s="31">
        <f>IFERROR(VLOOKUP($A22,Stock!$A$5:$K$200,10,FALSE()),0)</f>
        <v>0</v>
      </c>
      <c r="M22" s="31">
        <f>IFERROR(VLOOKUP($A22,Stock!$A$5:$K$200,11,FALSE()),0)</f>
        <v>5</v>
      </c>
      <c r="N22" s="31">
        <f t="shared" si="3"/>
        <v>5</v>
      </c>
      <c r="O22" s="31">
        <f t="shared" si="4"/>
        <v>0</v>
      </c>
      <c r="P22" s="50">
        <v>0</v>
      </c>
    </row>
    <row r="23" spans="1:16" ht="26.25" customHeight="1" x14ac:dyDescent="0.2">
      <c r="A23" s="29" t="s">
        <v>133</v>
      </c>
      <c r="B23" s="48" t="str">
        <f>IFERROR(VLOOKUP($A23,Parts!$A$2:$M$200,3,FALSE()),"")</f>
        <v>SMD-Widerstand, 1206, 100 kOhm, 250 mW, 0,1%</v>
      </c>
      <c r="C23" s="29" t="str">
        <f>IFERROR(VLOOKUP($A23,Stock!$A$5:$I$200,8,FALSE()),"")</f>
        <v>Reichelt</v>
      </c>
      <c r="D23" s="29" t="str">
        <f>IFERROR(VLOOKUP($A23,Stock!$A$5:$I$200,9,FALSE()),"")</f>
        <v>PAN ERA8AEB104V</v>
      </c>
      <c r="E23" s="31">
        <f>SUMIFS(Kit_BOM!$F$2:$F$204,Kit_BOM!$E$2:$E$204,$A23,Kit_BOM!$A$2:$A$204,$A$5,Kit_BOM!$G$2:$G$204,"Bestücken")*$C$5+SUMIFS(Kit_BOM!$F$2:$F$204,Kit_BOM!$E$2:$E$204,$A23,Kit_BOM!$A$2:$A$204,$A$5,Kit_BOM!$G$2:$G$204,"Mechanical")*$C$5+IF($F$5="Ja",SUMIFS(Kit_BOM!$F$2:$F$204,Kit_BOM!$E$2:$E$204,$A23,Kit_BOM!$A$2:$A$204,$A$5,Kit_BOM!$G$2:$G$204,"Optional")*$C$5,0)+IF($F$6="Ja",SUMIFS(Kit_BOM!$F$2:$F$204,Kit_BOM!$E$2:$E$204,$A23,Kit_BOM!$A$2:$A$204,$A$5,Kit_BOM!$G$2:$G$204,"DNP")*$C$5,0)+SUMIFS(Kit_BOM!$F$2:$F$204,Kit_BOM!$E$2:$E$204,$A23,Kit_BOM!$A$2:$A$204,$A$6,Kit_BOM!$G$2:$G$204,"Bestücken")*$C$6+SUMIFS(Kit_BOM!$F$2:$F$204,Kit_BOM!$E$2:$E$204,$A23,Kit_BOM!$A$2:$A$204,$A$6,Kit_BOM!$G$2:$G$204,"Mechanical")*$C$6+IF($F$5="Ja",SUMIFS(Kit_BOM!$F$2:$F$204,Kit_BOM!$E$2:$E$204,$A23,Kit_BOM!$A$2:$A$204,$A$6,Kit_BOM!$G$2:$G$204,"Optional")*$C$6,0)+IF($F$6="Ja",SUMIFS(Kit_BOM!$F$2:$F$204,Kit_BOM!$E$2:$E$204,$A23,Kit_BOM!$A$2:$A$204,$A$6,Kit_BOM!$G$2:$G$204,"DNP")*$C$6,0)+SUMIFS(Kit_BOM!$F$2:$F$204,Kit_BOM!$E$2:$E$204,$A23,Kit_BOM!$A$2:$A$204,$A$7,Kit_BOM!$G$2:$G$204,"Bestücken")*$C$7+SUMIFS(Kit_BOM!$F$2:$F$204,Kit_BOM!$E$2:$E$204,$A23,Kit_BOM!$A$2:$A$204,$A$7,Kit_BOM!$G$2:$G$204,"Mechanical")*$C$7+IF($F$5="Ja",SUMIFS(Kit_BOM!$F$2:$F$204,Kit_BOM!$E$2:$E$204,$A23,Kit_BOM!$A$2:$A$204,$A$7,Kit_BOM!$G$2:$G$204,"Optional")*$C$7,0)+IF($F$6="Ja",SUMIFS(Kit_BOM!$F$2:$F$204,Kit_BOM!$E$2:$E$204,$A23,Kit_BOM!$A$2:$A$204,$A$7,Kit_BOM!$G$2:$G$204,"DNP")*$C$7,0)+SUMIFS(Kit_BOM!$F$2:$F$204,Kit_BOM!$E$2:$E$204,$A23,Kit_BOM!$A$2:$A$204,$A$8,Kit_BOM!$G$2:$G$204,"Bestücken")*$C$8+SUMIFS(Kit_BOM!$F$2:$F$204,Kit_BOM!$E$2:$E$204,$A23,Kit_BOM!$A$2:$A$204,$A$8,Kit_BOM!$G$2:$G$204,"Mechanical")*$C$8+IF($F$5="Ja",SUMIFS(Kit_BOM!$F$2:$F$204,Kit_BOM!$E$2:$E$204,$A23,Kit_BOM!$A$2:$A$204,$A$8,Kit_BOM!$G$2:$G$204,"Optional")*$C$8,0)+IF($F$6="Ja",SUMIFS(Kit_BOM!$F$2:$F$204,Kit_BOM!$E$2:$E$204,$A23,Kit_BOM!$A$2:$A$204,$A$8,Kit_BOM!$G$2:$G$204,"DNP")*$C$8,0)</f>
        <v>0</v>
      </c>
      <c r="F23" s="31" t="str">
        <f>IFERROR(IF(INDEX(Part_Suppliers!$G$2:$G$300,MATCH($A23&amp;"|"&amp;$C23,Part_Suppliers!$K$2:$K$300,0))=0,"",INDEX(Part_Suppliers!$G$2:$G$300,MATCH($A23&amp;"|"&amp;$C23,Part_Suppliers!$K$2:$K$300,0))),"")</f>
        <v/>
      </c>
      <c r="G23" s="31">
        <f t="shared" si="0"/>
        <v>0</v>
      </c>
      <c r="H23" s="49">
        <f>SUMIFS(Part_Suppliers!$E$2:$E$300,Part_Suppliers!$A$2:$A$300,$A23,Part_Suppliers!$B$2:$B$300,$C23)</f>
        <v>0.83</v>
      </c>
      <c r="I23" s="49">
        <f t="shared" si="1"/>
        <v>0</v>
      </c>
      <c r="J23" t="str">
        <f t="shared" si="2"/>
        <v>Nicht benötigt</v>
      </c>
      <c r="K23" s="29" t="str">
        <f>IFERROR(IF(INDEX(Part_Suppliers!$D$2:$D$300,MATCH($A23&amp;"|"&amp;$C23,Part_Suppliers!$K$2:$K$300,0))=0,"",INDEX(Part_Suppliers!$D$2:$D$300,MATCH($A23&amp;"|"&amp;$C23,Part_Suppliers!$K$2:$K$300,0))),"")</f>
        <v>https://www.reichelt.de/de/de/shop/produkt/smd-widerstand_1206_100_kohm_250_mw_0_1_-238081</v>
      </c>
      <c r="L23" s="31">
        <f>IFERROR(VLOOKUP($A23,Stock!$A$5:$K$200,10,FALSE()),0)</f>
        <v>4</v>
      </c>
      <c r="M23" s="31">
        <f>IFERROR(VLOOKUP($A23,Stock!$A$5:$K$200,11,FALSE()),0)</f>
        <v>0</v>
      </c>
      <c r="N23" s="31">
        <f t="shared" si="3"/>
        <v>4</v>
      </c>
      <c r="O23" s="31">
        <f t="shared" si="4"/>
        <v>0</v>
      </c>
      <c r="P23" s="50">
        <v>0</v>
      </c>
    </row>
    <row r="24" spans="1:16" ht="26.25" customHeight="1" x14ac:dyDescent="0.2">
      <c r="A24" s="29" t="s">
        <v>141</v>
      </c>
      <c r="B24" s="48" t="str">
        <f>IFERROR(VLOOKUP($A24,Parts!$A$2:$M$200,3,FALSE()),"")</f>
        <v>SMD-Widerstand, 1206, 100 Ohm, 250 mW, 5%</v>
      </c>
      <c r="C24" s="29" t="str">
        <f>IFERROR(VLOOKUP($A24,Stock!$A$5:$I$200,8,FALSE()),"")</f>
        <v>Reichelt</v>
      </c>
      <c r="D24" s="29" t="str">
        <f>IFERROR(VLOOKUP($A24,Stock!$A$5:$I$200,9,FALSE()),"")</f>
        <v>SMD 1/4W 100</v>
      </c>
      <c r="E24" s="31">
        <f>SUMIFS(Kit_BOM!$F$2:$F$204,Kit_BOM!$E$2:$E$204,$A24,Kit_BOM!$A$2:$A$204,$A$5,Kit_BOM!$G$2:$G$204,"Bestücken")*$C$5+SUMIFS(Kit_BOM!$F$2:$F$204,Kit_BOM!$E$2:$E$204,$A24,Kit_BOM!$A$2:$A$204,$A$5,Kit_BOM!$G$2:$G$204,"Mechanical")*$C$5+IF($F$5="Ja",SUMIFS(Kit_BOM!$F$2:$F$204,Kit_BOM!$E$2:$E$204,$A24,Kit_BOM!$A$2:$A$204,$A$5,Kit_BOM!$G$2:$G$204,"Optional")*$C$5,0)+IF($F$6="Ja",SUMIFS(Kit_BOM!$F$2:$F$204,Kit_BOM!$E$2:$E$204,$A24,Kit_BOM!$A$2:$A$204,$A$5,Kit_BOM!$G$2:$G$204,"DNP")*$C$5,0)+SUMIFS(Kit_BOM!$F$2:$F$204,Kit_BOM!$E$2:$E$204,$A24,Kit_BOM!$A$2:$A$204,$A$6,Kit_BOM!$G$2:$G$204,"Bestücken")*$C$6+SUMIFS(Kit_BOM!$F$2:$F$204,Kit_BOM!$E$2:$E$204,$A24,Kit_BOM!$A$2:$A$204,$A$6,Kit_BOM!$G$2:$G$204,"Mechanical")*$C$6+IF($F$5="Ja",SUMIFS(Kit_BOM!$F$2:$F$204,Kit_BOM!$E$2:$E$204,$A24,Kit_BOM!$A$2:$A$204,$A$6,Kit_BOM!$G$2:$G$204,"Optional")*$C$6,0)+IF($F$6="Ja",SUMIFS(Kit_BOM!$F$2:$F$204,Kit_BOM!$E$2:$E$204,$A24,Kit_BOM!$A$2:$A$204,$A$6,Kit_BOM!$G$2:$G$204,"DNP")*$C$6,0)+SUMIFS(Kit_BOM!$F$2:$F$204,Kit_BOM!$E$2:$E$204,$A24,Kit_BOM!$A$2:$A$204,$A$7,Kit_BOM!$G$2:$G$204,"Bestücken")*$C$7+SUMIFS(Kit_BOM!$F$2:$F$204,Kit_BOM!$E$2:$E$204,$A24,Kit_BOM!$A$2:$A$204,$A$7,Kit_BOM!$G$2:$G$204,"Mechanical")*$C$7+IF($F$5="Ja",SUMIFS(Kit_BOM!$F$2:$F$204,Kit_BOM!$E$2:$E$204,$A24,Kit_BOM!$A$2:$A$204,$A$7,Kit_BOM!$G$2:$G$204,"Optional")*$C$7,0)+IF($F$6="Ja",SUMIFS(Kit_BOM!$F$2:$F$204,Kit_BOM!$E$2:$E$204,$A24,Kit_BOM!$A$2:$A$204,$A$7,Kit_BOM!$G$2:$G$204,"DNP")*$C$7,0)+SUMIFS(Kit_BOM!$F$2:$F$204,Kit_BOM!$E$2:$E$204,$A24,Kit_BOM!$A$2:$A$204,$A$8,Kit_BOM!$G$2:$G$204,"Bestücken")*$C$8+SUMIFS(Kit_BOM!$F$2:$F$204,Kit_BOM!$E$2:$E$204,$A24,Kit_BOM!$A$2:$A$204,$A$8,Kit_BOM!$G$2:$G$204,"Mechanical")*$C$8+IF($F$5="Ja",SUMIFS(Kit_BOM!$F$2:$F$204,Kit_BOM!$E$2:$E$204,$A24,Kit_BOM!$A$2:$A$204,$A$8,Kit_BOM!$G$2:$G$204,"Optional")*$C$8,0)+IF($F$6="Ja",SUMIFS(Kit_BOM!$F$2:$F$204,Kit_BOM!$E$2:$E$204,$A24,Kit_BOM!$A$2:$A$204,$A$8,Kit_BOM!$G$2:$G$204,"DNP")*$C$8,0)</f>
        <v>0</v>
      </c>
      <c r="F24" s="31" t="str">
        <f>IFERROR(IF(INDEX(Part_Suppliers!$G$2:$G$300,MATCH($A24&amp;"|"&amp;$C24,Part_Suppliers!$K$2:$K$300,0))=0,"",INDEX(Part_Suppliers!$G$2:$G$300,MATCH($A24&amp;"|"&amp;$C24,Part_Suppliers!$K$2:$K$300,0))),"")</f>
        <v/>
      </c>
      <c r="G24" s="31">
        <f t="shared" si="0"/>
        <v>0</v>
      </c>
      <c r="H24" s="49">
        <f>SUMIFS(Part_Suppliers!$E$2:$E$300,Part_Suppliers!$A$2:$A$300,$A24,Part_Suppliers!$B$2:$B$300,$C24)</f>
        <v>0.06</v>
      </c>
      <c r="I24" s="49">
        <f t="shared" si="1"/>
        <v>0</v>
      </c>
      <c r="J24" t="str">
        <f t="shared" si="2"/>
        <v>Nicht benötigt</v>
      </c>
      <c r="K24" s="29" t="str">
        <f>IFERROR(IF(INDEX(Part_Suppliers!$D$2:$D$300,MATCH($A24&amp;"|"&amp;$C24,Part_Suppliers!$K$2:$K$300,0))=0,"",INDEX(Part_Suppliers!$D$2:$D$300,MATCH($A24&amp;"|"&amp;$C24,Part_Suppliers!$K$2:$K$300,0))),"")</f>
        <v>https://www.reichelt.de/de/de/shop/produkt/smd-widerstand_1206_100_ohm_250_mw_5_-18242</v>
      </c>
      <c r="L24" s="31">
        <f>IFERROR(VLOOKUP($A24,Stock!$A$5:$K$200,10,FALSE()),0)</f>
        <v>50</v>
      </c>
      <c r="M24" s="31">
        <f>IFERROR(VLOOKUP($A24,Stock!$A$5:$K$200,11,FALSE()),0)</f>
        <v>0</v>
      </c>
      <c r="N24" s="31">
        <f t="shared" si="3"/>
        <v>50</v>
      </c>
      <c r="O24" s="31">
        <f t="shared" si="4"/>
        <v>0</v>
      </c>
      <c r="P24" s="50">
        <v>0</v>
      </c>
    </row>
    <row r="25" spans="1:16" ht="26.25" customHeight="1" x14ac:dyDescent="0.2">
      <c r="A25" s="29" t="s">
        <v>148</v>
      </c>
      <c r="B25" s="48" t="str">
        <f>IFERROR(VLOOKUP($A25,Parts!$A$2:$M$200,3,FALSE()),"")</f>
        <v>SMD-Widerstand, 1206, 10 kOhm, 250 mW, 0,1%</v>
      </c>
      <c r="C25" s="29" t="str">
        <f>IFERROR(VLOOKUP($A25,Stock!$A$5:$I$200,8,FALSE()),"")</f>
        <v>Reichelt</v>
      </c>
      <c r="D25" s="29" t="str">
        <f>IFERROR(VLOOKUP($A25,Stock!$A$5:$I$200,9,FALSE()),"")</f>
        <v>PAN ERA8AEB103V</v>
      </c>
      <c r="E25" s="31">
        <f>SUMIFS(Kit_BOM!$F$2:$F$204,Kit_BOM!$E$2:$E$204,$A25,Kit_BOM!$A$2:$A$204,$A$5,Kit_BOM!$G$2:$G$204,"Bestücken")*$C$5+SUMIFS(Kit_BOM!$F$2:$F$204,Kit_BOM!$E$2:$E$204,$A25,Kit_BOM!$A$2:$A$204,$A$5,Kit_BOM!$G$2:$G$204,"Mechanical")*$C$5+IF($F$5="Ja",SUMIFS(Kit_BOM!$F$2:$F$204,Kit_BOM!$E$2:$E$204,$A25,Kit_BOM!$A$2:$A$204,$A$5,Kit_BOM!$G$2:$G$204,"Optional")*$C$5,0)+IF($F$6="Ja",SUMIFS(Kit_BOM!$F$2:$F$204,Kit_BOM!$E$2:$E$204,$A25,Kit_BOM!$A$2:$A$204,$A$5,Kit_BOM!$G$2:$G$204,"DNP")*$C$5,0)+SUMIFS(Kit_BOM!$F$2:$F$204,Kit_BOM!$E$2:$E$204,$A25,Kit_BOM!$A$2:$A$204,$A$6,Kit_BOM!$G$2:$G$204,"Bestücken")*$C$6+SUMIFS(Kit_BOM!$F$2:$F$204,Kit_BOM!$E$2:$E$204,$A25,Kit_BOM!$A$2:$A$204,$A$6,Kit_BOM!$G$2:$G$204,"Mechanical")*$C$6+IF($F$5="Ja",SUMIFS(Kit_BOM!$F$2:$F$204,Kit_BOM!$E$2:$E$204,$A25,Kit_BOM!$A$2:$A$204,$A$6,Kit_BOM!$G$2:$G$204,"Optional")*$C$6,0)+IF($F$6="Ja",SUMIFS(Kit_BOM!$F$2:$F$204,Kit_BOM!$E$2:$E$204,$A25,Kit_BOM!$A$2:$A$204,$A$6,Kit_BOM!$G$2:$G$204,"DNP")*$C$6,0)+SUMIFS(Kit_BOM!$F$2:$F$204,Kit_BOM!$E$2:$E$204,$A25,Kit_BOM!$A$2:$A$204,$A$7,Kit_BOM!$G$2:$G$204,"Bestücken")*$C$7+SUMIFS(Kit_BOM!$F$2:$F$204,Kit_BOM!$E$2:$E$204,$A25,Kit_BOM!$A$2:$A$204,$A$7,Kit_BOM!$G$2:$G$204,"Mechanical")*$C$7+IF($F$5="Ja",SUMIFS(Kit_BOM!$F$2:$F$204,Kit_BOM!$E$2:$E$204,$A25,Kit_BOM!$A$2:$A$204,$A$7,Kit_BOM!$G$2:$G$204,"Optional")*$C$7,0)+IF($F$6="Ja",SUMIFS(Kit_BOM!$F$2:$F$204,Kit_BOM!$E$2:$E$204,$A25,Kit_BOM!$A$2:$A$204,$A$7,Kit_BOM!$G$2:$G$204,"DNP")*$C$7,0)+SUMIFS(Kit_BOM!$F$2:$F$204,Kit_BOM!$E$2:$E$204,$A25,Kit_BOM!$A$2:$A$204,$A$8,Kit_BOM!$G$2:$G$204,"Bestücken")*$C$8+SUMIFS(Kit_BOM!$F$2:$F$204,Kit_BOM!$E$2:$E$204,$A25,Kit_BOM!$A$2:$A$204,$A$8,Kit_BOM!$G$2:$G$204,"Mechanical")*$C$8+IF($F$5="Ja",SUMIFS(Kit_BOM!$F$2:$F$204,Kit_BOM!$E$2:$E$204,$A25,Kit_BOM!$A$2:$A$204,$A$8,Kit_BOM!$G$2:$G$204,"Optional")*$C$8,0)+IF($F$6="Ja",SUMIFS(Kit_BOM!$F$2:$F$204,Kit_BOM!$E$2:$E$204,$A25,Kit_BOM!$A$2:$A$204,$A$8,Kit_BOM!$G$2:$G$204,"DNP")*$C$8,0)</f>
        <v>0</v>
      </c>
      <c r="F25" s="31" t="str">
        <f>IFERROR(IF(INDEX(Part_Suppliers!$G$2:$G$300,MATCH($A25&amp;"|"&amp;$C25,Part_Suppliers!$K$2:$K$300,0))=0,"",INDEX(Part_Suppliers!$G$2:$G$300,MATCH($A25&amp;"|"&amp;$C25,Part_Suppliers!$K$2:$K$300,0))),"")</f>
        <v/>
      </c>
      <c r="G25" s="31">
        <f t="shared" si="0"/>
        <v>0</v>
      </c>
      <c r="H25" s="49">
        <f>SUMIFS(Part_Suppliers!$E$2:$E$300,Part_Suppliers!$A$2:$A$300,$A25,Part_Suppliers!$B$2:$B$300,$C25)</f>
        <v>0.75</v>
      </c>
      <c r="I25" s="49">
        <f t="shared" si="1"/>
        <v>0</v>
      </c>
      <c r="J25" t="str">
        <f t="shared" si="2"/>
        <v>Nicht benötigt</v>
      </c>
      <c r="K25" s="29" t="str">
        <f>IFERROR(IF(INDEX(Part_Suppliers!$D$2:$D$300,MATCH($A25&amp;"|"&amp;$C25,Part_Suppliers!$K$2:$K$300,0))=0,"",INDEX(Part_Suppliers!$D$2:$D$300,MATCH($A25&amp;"|"&amp;$C25,Part_Suppliers!$K$2:$K$300,0))),"")</f>
        <v>https://www.reichelt.de/de/de/shop/produkt/smd-widerstand_1206_10_kohm_250_mw_0_1_-238080</v>
      </c>
      <c r="L25" s="31">
        <f>IFERROR(VLOOKUP($A25,Stock!$A$5:$K$200,10,FALSE()),0)</f>
        <v>9</v>
      </c>
      <c r="M25" s="31">
        <f>IFERROR(VLOOKUP($A25,Stock!$A$5:$K$200,11,FALSE()),0)</f>
        <v>0</v>
      </c>
      <c r="N25" s="31">
        <f t="shared" si="3"/>
        <v>9</v>
      </c>
      <c r="O25" s="31">
        <f t="shared" si="4"/>
        <v>0</v>
      </c>
      <c r="P25" s="50">
        <v>0</v>
      </c>
    </row>
    <row r="26" spans="1:16" ht="14" customHeight="1" x14ac:dyDescent="0.2">
      <c r="A26" s="29" t="s">
        <v>154</v>
      </c>
      <c r="B26" s="48" t="str">
        <f>IFERROR(VLOOKUP($A26,Parts!$A$2:$M$200,3,FALSE()),"")</f>
        <v>Stiftleiste, 8-polig, Raster 2,54mm</v>
      </c>
      <c r="C26" s="29" t="str">
        <f>IFERROR(VLOOKUP($A26,Stock!$A$5:$I$200,8,FALSE()),"")</f>
        <v>Reichelt</v>
      </c>
      <c r="D26" s="29" t="str">
        <f>IFERROR(VLOOKUP($A26,Stock!$A$5:$I$200,9,FALSE()),"")</f>
        <v>BKL 10120505</v>
      </c>
      <c r="E26" s="31">
        <f>SUMIFS(Kit_BOM!$F$2:$F$204,Kit_BOM!$E$2:$E$204,$A26,Kit_BOM!$A$2:$A$204,$A$5,Kit_BOM!$G$2:$G$204,"Bestücken")*$C$5+SUMIFS(Kit_BOM!$F$2:$F$204,Kit_BOM!$E$2:$E$204,$A26,Kit_BOM!$A$2:$A$204,$A$5,Kit_BOM!$G$2:$G$204,"Mechanical")*$C$5+IF($F$5="Ja",SUMIFS(Kit_BOM!$F$2:$F$204,Kit_BOM!$E$2:$E$204,$A26,Kit_BOM!$A$2:$A$204,$A$5,Kit_BOM!$G$2:$G$204,"Optional")*$C$5,0)+IF($F$6="Ja",SUMIFS(Kit_BOM!$F$2:$F$204,Kit_BOM!$E$2:$E$204,$A26,Kit_BOM!$A$2:$A$204,$A$5,Kit_BOM!$G$2:$G$204,"DNP")*$C$5,0)+SUMIFS(Kit_BOM!$F$2:$F$204,Kit_BOM!$E$2:$E$204,$A26,Kit_BOM!$A$2:$A$204,$A$6,Kit_BOM!$G$2:$G$204,"Bestücken")*$C$6+SUMIFS(Kit_BOM!$F$2:$F$204,Kit_BOM!$E$2:$E$204,$A26,Kit_BOM!$A$2:$A$204,$A$6,Kit_BOM!$G$2:$G$204,"Mechanical")*$C$6+IF($F$5="Ja",SUMIFS(Kit_BOM!$F$2:$F$204,Kit_BOM!$E$2:$E$204,$A26,Kit_BOM!$A$2:$A$204,$A$6,Kit_BOM!$G$2:$G$204,"Optional")*$C$6,0)+IF($F$6="Ja",SUMIFS(Kit_BOM!$F$2:$F$204,Kit_BOM!$E$2:$E$204,$A26,Kit_BOM!$A$2:$A$204,$A$6,Kit_BOM!$G$2:$G$204,"DNP")*$C$6,0)+SUMIFS(Kit_BOM!$F$2:$F$204,Kit_BOM!$E$2:$E$204,$A26,Kit_BOM!$A$2:$A$204,$A$7,Kit_BOM!$G$2:$G$204,"Bestücken")*$C$7+SUMIFS(Kit_BOM!$F$2:$F$204,Kit_BOM!$E$2:$E$204,$A26,Kit_BOM!$A$2:$A$204,$A$7,Kit_BOM!$G$2:$G$204,"Mechanical")*$C$7+IF($F$5="Ja",SUMIFS(Kit_BOM!$F$2:$F$204,Kit_BOM!$E$2:$E$204,$A26,Kit_BOM!$A$2:$A$204,$A$7,Kit_BOM!$G$2:$G$204,"Optional")*$C$7,0)+IF($F$6="Ja",SUMIFS(Kit_BOM!$F$2:$F$204,Kit_BOM!$E$2:$E$204,$A26,Kit_BOM!$A$2:$A$204,$A$7,Kit_BOM!$G$2:$G$204,"DNP")*$C$7,0)+SUMIFS(Kit_BOM!$F$2:$F$204,Kit_BOM!$E$2:$E$204,$A26,Kit_BOM!$A$2:$A$204,$A$8,Kit_BOM!$G$2:$G$204,"Bestücken")*$C$8+SUMIFS(Kit_BOM!$F$2:$F$204,Kit_BOM!$E$2:$E$204,$A26,Kit_BOM!$A$2:$A$204,$A$8,Kit_BOM!$G$2:$G$204,"Mechanical")*$C$8+IF($F$5="Ja",SUMIFS(Kit_BOM!$F$2:$F$204,Kit_BOM!$E$2:$E$204,$A26,Kit_BOM!$A$2:$A$204,$A$8,Kit_BOM!$G$2:$G$204,"Optional")*$C$8,0)+IF($F$6="Ja",SUMIFS(Kit_BOM!$F$2:$F$204,Kit_BOM!$E$2:$E$204,$A26,Kit_BOM!$A$2:$A$204,$A$8,Kit_BOM!$G$2:$G$204,"DNP")*$C$8,0)</f>
        <v>0</v>
      </c>
      <c r="F26" s="31" t="str">
        <f>IFERROR(IF(INDEX(Part_Suppliers!$G$2:$G$300,MATCH($A26&amp;"|"&amp;$C26,Part_Suppliers!$K$2:$K$300,0))=0,"",INDEX(Part_Suppliers!$G$2:$G$300,MATCH($A26&amp;"|"&amp;$C26,Part_Suppliers!$K$2:$K$300,0))),"")</f>
        <v/>
      </c>
      <c r="G26" s="31">
        <f t="shared" si="0"/>
        <v>0</v>
      </c>
      <c r="H26" s="49">
        <f>SUMIFS(Part_Suppliers!$E$2:$E$300,Part_Suppliers!$A$2:$A$300,$A26,Part_Suppliers!$B$2:$B$300,$C26)</f>
        <v>0.31</v>
      </c>
      <c r="I26" s="49">
        <f t="shared" si="1"/>
        <v>0</v>
      </c>
      <c r="J26" t="str">
        <f t="shared" si="2"/>
        <v>Nicht benötigt</v>
      </c>
      <c r="K26" s="29" t="str">
        <f>IFERROR(IF(INDEX(Part_Suppliers!$D$2:$D$300,MATCH($A26&amp;"|"&amp;$C26,Part_Suppliers!$K$2:$K$300,0))=0,"",INDEX(Part_Suppliers!$D$2:$D$300,MATCH($A26&amp;"|"&amp;$C26,Part_Suppliers!$K$2:$K$300,0))),"")</f>
        <v>https://www.reichelt.de/de/de/shop/produkt/stiftleiste_8-polig_raster_2_54mm-235656</v>
      </c>
      <c r="L26" s="31">
        <f>IFERROR(VLOOKUP($A26,Stock!$A$5:$K$200,10,FALSE()),0)</f>
        <v>0</v>
      </c>
      <c r="M26" s="31">
        <f>IFERROR(VLOOKUP($A26,Stock!$A$5:$K$200,11,FALSE()),0)</f>
        <v>0</v>
      </c>
      <c r="N26" s="31">
        <f t="shared" si="3"/>
        <v>0</v>
      </c>
      <c r="O26" s="31">
        <f t="shared" si="4"/>
        <v>0</v>
      </c>
      <c r="P26" s="50">
        <v>0</v>
      </c>
    </row>
    <row r="27" spans="1:16" ht="14" customHeight="1" x14ac:dyDescent="0.2">
      <c r="A27" s="29" t="s">
        <v>161</v>
      </c>
      <c r="B27" s="48" t="str">
        <f>IFERROR(VLOOKUP($A27,Parts!$A$2:$M$200,3,FALSE()),"")</f>
        <v>Timer-IC, Typ 555, SO-8</v>
      </c>
      <c r="C27" s="29" t="str">
        <f>IFERROR(VLOOKUP($A27,Stock!$A$5:$I$200,8,FALSE()),"")</f>
        <v>Reichelt</v>
      </c>
      <c r="D27" s="29" t="str">
        <f>IFERROR(VLOOKUP($A27,Stock!$A$5:$I$200,9,FALSE()),"")</f>
        <v>ICM 7555 IBAZ</v>
      </c>
      <c r="E27" s="31">
        <f>SUMIFS(Kit_BOM!$F$2:$F$204,Kit_BOM!$E$2:$E$204,$A27,Kit_BOM!$A$2:$A$204,$A$5,Kit_BOM!$G$2:$G$204,"Bestücken")*$C$5+SUMIFS(Kit_BOM!$F$2:$F$204,Kit_BOM!$E$2:$E$204,$A27,Kit_BOM!$A$2:$A$204,$A$5,Kit_BOM!$G$2:$G$204,"Mechanical")*$C$5+IF($F$5="Ja",SUMIFS(Kit_BOM!$F$2:$F$204,Kit_BOM!$E$2:$E$204,$A27,Kit_BOM!$A$2:$A$204,$A$5,Kit_BOM!$G$2:$G$204,"Optional")*$C$5,0)+IF($F$6="Ja",SUMIFS(Kit_BOM!$F$2:$F$204,Kit_BOM!$E$2:$E$204,$A27,Kit_BOM!$A$2:$A$204,$A$5,Kit_BOM!$G$2:$G$204,"DNP")*$C$5,0)+SUMIFS(Kit_BOM!$F$2:$F$204,Kit_BOM!$E$2:$E$204,$A27,Kit_BOM!$A$2:$A$204,$A$6,Kit_BOM!$G$2:$G$204,"Bestücken")*$C$6+SUMIFS(Kit_BOM!$F$2:$F$204,Kit_BOM!$E$2:$E$204,$A27,Kit_BOM!$A$2:$A$204,$A$6,Kit_BOM!$G$2:$G$204,"Mechanical")*$C$6+IF($F$5="Ja",SUMIFS(Kit_BOM!$F$2:$F$204,Kit_BOM!$E$2:$E$204,$A27,Kit_BOM!$A$2:$A$204,$A$6,Kit_BOM!$G$2:$G$204,"Optional")*$C$6,0)+IF($F$6="Ja",SUMIFS(Kit_BOM!$F$2:$F$204,Kit_BOM!$E$2:$E$204,$A27,Kit_BOM!$A$2:$A$204,$A$6,Kit_BOM!$G$2:$G$204,"DNP")*$C$6,0)+SUMIFS(Kit_BOM!$F$2:$F$204,Kit_BOM!$E$2:$E$204,$A27,Kit_BOM!$A$2:$A$204,$A$7,Kit_BOM!$G$2:$G$204,"Bestücken")*$C$7+SUMIFS(Kit_BOM!$F$2:$F$204,Kit_BOM!$E$2:$E$204,$A27,Kit_BOM!$A$2:$A$204,$A$7,Kit_BOM!$G$2:$G$204,"Mechanical")*$C$7+IF($F$5="Ja",SUMIFS(Kit_BOM!$F$2:$F$204,Kit_BOM!$E$2:$E$204,$A27,Kit_BOM!$A$2:$A$204,$A$7,Kit_BOM!$G$2:$G$204,"Optional")*$C$7,0)+IF($F$6="Ja",SUMIFS(Kit_BOM!$F$2:$F$204,Kit_BOM!$E$2:$E$204,$A27,Kit_BOM!$A$2:$A$204,$A$7,Kit_BOM!$G$2:$G$204,"DNP")*$C$7,0)+SUMIFS(Kit_BOM!$F$2:$F$204,Kit_BOM!$E$2:$E$204,$A27,Kit_BOM!$A$2:$A$204,$A$8,Kit_BOM!$G$2:$G$204,"Bestücken")*$C$8+SUMIFS(Kit_BOM!$F$2:$F$204,Kit_BOM!$E$2:$E$204,$A27,Kit_BOM!$A$2:$A$204,$A$8,Kit_BOM!$G$2:$G$204,"Mechanical")*$C$8+IF($F$5="Ja",SUMIFS(Kit_BOM!$F$2:$F$204,Kit_BOM!$E$2:$E$204,$A27,Kit_BOM!$A$2:$A$204,$A$8,Kit_BOM!$G$2:$G$204,"Optional")*$C$8,0)+IF($F$6="Ja",SUMIFS(Kit_BOM!$F$2:$F$204,Kit_BOM!$E$2:$E$204,$A27,Kit_BOM!$A$2:$A$204,$A$8,Kit_BOM!$G$2:$G$204,"DNP")*$C$8,0)</f>
        <v>0</v>
      </c>
      <c r="F27" s="31" t="str">
        <f>IFERROR(IF(INDEX(Part_Suppliers!$G$2:$G$300,MATCH($A27&amp;"|"&amp;$C27,Part_Suppliers!$K$2:$K$300,0))=0,"",INDEX(Part_Suppliers!$G$2:$G$300,MATCH($A27&amp;"|"&amp;$C27,Part_Suppliers!$K$2:$K$300,0))),"")</f>
        <v/>
      </c>
      <c r="G27" s="31">
        <f t="shared" si="0"/>
        <v>0</v>
      </c>
      <c r="H27" s="49">
        <f>SUMIFS(Part_Suppliers!$E$2:$E$300,Part_Suppliers!$A$2:$A$300,$A27,Part_Suppliers!$B$2:$B$300,$C27)</f>
        <v>1.1000000000000001</v>
      </c>
      <c r="I27" s="49">
        <f t="shared" si="1"/>
        <v>0</v>
      </c>
      <c r="J27" t="str">
        <f t="shared" si="2"/>
        <v>Nicht benötigt</v>
      </c>
      <c r="K27" s="29" t="str">
        <f>IFERROR(IF(INDEX(Part_Suppliers!$D$2:$D$300,MATCH($A27&amp;"|"&amp;$C27,Part_Suppliers!$K$2:$K$300,0))=0,"",INDEX(Part_Suppliers!$D$2:$D$300,MATCH($A27&amp;"|"&amp;$C27,Part_Suppliers!$K$2:$K$300,0))),"")</f>
        <v>https://www.reichelt.de/de/de/shop/produkt/timer-ic_typ_555_so-8-188889</v>
      </c>
      <c r="L27" s="31">
        <f>IFERROR(VLOOKUP($A27,Stock!$A$5:$K$200,10,FALSE()),0)</f>
        <v>3</v>
      </c>
      <c r="M27" s="31">
        <f>IFERROR(VLOOKUP($A27,Stock!$A$5:$K$200,11,FALSE()),0)</f>
        <v>0</v>
      </c>
      <c r="N27" s="31">
        <f t="shared" si="3"/>
        <v>3</v>
      </c>
      <c r="O27" s="31">
        <f t="shared" si="4"/>
        <v>0</v>
      </c>
      <c r="P27" s="50">
        <v>0</v>
      </c>
    </row>
    <row r="28" spans="1:16" ht="14" customHeight="1" x14ac:dyDescent="0.2">
      <c r="A28" s="29" t="s">
        <v>183</v>
      </c>
      <c r="B28" s="48" t="str">
        <f>IFERROR(VLOOKUP($A28,Parts!$A$2:$M$200,3,FALSE()),"")</f>
        <v>Steck-Printrelais, 1 CO, 6 A, 5 V DC sensitiv</v>
      </c>
      <c r="C28" s="29" t="str">
        <f>IFERROR(VLOOKUP($A28,Stock!$A$5:$I$200,8,FALSE()),"")</f>
        <v>Reichelt</v>
      </c>
      <c r="D28" s="29" t="str">
        <f>IFERROR(VLOOKUP($A28,Stock!$A$5:$I$200,9,FALSE()),"")</f>
        <v>FIN 34.51.7 5V</v>
      </c>
      <c r="E28" s="31">
        <f>SUMIFS(Kit_BOM!$F$2:$F$204,Kit_BOM!$E$2:$E$204,$A28,Kit_BOM!$A$2:$A$204,$A$5,Kit_BOM!$G$2:$G$204,"Bestücken")*$C$5+SUMIFS(Kit_BOM!$F$2:$F$204,Kit_BOM!$E$2:$E$204,$A28,Kit_BOM!$A$2:$A$204,$A$5,Kit_BOM!$G$2:$G$204,"Mechanical")*$C$5+IF($F$5="Ja",SUMIFS(Kit_BOM!$F$2:$F$204,Kit_BOM!$E$2:$E$204,$A28,Kit_BOM!$A$2:$A$204,$A$5,Kit_BOM!$G$2:$G$204,"Optional")*$C$5,0)+IF($F$6="Ja",SUMIFS(Kit_BOM!$F$2:$F$204,Kit_BOM!$E$2:$E$204,$A28,Kit_BOM!$A$2:$A$204,$A$5,Kit_BOM!$G$2:$G$204,"DNP")*$C$5,0)+SUMIFS(Kit_BOM!$F$2:$F$204,Kit_BOM!$E$2:$E$204,$A28,Kit_BOM!$A$2:$A$204,$A$6,Kit_BOM!$G$2:$G$204,"Bestücken")*$C$6+SUMIFS(Kit_BOM!$F$2:$F$204,Kit_BOM!$E$2:$E$204,$A28,Kit_BOM!$A$2:$A$204,$A$6,Kit_BOM!$G$2:$G$204,"Mechanical")*$C$6+IF($F$5="Ja",SUMIFS(Kit_BOM!$F$2:$F$204,Kit_BOM!$E$2:$E$204,$A28,Kit_BOM!$A$2:$A$204,$A$6,Kit_BOM!$G$2:$G$204,"Optional")*$C$6,0)+IF($F$6="Ja",SUMIFS(Kit_BOM!$F$2:$F$204,Kit_BOM!$E$2:$E$204,$A28,Kit_BOM!$A$2:$A$204,$A$6,Kit_BOM!$G$2:$G$204,"DNP")*$C$6,0)+SUMIFS(Kit_BOM!$F$2:$F$204,Kit_BOM!$E$2:$E$204,$A28,Kit_BOM!$A$2:$A$204,$A$7,Kit_BOM!$G$2:$G$204,"Bestücken")*$C$7+SUMIFS(Kit_BOM!$F$2:$F$204,Kit_BOM!$E$2:$E$204,$A28,Kit_BOM!$A$2:$A$204,$A$7,Kit_BOM!$G$2:$G$204,"Mechanical")*$C$7+IF($F$5="Ja",SUMIFS(Kit_BOM!$F$2:$F$204,Kit_BOM!$E$2:$E$204,$A28,Kit_BOM!$A$2:$A$204,$A$7,Kit_BOM!$G$2:$G$204,"Optional")*$C$7,0)+IF($F$6="Ja",SUMIFS(Kit_BOM!$F$2:$F$204,Kit_BOM!$E$2:$E$204,$A28,Kit_BOM!$A$2:$A$204,$A$7,Kit_BOM!$G$2:$G$204,"DNP")*$C$7,0)+SUMIFS(Kit_BOM!$F$2:$F$204,Kit_BOM!$E$2:$E$204,$A28,Kit_BOM!$A$2:$A$204,$A$8,Kit_BOM!$G$2:$G$204,"Bestücken")*$C$8+SUMIFS(Kit_BOM!$F$2:$F$204,Kit_BOM!$E$2:$E$204,$A28,Kit_BOM!$A$2:$A$204,$A$8,Kit_BOM!$G$2:$G$204,"Mechanical")*$C$8+IF($F$5="Ja",SUMIFS(Kit_BOM!$F$2:$F$204,Kit_BOM!$E$2:$E$204,$A28,Kit_BOM!$A$2:$A$204,$A$8,Kit_BOM!$G$2:$G$204,"Optional")*$C$8,0)+IF($F$6="Ja",SUMIFS(Kit_BOM!$F$2:$F$204,Kit_BOM!$E$2:$E$204,$A28,Kit_BOM!$A$2:$A$204,$A$8,Kit_BOM!$G$2:$G$204,"DNP")*$C$8,0)</f>
        <v>0</v>
      </c>
      <c r="F28" s="31" t="str">
        <f>IFERROR(IF(INDEX(Part_Suppliers!$G$2:$G$300,MATCH($A28&amp;"|"&amp;$C28,Part_Suppliers!$K$2:$K$300,0))=0,"",INDEX(Part_Suppliers!$G$2:$G$300,MATCH($A28&amp;"|"&amp;$C28,Part_Suppliers!$K$2:$K$300,0))),"")</f>
        <v/>
      </c>
      <c r="G28" s="31">
        <f t="shared" si="0"/>
        <v>0</v>
      </c>
      <c r="H28" s="49">
        <f>SUMIFS(Part_Suppliers!$E$2:$E$300,Part_Suppliers!$A$2:$A$300,$A28,Part_Suppliers!$B$2:$B$300,$C28)</f>
        <v>5.8</v>
      </c>
      <c r="I28" s="49">
        <f t="shared" si="1"/>
        <v>0</v>
      </c>
      <c r="J28" t="str">
        <f t="shared" si="2"/>
        <v>Nicht benötigt</v>
      </c>
      <c r="K28" s="29" t="str">
        <f>IFERROR(IF(INDEX(Part_Suppliers!$D$2:$D$300,MATCH($A28&amp;"|"&amp;$C28,Part_Suppliers!$K$2:$K$300,0))=0,"",INDEX(Part_Suppliers!$D$2:$D$300,MATCH($A28&amp;"|"&amp;$C28,Part_Suppliers!$K$2:$K$300,0))),"")</f>
        <v>https://www.reichelt.de/de/de/shop/produkt/steck-printrelais_1_co_6_a_5_v_dc_sensitiv-259179?PROVID=2788&amp;gad_source=1&amp;gad_campaignid=21154720511&amp;gbraid=0AAAAADwnxtb50MtqKwtKae8MAeGQARqWX&amp;gclid=CjwKCAjw7p_UBhBlEiwAhpIs72D6cK8XQyuxcrvb0uftoYY3618BT3lTyYSWWSou1J99G9udBcpsbhoCJbcQAvD_BwE</v>
      </c>
      <c r="L28" s="31">
        <f>IFERROR(VLOOKUP($A28,Stock!$A$5:$K$200,10,FALSE()),0)</f>
        <v>0</v>
      </c>
      <c r="M28" s="31">
        <f>IFERROR(VLOOKUP($A28,Stock!$A$5:$K$200,11,FALSE()),0)</f>
        <v>0</v>
      </c>
      <c r="N28" s="31">
        <f t="shared" si="3"/>
        <v>0</v>
      </c>
      <c r="O28" s="31">
        <f t="shared" si="4"/>
        <v>0</v>
      </c>
      <c r="P28" s="50">
        <v>0</v>
      </c>
    </row>
    <row r="29" spans="1:16" ht="26.25" customHeight="1" x14ac:dyDescent="0.2">
      <c r="A29" s="29" t="s">
        <v>192</v>
      </c>
      <c r="B29" s="48" t="str">
        <f>IFERROR(VLOOKUP($A29,Parts!$A$2:$M$200,3,FALSE()),"")</f>
        <v>I²C-EEPROM 2 Kbit mit vorprogrammierter EUI-64 und zwei Adresspins</v>
      </c>
      <c r="C29" s="29" t="str">
        <f>IFERROR(VLOOKUP($A29,Stock!$A$5:$I$200,8,FALSE()),"")</f>
        <v>DigiKey</v>
      </c>
      <c r="D29" s="29" t="str">
        <f>IFERROR(VLOOKUP($A29,Stock!$A$5:$I$200,9,FALSE()),"")</f>
        <v>24AA025E64T-I/OTCT-ND</v>
      </c>
      <c r="E29" s="31">
        <f>SUMIFS(Kit_BOM!$F$2:$F$204,Kit_BOM!$E$2:$E$204,$A29,Kit_BOM!$A$2:$A$204,$A$5,Kit_BOM!$G$2:$G$204,"Bestücken")*$C$5+SUMIFS(Kit_BOM!$F$2:$F$204,Kit_BOM!$E$2:$E$204,$A29,Kit_BOM!$A$2:$A$204,$A$5,Kit_BOM!$G$2:$G$204,"Mechanical")*$C$5+IF($F$5="Ja",SUMIFS(Kit_BOM!$F$2:$F$204,Kit_BOM!$E$2:$E$204,$A29,Kit_BOM!$A$2:$A$204,$A$5,Kit_BOM!$G$2:$G$204,"Optional")*$C$5,0)+IF($F$6="Ja",SUMIFS(Kit_BOM!$F$2:$F$204,Kit_BOM!$E$2:$E$204,$A29,Kit_BOM!$A$2:$A$204,$A$5,Kit_BOM!$G$2:$G$204,"DNP")*$C$5,0)+SUMIFS(Kit_BOM!$F$2:$F$204,Kit_BOM!$E$2:$E$204,$A29,Kit_BOM!$A$2:$A$204,$A$6,Kit_BOM!$G$2:$G$204,"Bestücken")*$C$6+SUMIFS(Kit_BOM!$F$2:$F$204,Kit_BOM!$E$2:$E$204,$A29,Kit_BOM!$A$2:$A$204,$A$6,Kit_BOM!$G$2:$G$204,"Mechanical")*$C$6+IF($F$5="Ja",SUMIFS(Kit_BOM!$F$2:$F$204,Kit_BOM!$E$2:$E$204,$A29,Kit_BOM!$A$2:$A$204,$A$6,Kit_BOM!$G$2:$G$204,"Optional")*$C$6,0)+IF($F$6="Ja",SUMIFS(Kit_BOM!$F$2:$F$204,Kit_BOM!$E$2:$E$204,$A29,Kit_BOM!$A$2:$A$204,$A$6,Kit_BOM!$G$2:$G$204,"DNP")*$C$6,0)+SUMIFS(Kit_BOM!$F$2:$F$204,Kit_BOM!$E$2:$E$204,$A29,Kit_BOM!$A$2:$A$204,$A$7,Kit_BOM!$G$2:$G$204,"Bestücken")*$C$7+SUMIFS(Kit_BOM!$F$2:$F$204,Kit_BOM!$E$2:$E$204,$A29,Kit_BOM!$A$2:$A$204,$A$7,Kit_BOM!$G$2:$G$204,"Mechanical")*$C$7+IF($F$5="Ja",SUMIFS(Kit_BOM!$F$2:$F$204,Kit_BOM!$E$2:$E$204,$A29,Kit_BOM!$A$2:$A$204,$A$7,Kit_BOM!$G$2:$G$204,"Optional")*$C$7,0)+IF($F$6="Ja",SUMIFS(Kit_BOM!$F$2:$F$204,Kit_BOM!$E$2:$E$204,$A29,Kit_BOM!$A$2:$A$204,$A$7,Kit_BOM!$G$2:$G$204,"DNP")*$C$7,0)+SUMIFS(Kit_BOM!$F$2:$F$204,Kit_BOM!$E$2:$E$204,$A29,Kit_BOM!$A$2:$A$204,$A$8,Kit_BOM!$G$2:$G$204,"Bestücken")*$C$8+SUMIFS(Kit_BOM!$F$2:$F$204,Kit_BOM!$E$2:$E$204,$A29,Kit_BOM!$A$2:$A$204,$A$8,Kit_BOM!$G$2:$G$204,"Mechanical")*$C$8+IF($F$5="Ja",SUMIFS(Kit_BOM!$F$2:$F$204,Kit_BOM!$E$2:$E$204,$A29,Kit_BOM!$A$2:$A$204,$A$8,Kit_BOM!$G$2:$G$204,"Optional")*$C$8,0)+IF($F$6="Ja",SUMIFS(Kit_BOM!$F$2:$F$204,Kit_BOM!$E$2:$E$204,$A29,Kit_BOM!$A$2:$A$204,$A$8,Kit_BOM!$G$2:$G$204,"DNP")*$C$8,0)</f>
        <v>1</v>
      </c>
      <c r="F29" s="31">
        <f>IFERROR(IF(INDEX(Part_Suppliers!$G$2:$G$300,MATCH($A29&amp;"|"&amp;$C29,Part_Suppliers!$K$2:$K$300,0))=0,"",INDEX(Part_Suppliers!$G$2:$G$300,MATCH($A29&amp;"|"&amp;$C29,Part_Suppliers!$K$2:$K$300,0))),"")</f>
        <v>1</v>
      </c>
      <c r="G29" s="31">
        <f t="shared" si="0"/>
        <v>1</v>
      </c>
      <c r="H29" s="49">
        <f>SUMIFS(Part_Suppliers!$E$2:$E$300,Part_Suppliers!$A$2:$A$300,$A29,Part_Suppliers!$B$2:$B$300,$C29)</f>
        <v>0.32</v>
      </c>
      <c r="I29" s="49">
        <f t="shared" si="1"/>
        <v>0.32</v>
      </c>
      <c r="J29" t="str">
        <f t="shared" si="2"/>
        <v>Anderer Lieferant</v>
      </c>
      <c r="K29" s="29" t="str">
        <f>IFERROR(IF(INDEX(Part_Suppliers!$D$2:$D$300,MATCH($A29&amp;"|"&amp;$C29,Part_Suppliers!$K$2:$K$300,0))=0,"",INDEX(Part_Suppliers!$D$2:$D$300,MATCH($A29&amp;"|"&amp;$C29,Part_Suppliers!$K$2:$K$300,0))),"")</f>
        <v>https://www.digikey.de/de/products/detail/microchip-technology/24AA025E64T-I-OT/3908633</v>
      </c>
      <c r="L29" s="31">
        <f>IFERROR(VLOOKUP($A29,Stock!$A$5:$K$200,10,FALSE()),0)</f>
        <v>0</v>
      </c>
      <c r="M29" s="31">
        <f>IFERROR(VLOOKUP($A29,Stock!$A$5:$K$200,11,FALSE()),0)</f>
        <v>0</v>
      </c>
      <c r="N29" s="31">
        <f t="shared" si="3"/>
        <v>-1</v>
      </c>
      <c r="O29" s="31">
        <f t="shared" si="4"/>
        <v>1</v>
      </c>
      <c r="P29" s="50">
        <v>0</v>
      </c>
    </row>
    <row r="30" spans="1:16" ht="14" customHeight="1" x14ac:dyDescent="0.2">
      <c r="A30" s="29" t="s">
        <v>210</v>
      </c>
      <c r="B30" s="48" t="str">
        <f>IFERROR(VLOOKUP($A30,Parts!$A$2:$M$200,3,FALSE()),"")</f>
        <v>JST-SH Stiftleiste, 4-polig, horizontal</v>
      </c>
      <c r="C30" s="29" t="str">
        <f>IFERROR(VLOOKUP($A30,Stock!$A$5:$I$200,8,FALSE()),"")</f>
        <v>RS</v>
      </c>
      <c r="D30" s="29" t="str">
        <f>IFERROR(VLOOKUP($A30,Stock!$A$5:$I$200,9,FALSE()),"")</f>
        <v>515-1513</v>
      </c>
      <c r="E30" s="31">
        <f>SUMIFS(Kit_BOM!$F$2:$F$204,Kit_BOM!$E$2:$E$204,$A30,Kit_BOM!$A$2:$A$204,$A$5,Kit_BOM!$G$2:$G$204,"Bestücken")*$C$5+SUMIFS(Kit_BOM!$F$2:$F$204,Kit_BOM!$E$2:$E$204,$A30,Kit_BOM!$A$2:$A$204,$A$5,Kit_BOM!$G$2:$G$204,"Mechanical")*$C$5+IF($F$5="Ja",SUMIFS(Kit_BOM!$F$2:$F$204,Kit_BOM!$E$2:$E$204,$A30,Kit_BOM!$A$2:$A$204,$A$5,Kit_BOM!$G$2:$G$204,"Optional")*$C$5,0)+IF($F$6="Ja",SUMIFS(Kit_BOM!$F$2:$F$204,Kit_BOM!$E$2:$E$204,$A30,Kit_BOM!$A$2:$A$204,$A$5,Kit_BOM!$G$2:$G$204,"DNP")*$C$5,0)+SUMIFS(Kit_BOM!$F$2:$F$204,Kit_BOM!$E$2:$E$204,$A30,Kit_BOM!$A$2:$A$204,$A$6,Kit_BOM!$G$2:$G$204,"Bestücken")*$C$6+SUMIFS(Kit_BOM!$F$2:$F$204,Kit_BOM!$E$2:$E$204,$A30,Kit_BOM!$A$2:$A$204,$A$6,Kit_BOM!$G$2:$G$204,"Mechanical")*$C$6+IF($F$5="Ja",SUMIFS(Kit_BOM!$F$2:$F$204,Kit_BOM!$E$2:$E$204,$A30,Kit_BOM!$A$2:$A$204,$A$6,Kit_BOM!$G$2:$G$204,"Optional")*$C$6,0)+IF($F$6="Ja",SUMIFS(Kit_BOM!$F$2:$F$204,Kit_BOM!$E$2:$E$204,$A30,Kit_BOM!$A$2:$A$204,$A$6,Kit_BOM!$G$2:$G$204,"DNP")*$C$6,0)+SUMIFS(Kit_BOM!$F$2:$F$204,Kit_BOM!$E$2:$E$204,$A30,Kit_BOM!$A$2:$A$204,$A$7,Kit_BOM!$G$2:$G$204,"Bestücken")*$C$7+SUMIFS(Kit_BOM!$F$2:$F$204,Kit_BOM!$E$2:$E$204,$A30,Kit_BOM!$A$2:$A$204,$A$7,Kit_BOM!$G$2:$G$204,"Mechanical")*$C$7+IF($F$5="Ja",SUMIFS(Kit_BOM!$F$2:$F$204,Kit_BOM!$E$2:$E$204,$A30,Kit_BOM!$A$2:$A$204,$A$7,Kit_BOM!$G$2:$G$204,"Optional")*$C$7,0)+IF($F$6="Ja",SUMIFS(Kit_BOM!$F$2:$F$204,Kit_BOM!$E$2:$E$204,$A30,Kit_BOM!$A$2:$A$204,$A$7,Kit_BOM!$G$2:$G$204,"DNP")*$C$7,0)+SUMIFS(Kit_BOM!$F$2:$F$204,Kit_BOM!$E$2:$E$204,$A30,Kit_BOM!$A$2:$A$204,$A$8,Kit_BOM!$G$2:$G$204,"Bestücken")*$C$8+SUMIFS(Kit_BOM!$F$2:$F$204,Kit_BOM!$E$2:$E$204,$A30,Kit_BOM!$A$2:$A$204,$A$8,Kit_BOM!$G$2:$G$204,"Mechanical")*$C$8+IF($F$5="Ja",SUMIFS(Kit_BOM!$F$2:$F$204,Kit_BOM!$E$2:$E$204,$A30,Kit_BOM!$A$2:$A$204,$A$8,Kit_BOM!$G$2:$G$204,"Optional")*$C$8,0)+IF($F$6="Ja",SUMIFS(Kit_BOM!$F$2:$F$204,Kit_BOM!$E$2:$E$204,$A30,Kit_BOM!$A$2:$A$204,$A$8,Kit_BOM!$G$2:$G$204,"DNP")*$C$8,0)</f>
        <v>2</v>
      </c>
      <c r="F30" s="31">
        <f>IFERROR(IF(INDEX(Part_Suppliers!$G$2:$G$300,MATCH($A30&amp;"|"&amp;$C30,Part_Suppliers!$K$2:$K$300,0))=0,"",INDEX(Part_Suppliers!$G$2:$G$300,MATCH($A30&amp;"|"&amp;$C30,Part_Suppliers!$K$2:$K$300,0))),"")</f>
        <v>10</v>
      </c>
      <c r="G30" s="31">
        <f t="shared" si="0"/>
        <v>10</v>
      </c>
      <c r="H30" s="49">
        <f>SUMIFS(Part_Suppliers!$E$2:$E$300,Part_Suppliers!$A$2:$A$300,$A30,Part_Suppliers!$B$2:$B$300,$C30)</f>
        <v>0.57999999999999996</v>
      </c>
      <c r="I30" s="49">
        <f t="shared" si="1"/>
        <v>5.8</v>
      </c>
      <c r="J30" t="str">
        <f t="shared" si="2"/>
        <v>Anderer Lieferant</v>
      </c>
      <c r="K30" s="29" t="str">
        <f>IFERROR(IF(INDEX(Part_Suppliers!$D$2:$D$300,MATCH($A30&amp;"|"&amp;$C30,Part_Suppliers!$K$2:$K$300,0))=0,"",INDEX(Part_Suppliers!$D$2:$D$300,MATCH($A30&amp;"|"&amp;$C30,Part_Suppliers!$K$2:$K$300,0))),"")</f>
        <v>https://de.rs-online.com/web/p/leiterplatten-header/5151513?cm_mmc=DE-PLA-DS3A-_-google-_-CSS_DE_DE_PMAX_Catch+All-_--_-5151513&amp;matchtype=&amp;&amp;gclsrc=aw.ds&amp;gad_source=1&amp;gad_campaignid=20579356490&amp;gbraid=0AAAAADkeWNMTclazDyI9zcjcIGwAjXoW9&amp;gclid=Cj0KCQjwnbrUBhDOARIsAKKhPpdLcMySAoEWll9Yd6dc_BCjxUsLFQOO7peTYM0DUy9ctvB7N_5s3bUaAoLZEALw_wcB</v>
      </c>
      <c r="L30" s="31">
        <f>IFERROR(VLOOKUP($A30,Stock!$A$5:$K$200,10,FALSE()),0)</f>
        <v>0</v>
      </c>
      <c r="M30" s="31">
        <f>IFERROR(VLOOKUP($A30,Stock!$A$5:$K$200,11,FALSE()),0)</f>
        <v>0</v>
      </c>
      <c r="N30" s="31">
        <f t="shared" si="3"/>
        <v>-2</v>
      </c>
      <c r="O30" s="31">
        <f t="shared" si="4"/>
        <v>10</v>
      </c>
      <c r="P30" s="50">
        <v>0</v>
      </c>
    </row>
    <row r="31" spans="1:16" ht="14" customHeight="1" x14ac:dyDescent="0.2">
      <c r="A31" s="29" t="s">
        <v>218</v>
      </c>
      <c r="B31" s="48" t="str">
        <f>IFERROR(VLOOKUP($A31,Parts!$A$2:$M$200,3,FALSE()),"")</f>
        <v>16-Bit ADC mit I²C</v>
      </c>
      <c r="C31" s="29" t="str">
        <f>IFERROR(VLOOKUP($A31,Stock!$A$5:$I$200,8,FALSE()),"")</f>
        <v>Noch festlegen</v>
      </c>
      <c r="D31" s="29" t="str">
        <f>IFERROR(VLOOKUP($A31,Stock!$A$5:$I$200,9,FALSE()),"")</f>
        <v/>
      </c>
      <c r="E31" s="31">
        <f>SUMIFS(Kit_BOM!$F$2:$F$204,Kit_BOM!$E$2:$E$204,$A31,Kit_BOM!$A$2:$A$204,$A$5,Kit_BOM!$G$2:$G$204,"Bestücken")*$C$5+SUMIFS(Kit_BOM!$F$2:$F$204,Kit_BOM!$E$2:$E$204,$A31,Kit_BOM!$A$2:$A$204,$A$5,Kit_BOM!$G$2:$G$204,"Mechanical")*$C$5+IF($F$5="Ja",SUMIFS(Kit_BOM!$F$2:$F$204,Kit_BOM!$E$2:$E$204,$A31,Kit_BOM!$A$2:$A$204,$A$5,Kit_BOM!$G$2:$G$204,"Optional")*$C$5,0)+IF($F$6="Ja",SUMIFS(Kit_BOM!$F$2:$F$204,Kit_BOM!$E$2:$E$204,$A31,Kit_BOM!$A$2:$A$204,$A$5,Kit_BOM!$G$2:$G$204,"DNP")*$C$5,0)+SUMIFS(Kit_BOM!$F$2:$F$204,Kit_BOM!$E$2:$E$204,$A31,Kit_BOM!$A$2:$A$204,$A$6,Kit_BOM!$G$2:$G$204,"Bestücken")*$C$6+SUMIFS(Kit_BOM!$F$2:$F$204,Kit_BOM!$E$2:$E$204,$A31,Kit_BOM!$A$2:$A$204,$A$6,Kit_BOM!$G$2:$G$204,"Mechanical")*$C$6+IF($F$5="Ja",SUMIFS(Kit_BOM!$F$2:$F$204,Kit_BOM!$E$2:$E$204,$A31,Kit_BOM!$A$2:$A$204,$A$6,Kit_BOM!$G$2:$G$204,"Optional")*$C$6,0)+IF($F$6="Ja",SUMIFS(Kit_BOM!$F$2:$F$204,Kit_BOM!$E$2:$E$204,$A31,Kit_BOM!$A$2:$A$204,$A$6,Kit_BOM!$G$2:$G$204,"DNP")*$C$6,0)+SUMIFS(Kit_BOM!$F$2:$F$204,Kit_BOM!$E$2:$E$204,$A31,Kit_BOM!$A$2:$A$204,$A$7,Kit_BOM!$G$2:$G$204,"Bestücken")*$C$7+SUMIFS(Kit_BOM!$F$2:$F$204,Kit_BOM!$E$2:$E$204,$A31,Kit_BOM!$A$2:$A$204,$A$7,Kit_BOM!$G$2:$G$204,"Mechanical")*$C$7+IF($F$5="Ja",SUMIFS(Kit_BOM!$F$2:$F$204,Kit_BOM!$E$2:$E$204,$A31,Kit_BOM!$A$2:$A$204,$A$7,Kit_BOM!$G$2:$G$204,"Optional")*$C$7,0)+IF($F$6="Ja",SUMIFS(Kit_BOM!$F$2:$F$204,Kit_BOM!$E$2:$E$204,$A31,Kit_BOM!$A$2:$A$204,$A$7,Kit_BOM!$G$2:$G$204,"DNP")*$C$7,0)+SUMIFS(Kit_BOM!$F$2:$F$204,Kit_BOM!$E$2:$E$204,$A31,Kit_BOM!$A$2:$A$204,$A$8,Kit_BOM!$G$2:$G$204,"Bestücken")*$C$8+SUMIFS(Kit_BOM!$F$2:$F$204,Kit_BOM!$E$2:$E$204,$A31,Kit_BOM!$A$2:$A$204,$A$8,Kit_BOM!$G$2:$G$204,"Mechanical")*$C$8+IF($F$5="Ja",SUMIFS(Kit_BOM!$F$2:$F$204,Kit_BOM!$E$2:$E$204,$A31,Kit_BOM!$A$2:$A$204,$A$8,Kit_BOM!$G$2:$G$204,"Optional")*$C$8,0)+IF($F$6="Ja",SUMIFS(Kit_BOM!$F$2:$F$204,Kit_BOM!$E$2:$E$204,$A31,Kit_BOM!$A$2:$A$204,$A$8,Kit_BOM!$G$2:$G$204,"DNP")*$C$8,0)</f>
        <v>0</v>
      </c>
      <c r="F31" s="31" t="str">
        <f>IFERROR(IF(INDEX(Part_Suppliers!$G$2:$G$300,MATCH($A31&amp;"|"&amp;$C31,Part_Suppliers!$K$2:$K$300,0))=0,"",INDEX(Part_Suppliers!$G$2:$G$300,MATCH($A31&amp;"|"&amp;$C31,Part_Suppliers!$K$2:$K$300,0))),"")</f>
        <v/>
      </c>
      <c r="G31" s="31">
        <f t="shared" si="0"/>
        <v>0</v>
      </c>
      <c r="H31" s="49">
        <f>SUMIFS(Part_Suppliers!$E$2:$E$300,Part_Suppliers!$A$2:$A$300,$A31,Part_Suppliers!$B$2:$B$300,$C31)</f>
        <v>0</v>
      </c>
      <c r="I31" s="49">
        <f t="shared" si="1"/>
        <v>0</v>
      </c>
      <c r="J31" t="str">
        <f t="shared" si="2"/>
        <v>Nicht benötigt</v>
      </c>
      <c r="K31" s="29" t="str">
        <f>IFERROR(IF(INDEX(Part_Suppliers!$D$2:$D$300,MATCH($A31&amp;"|"&amp;$C31,Part_Suppliers!$K$2:$K$300,0))=0,"",INDEX(Part_Suppliers!$D$2:$D$300,MATCH($A31&amp;"|"&amp;$C31,Part_Suppliers!$K$2:$K$300,0))),"")</f>
        <v/>
      </c>
      <c r="L31" s="31">
        <f>IFERROR(VLOOKUP($A31,Stock!$A$5:$K$200,10,FALSE()),0)</f>
        <v>0</v>
      </c>
      <c r="M31" s="31">
        <f>IFERROR(VLOOKUP($A31,Stock!$A$5:$K$200,11,FALSE()),0)</f>
        <v>0</v>
      </c>
      <c r="N31" s="31">
        <f t="shared" si="3"/>
        <v>0</v>
      </c>
      <c r="O31" s="31">
        <f t="shared" si="4"/>
        <v>0</v>
      </c>
      <c r="P31" s="50">
        <v>0</v>
      </c>
    </row>
    <row r="32" spans="1:16" ht="14" customHeight="1" x14ac:dyDescent="0.2">
      <c r="A32" s="29" t="s">
        <v>225</v>
      </c>
      <c r="B32" s="48" t="str">
        <f>IFERROR(VLOOKUP($A32,Parts!$A$2:$M$200,3,FALSE()),"")</f>
        <v>Keramikkondensator 1 µF SMD</v>
      </c>
      <c r="C32" s="29" t="str">
        <f>IFERROR(VLOOKUP($A32,Stock!$A$5:$I$200,8,FALSE()),"")</f>
        <v>Reichelt</v>
      </c>
      <c r="D32" s="29" t="str">
        <f>IFERROR(VLOOKUP($A32,Stock!$A$5:$I$200,9,FALSE()),"")</f>
        <v>12065C105JAT2A</v>
      </c>
      <c r="E32" s="31">
        <f>SUMIFS(Kit_BOM!$F$2:$F$204,Kit_BOM!$E$2:$E$204,$A32,Kit_BOM!$A$2:$A$204,$A$5,Kit_BOM!$G$2:$G$204,"Bestücken")*$C$5+SUMIFS(Kit_BOM!$F$2:$F$204,Kit_BOM!$E$2:$E$204,$A32,Kit_BOM!$A$2:$A$204,$A$5,Kit_BOM!$G$2:$G$204,"Mechanical")*$C$5+IF($F$5="Ja",SUMIFS(Kit_BOM!$F$2:$F$204,Kit_BOM!$E$2:$E$204,$A32,Kit_BOM!$A$2:$A$204,$A$5,Kit_BOM!$G$2:$G$204,"Optional")*$C$5,0)+IF($F$6="Ja",SUMIFS(Kit_BOM!$F$2:$F$204,Kit_BOM!$E$2:$E$204,$A32,Kit_BOM!$A$2:$A$204,$A$5,Kit_BOM!$G$2:$G$204,"DNP")*$C$5,0)+SUMIFS(Kit_BOM!$F$2:$F$204,Kit_BOM!$E$2:$E$204,$A32,Kit_BOM!$A$2:$A$204,$A$6,Kit_BOM!$G$2:$G$204,"Bestücken")*$C$6+SUMIFS(Kit_BOM!$F$2:$F$204,Kit_BOM!$E$2:$E$204,$A32,Kit_BOM!$A$2:$A$204,$A$6,Kit_BOM!$G$2:$G$204,"Mechanical")*$C$6+IF($F$5="Ja",SUMIFS(Kit_BOM!$F$2:$F$204,Kit_BOM!$E$2:$E$204,$A32,Kit_BOM!$A$2:$A$204,$A$6,Kit_BOM!$G$2:$G$204,"Optional")*$C$6,0)+IF($F$6="Ja",SUMIFS(Kit_BOM!$F$2:$F$204,Kit_BOM!$E$2:$E$204,$A32,Kit_BOM!$A$2:$A$204,$A$6,Kit_BOM!$G$2:$G$204,"DNP")*$C$6,0)+SUMIFS(Kit_BOM!$F$2:$F$204,Kit_BOM!$E$2:$E$204,$A32,Kit_BOM!$A$2:$A$204,$A$7,Kit_BOM!$G$2:$G$204,"Bestücken")*$C$7+SUMIFS(Kit_BOM!$F$2:$F$204,Kit_BOM!$E$2:$E$204,$A32,Kit_BOM!$A$2:$A$204,$A$7,Kit_BOM!$G$2:$G$204,"Mechanical")*$C$7+IF($F$5="Ja",SUMIFS(Kit_BOM!$F$2:$F$204,Kit_BOM!$E$2:$E$204,$A32,Kit_BOM!$A$2:$A$204,$A$7,Kit_BOM!$G$2:$G$204,"Optional")*$C$7,0)+IF($F$6="Ja",SUMIFS(Kit_BOM!$F$2:$F$204,Kit_BOM!$E$2:$E$204,$A32,Kit_BOM!$A$2:$A$204,$A$7,Kit_BOM!$G$2:$G$204,"DNP")*$C$7,0)+SUMIFS(Kit_BOM!$F$2:$F$204,Kit_BOM!$E$2:$E$204,$A32,Kit_BOM!$A$2:$A$204,$A$8,Kit_BOM!$G$2:$G$204,"Bestücken")*$C$8+SUMIFS(Kit_BOM!$F$2:$F$204,Kit_BOM!$E$2:$E$204,$A32,Kit_BOM!$A$2:$A$204,$A$8,Kit_BOM!$G$2:$G$204,"Mechanical")*$C$8+IF($F$5="Ja",SUMIFS(Kit_BOM!$F$2:$F$204,Kit_BOM!$E$2:$E$204,$A32,Kit_BOM!$A$2:$A$204,$A$8,Kit_BOM!$G$2:$G$204,"Optional")*$C$8,0)+IF($F$6="Ja",SUMIFS(Kit_BOM!$F$2:$F$204,Kit_BOM!$E$2:$E$204,$A32,Kit_BOM!$A$2:$A$204,$A$8,Kit_BOM!$G$2:$G$204,"DNP")*$C$8,0)</f>
        <v>0</v>
      </c>
      <c r="F32" s="31" t="str">
        <f>IFERROR(IF(INDEX(Part_Suppliers!$G$2:$G$300,MATCH($A32&amp;"|"&amp;$C32,Part_Suppliers!$K$2:$K$300,0))=0,"",INDEX(Part_Suppliers!$G$2:$G$300,MATCH($A32&amp;"|"&amp;$C32,Part_Suppliers!$K$2:$K$300,0))),"")</f>
        <v/>
      </c>
      <c r="G32" s="31">
        <f t="shared" si="0"/>
        <v>0</v>
      </c>
      <c r="H32" s="49">
        <f>SUMIFS(Part_Suppliers!$E$2:$E$300,Part_Suppliers!$A$2:$A$300,$A32,Part_Suppliers!$B$2:$B$300,$C32)</f>
        <v>0.16</v>
      </c>
      <c r="I32" s="49">
        <f t="shared" si="1"/>
        <v>0</v>
      </c>
      <c r="J32" t="str">
        <f t="shared" si="2"/>
        <v>Nicht benötigt</v>
      </c>
      <c r="K32" s="29" t="str">
        <f>IFERROR(IF(INDEX(Part_Suppliers!$D$2:$D$300,MATCH($A32&amp;"|"&amp;$C32,Part_Suppliers!$K$2:$K$300,0))=0,"",INDEX(Part_Suppliers!$D$2:$D$300,MATCH($A32&amp;"|"&amp;$C32,Part_Suppliers!$K$2:$K$300,0))),"")</f>
        <v>https://www.reichelt.de/de/de/shop/produkt/mlcc_1206_1_f_50_v_-5_x7r-409277</v>
      </c>
      <c r="L32" s="31">
        <f>IFERROR(VLOOKUP($A32,Stock!$A$5:$K$200,10,FALSE()),0)</f>
        <v>0</v>
      </c>
      <c r="M32" s="31">
        <f>IFERROR(VLOOKUP($A32,Stock!$A$5:$K$200,11,FALSE()),0)</f>
        <v>0</v>
      </c>
      <c r="N32" s="31">
        <f t="shared" si="3"/>
        <v>0</v>
      </c>
      <c r="O32" s="31">
        <f t="shared" si="4"/>
        <v>0</v>
      </c>
      <c r="P32" s="50">
        <v>0</v>
      </c>
    </row>
    <row r="33" spans="1:16" ht="14" customHeight="1" x14ac:dyDescent="0.2">
      <c r="A33" s="29" t="s">
        <v>231</v>
      </c>
      <c r="B33" s="48" t="str">
        <f>IFERROR(VLOOKUP($A33,Parts!$A$2:$M$200,3,FALSE()),"")</f>
        <v>Dual-Schottky-Diode BAT54S</v>
      </c>
      <c r="C33" s="29" t="str">
        <f>IFERROR(VLOOKUP($A33,Stock!$A$5:$I$200,8,FALSE()),"")</f>
        <v>Reichelt</v>
      </c>
      <c r="D33" s="29" t="str">
        <f>IFERROR(VLOOKUP($A33,Stock!$A$5:$I$200,9,FALSE()),"")</f>
        <v>BAT 54S DIO</v>
      </c>
      <c r="E33" s="31">
        <f>SUMIFS(Kit_BOM!$F$2:$F$204,Kit_BOM!$E$2:$E$204,$A33,Kit_BOM!$A$2:$A$204,$A$5,Kit_BOM!$G$2:$G$204,"Bestücken")*$C$5+SUMIFS(Kit_BOM!$F$2:$F$204,Kit_BOM!$E$2:$E$204,$A33,Kit_BOM!$A$2:$A$204,$A$5,Kit_BOM!$G$2:$G$204,"Mechanical")*$C$5+IF($F$5="Ja",SUMIFS(Kit_BOM!$F$2:$F$204,Kit_BOM!$E$2:$E$204,$A33,Kit_BOM!$A$2:$A$204,$A$5,Kit_BOM!$G$2:$G$204,"Optional")*$C$5,0)+IF($F$6="Ja",SUMIFS(Kit_BOM!$F$2:$F$204,Kit_BOM!$E$2:$E$204,$A33,Kit_BOM!$A$2:$A$204,$A$5,Kit_BOM!$G$2:$G$204,"DNP")*$C$5,0)+SUMIFS(Kit_BOM!$F$2:$F$204,Kit_BOM!$E$2:$E$204,$A33,Kit_BOM!$A$2:$A$204,$A$6,Kit_BOM!$G$2:$G$204,"Bestücken")*$C$6+SUMIFS(Kit_BOM!$F$2:$F$204,Kit_BOM!$E$2:$E$204,$A33,Kit_BOM!$A$2:$A$204,$A$6,Kit_BOM!$G$2:$G$204,"Mechanical")*$C$6+IF($F$5="Ja",SUMIFS(Kit_BOM!$F$2:$F$204,Kit_BOM!$E$2:$E$204,$A33,Kit_BOM!$A$2:$A$204,$A$6,Kit_BOM!$G$2:$G$204,"Optional")*$C$6,0)+IF($F$6="Ja",SUMIFS(Kit_BOM!$F$2:$F$204,Kit_BOM!$E$2:$E$204,$A33,Kit_BOM!$A$2:$A$204,$A$6,Kit_BOM!$G$2:$G$204,"DNP")*$C$6,0)+SUMIFS(Kit_BOM!$F$2:$F$204,Kit_BOM!$E$2:$E$204,$A33,Kit_BOM!$A$2:$A$204,$A$7,Kit_BOM!$G$2:$G$204,"Bestücken")*$C$7+SUMIFS(Kit_BOM!$F$2:$F$204,Kit_BOM!$E$2:$E$204,$A33,Kit_BOM!$A$2:$A$204,$A$7,Kit_BOM!$G$2:$G$204,"Mechanical")*$C$7+IF($F$5="Ja",SUMIFS(Kit_BOM!$F$2:$F$204,Kit_BOM!$E$2:$E$204,$A33,Kit_BOM!$A$2:$A$204,$A$7,Kit_BOM!$G$2:$G$204,"Optional")*$C$7,0)+IF($F$6="Ja",SUMIFS(Kit_BOM!$F$2:$F$204,Kit_BOM!$E$2:$E$204,$A33,Kit_BOM!$A$2:$A$204,$A$7,Kit_BOM!$G$2:$G$204,"DNP")*$C$7,0)+SUMIFS(Kit_BOM!$F$2:$F$204,Kit_BOM!$E$2:$E$204,$A33,Kit_BOM!$A$2:$A$204,$A$8,Kit_BOM!$G$2:$G$204,"Bestücken")*$C$8+SUMIFS(Kit_BOM!$F$2:$F$204,Kit_BOM!$E$2:$E$204,$A33,Kit_BOM!$A$2:$A$204,$A$8,Kit_BOM!$G$2:$G$204,"Mechanical")*$C$8+IF($F$5="Ja",SUMIFS(Kit_BOM!$F$2:$F$204,Kit_BOM!$E$2:$E$204,$A33,Kit_BOM!$A$2:$A$204,$A$8,Kit_BOM!$G$2:$G$204,"Optional")*$C$8,0)+IF($F$6="Ja",SUMIFS(Kit_BOM!$F$2:$F$204,Kit_BOM!$E$2:$E$204,$A33,Kit_BOM!$A$2:$A$204,$A$8,Kit_BOM!$G$2:$G$204,"DNP")*$C$8,0)</f>
        <v>0</v>
      </c>
      <c r="F33" s="31" t="str">
        <f>IFERROR(IF(INDEX(Part_Suppliers!$G$2:$G$300,MATCH($A33&amp;"|"&amp;$C33,Part_Suppliers!$K$2:$K$300,0))=0,"",INDEX(Part_Suppliers!$G$2:$G$300,MATCH($A33&amp;"|"&amp;$C33,Part_Suppliers!$K$2:$K$300,0))),"")</f>
        <v/>
      </c>
      <c r="G33" s="31">
        <f t="shared" si="0"/>
        <v>0</v>
      </c>
      <c r="H33" s="49">
        <f>SUMIFS(Part_Suppliers!$E$2:$E$300,Part_Suppliers!$A$2:$A$300,$A33,Part_Suppliers!$B$2:$B$300,$C33)</f>
        <v>0.04</v>
      </c>
      <c r="I33" s="49">
        <f t="shared" si="1"/>
        <v>0</v>
      </c>
      <c r="J33" t="str">
        <f t="shared" si="2"/>
        <v>Nicht benötigt</v>
      </c>
      <c r="K33" s="29" t="str">
        <f>IFERROR(IF(INDEX(Part_Suppliers!$D$2:$D$300,MATCH($A33&amp;"|"&amp;$C33,Part_Suppliers!$K$2:$K$300,0))=0,"",INDEX(Part_Suppliers!$D$2:$D$300,MATCH($A33&amp;"|"&amp;$C33,Part_Suppliers!$K$2:$K$300,0))),"")</f>
        <v>https://www.reichelt.de/de/de/shop/produkt/schottkydiode_30_v_0_2_a_sot-23-219176</v>
      </c>
      <c r="L33" s="31">
        <f>IFERROR(VLOOKUP($A33,Stock!$A$5:$K$200,10,FALSE()),0)</f>
        <v>0</v>
      </c>
      <c r="M33" s="31">
        <f>IFERROR(VLOOKUP($A33,Stock!$A$5:$K$200,11,FALSE()),0)</f>
        <v>0</v>
      </c>
      <c r="N33" s="31">
        <f t="shared" si="3"/>
        <v>0</v>
      </c>
      <c r="O33" s="31">
        <f t="shared" si="4"/>
        <v>0</v>
      </c>
      <c r="P33" s="50">
        <v>0</v>
      </c>
    </row>
    <row r="34" spans="1:16" ht="14" customHeight="1" x14ac:dyDescent="0.2">
      <c r="A34" s="29" t="s">
        <v>247</v>
      </c>
      <c r="B34" s="48" t="str">
        <f>IFERROR(VLOOKUP($A34,Parts!$A$2:$M$200,3,FALSE()),"")</f>
        <v>Buchsenleiste 1x2, vertikal</v>
      </c>
      <c r="C34" s="29" t="str">
        <f>IFERROR(VLOOKUP($A34,Stock!$A$5:$I$200,8,FALSE()),"")</f>
        <v>Noch festlegen</v>
      </c>
      <c r="D34" s="29" t="str">
        <f>IFERROR(VLOOKUP($A34,Stock!$A$5:$I$200,9,FALSE()),"")</f>
        <v/>
      </c>
      <c r="E34" s="31">
        <f>SUMIFS(Kit_BOM!$F$2:$F$204,Kit_BOM!$E$2:$E$204,$A34,Kit_BOM!$A$2:$A$204,$A$5,Kit_BOM!$G$2:$G$204,"Bestücken")*$C$5+SUMIFS(Kit_BOM!$F$2:$F$204,Kit_BOM!$E$2:$E$204,$A34,Kit_BOM!$A$2:$A$204,$A$5,Kit_BOM!$G$2:$G$204,"Mechanical")*$C$5+IF($F$5="Ja",SUMIFS(Kit_BOM!$F$2:$F$204,Kit_BOM!$E$2:$E$204,$A34,Kit_BOM!$A$2:$A$204,$A$5,Kit_BOM!$G$2:$G$204,"Optional")*$C$5,0)+IF($F$6="Ja",SUMIFS(Kit_BOM!$F$2:$F$204,Kit_BOM!$E$2:$E$204,$A34,Kit_BOM!$A$2:$A$204,$A$5,Kit_BOM!$G$2:$G$204,"DNP")*$C$5,0)+SUMIFS(Kit_BOM!$F$2:$F$204,Kit_BOM!$E$2:$E$204,$A34,Kit_BOM!$A$2:$A$204,$A$6,Kit_BOM!$G$2:$G$204,"Bestücken")*$C$6+SUMIFS(Kit_BOM!$F$2:$F$204,Kit_BOM!$E$2:$E$204,$A34,Kit_BOM!$A$2:$A$204,$A$6,Kit_BOM!$G$2:$G$204,"Mechanical")*$C$6+IF($F$5="Ja",SUMIFS(Kit_BOM!$F$2:$F$204,Kit_BOM!$E$2:$E$204,$A34,Kit_BOM!$A$2:$A$204,$A$6,Kit_BOM!$G$2:$G$204,"Optional")*$C$6,0)+IF($F$6="Ja",SUMIFS(Kit_BOM!$F$2:$F$204,Kit_BOM!$E$2:$E$204,$A34,Kit_BOM!$A$2:$A$204,$A$6,Kit_BOM!$G$2:$G$204,"DNP")*$C$6,0)+SUMIFS(Kit_BOM!$F$2:$F$204,Kit_BOM!$E$2:$E$204,$A34,Kit_BOM!$A$2:$A$204,$A$7,Kit_BOM!$G$2:$G$204,"Bestücken")*$C$7+SUMIFS(Kit_BOM!$F$2:$F$204,Kit_BOM!$E$2:$E$204,$A34,Kit_BOM!$A$2:$A$204,$A$7,Kit_BOM!$G$2:$G$204,"Mechanical")*$C$7+IF($F$5="Ja",SUMIFS(Kit_BOM!$F$2:$F$204,Kit_BOM!$E$2:$E$204,$A34,Kit_BOM!$A$2:$A$204,$A$7,Kit_BOM!$G$2:$G$204,"Optional")*$C$7,0)+IF($F$6="Ja",SUMIFS(Kit_BOM!$F$2:$F$204,Kit_BOM!$E$2:$E$204,$A34,Kit_BOM!$A$2:$A$204,$A$7,Kit_BOM!$G$2:$G$204,"DNP")*$C$7,0)+SUMIFS(Kit_BOM!$F$2:$F$204,Kit_BOM!$E$2:$E$204,$A34,Kit_BOM!$A$2:$A$204,$A$8,Kit_BOM!$G$2:$G$204,"Bestücken")*$C$8+SUMIFS(Kit_BOM!$F$2:$F$204,Kit_BOM!$E$2:$E$204,$A34,Kit_BOM!$A$2:$A$204,$A$8,Kit_BOM!$G$2:$G$204,"Mechanical")*$C$8+IF($F$5="Ja",SUMIFS(Kit_BOM!$F$2:$F$204,Kit_BOM!$E$2:$E$204,$A34,Kit_BOM!$A$2:$A$204,$A$8,Kit_BOM!$G$2:$G$204,"Optional")*$C$8,0)+IF($F$6="Ja",SUMIFS(Kit_BOM!$F$2:$F$204,Kit_BOM!$E$2:$E$204,$A34,Kit_BOM!$A$2:$A$204,$A$8,Kit_BOM!$G$2:$G$204,"DNP")*$C$8,0)</f>
        <v>0</v>
      </c>
      <c r="F34" s="31" t="str">
        <f>IFERROR(IF(INDEX(Part_Suppliers!$G$2:$G$300,MATCH($A34&amp;"|"&amp;$C34,Part_Suppliers!$K$2:$K$300,0))=0,"",INDEX(Part_Suppliers!$G$2:$G$300,MATCH($A34&amp;"|"&amp;$C34,Part_Suppliers!$K$2:$K$300,0))),"")</f>
        <v/>
      </c>
      <c r="G34" s="31">
        <f t="shared" si="0"/>
        <v>0</v>
      </c>
      <c r="H34" s="49">
        <f>SUMIFS(Part_Suppliers!$E$2:$E$300,Part_Suppliers!$A$2:$A$300,$A34,Part_Suppliers!$B$2:$B$300,$C34)</f>
        <v>0</v>
      </c>
      <c r="I34" s="49">
        <f t="shared" si="1"/>
        <v>0</v>
      </c>
      <c r="J34" t="str">
        <f t="shared" si="2"/>
        <v>Nicht benötigt</v>
      </c>
      <c r="K34" s="29" t="str">
        <f>IFERROR(IF(INDEX(Part_Suppliers!$D$2:$D$300,MATCH($A34&amp;"|"&amp;$C34,Part_Suppliers!$K$2:$K$300,0))=0,"",INDEX(Part_Suppliers!$D$2:$D$300,MATCH($A34&amp;"|"&amp;$C34,Part_Suppliers!$K$2:$K$300,0))),"")</f>
        <v/>
      </c>
      <c r="L34" s="31">
        <f>IFERROR(VLOOKUP($A34,Stock!$A$5:$K$200,10,FALSE()),0)</f>
        <v>0</v>
      </c>
      <c r="M34" s="31">
        <f>IFERROR(VLOOKUP($A34,Stock!$A$5:$K$200,11,FALSE()),0)</f>
        <v>0</v>
      </c>
      <c r="N34" s="31">
        <f t="shared" si="3"/>
        <v>0</v>
      </c>
      <c r="O34" s="31">
        <f t="shared" si="4"/>
        <v>0</v>
      </c>
      <c r="P34" s="50">
        <v>0</v>
      </c>
    </row>
    <row r="35" spans="1:16" ht="26.25" customHeight="1" x14ac:dyDescent="0.2">
      <c r="A35" s="29" t="s">
        <v>253</v>
      </c>
      <c r="B35" s="48" t="str">
        <f>IFERROR(VLOOKUP($A35,Parts!$A$2:$M$200,3,FALSE()),"")</f>
        <v>Widerstand, Metallschicht, 150 Ohm, 0207, 250 mW, 0,1%</v>
      </c>
      <c r="C35" s="29" t="str">
        <f>IFERROR(VLOOKUP($A35,Stock!$A$5:$I$200,8,FALSE()),"")</f>
        <v>Reichelt</v>
      </c>
      <c r="D35" s="29" t="str">
        <f>IFERROR(VLOOKUP($A35,Stock!$A$5:$I$200,9,FALSE()),"")</f>
        <v>ARC MRA0207 150R</v>
      </c>
      <c r="E35" s="31">
        <f>SUMIFS(Kit_BOM!$F$2:$F$204,Kit_BOM!$E$2:$E$204,$A35,Kit_BOM!$A$2:$A$204,$A$5,Kit_BOM!$G$2:$G$204,"Bestücken")*$C$5+SUMIFS(Kit_BOM!$F$2:$F$204,Kit_BOM!$E$2:$E$204,$A35,Kit_BOM!$A$2:$A$204,$A$5,Kit_BOM!$G$2:$G$204,"Mechanical")*$C$5+IF($F$5="Ja",SUMIFS(Kit_BOM!$F$2:$F$204,Kit_BOM!$E$2:$E$204,$A35,Kit_BOM!$A$2:$A$204,$A$5,Kit_BOM!$G$2:$G$204,"Optional")*$C$5,0)+IF($F$6="Ja",SUMIFS(Kit_BOM!$F$2:$F$204,Kit_BOM!$E$2:$E$204,$A35,Kit_BOM!$A$2:$A$204,$A$5,Kit_BOM!$G$2:$G$204,"DNP")*$C$5,0)+SUMIFS(Kit_BOM!$F$2:$F$204,Kit_BOM!$E$2:$E$204,$A35,Kit_BOM!$A$2:$A$204,$A$6,Kit_BOM!$G$2:$G$204,"Bestücken")*$C$6+SUMIFS(Kit_BOM!$F$2:$F$204,Kit_BOM!$E$2:$E$204,$A35,Kit_BOM!$A$2:$A$204,$A$6,Kit_BOM!$G$2:$G$204,"Mechanical")*$C$6+IF($F$5="Ja",SUMIFS(Kit_BOM!$F$2:$F$204,Kit_BOM!$E$2:$E$204,$A35,Kit_BOM!$A$2:$A$204,$A$6,Kit_BOM!$G$2:$G$204,"Optional")*$C$6,0)+IF($F$6="Ja",SUMIFS(Kit_BOM!$F$2:$F$204,Kit_BOM!$E$2:$E$204,$A35,Kit_BOM!$A$2:$A$204,$A$6,Kit_BOM!$G$2:$G$204,"DNP")*$C$6,0)+SUMIFS(Kit_BOM!$F$2:$F$204,Kit_BOM!$E$2:$E$204,$A35,Kit_BOM!$A$2:$A$204,$A$7,Kit_BOM!$G$2:$G$204,"Bestücken")*$C$7+SUMIFS(Kit_BOM!$F$2:$F$204,Kit_BOM!$E$2:$E$204,$A35,Kit_BOM!$A$2:$A$204,$A$7,Kit_BOM!$G$2:$G$204,"Mechanical")*$C$7+IF($F$5="Ja",SUMIFS(Kit_BOM!$F$2:$F$204,Kit_BOM!$E$2:$E$204,$A35,Kit_BOM!$A$2:$A$204,$A$7,Kit_BOM!$G$2:$G$204,"Optional")*$C$7,0)+IF($F$6="Ja",SUMIFS(Kit_BOM!$F$2:$F$204,Kit_BOM!$E$2:$E$204,$A35,Kit_BOM!$A$2:$A$204,$A$7,Kit_BOM!$G$2:$G$204,"DNP")*$C$7,0)+SUMIFS(Kit_BOM!$F$2:$F$204,Kit_BOM!$E$2:$E$204,$A35,Kit_BOM!$A$2:$A$204,$A$8,Kit_BOM!$G$2:$G$204,"Bestücken")*$C$8+SUMIFS(Kit_BOM!$F$2:$F$204,Kit_BOM!$E$2:$E$204,$A35,Kit_BOM!$A$2:$A$204,$A$8,Kit_BOM!$G$2:$G$204,"Mechanical")*$C$8+IF($F$5="Ja",SUMIFS(Kit_BOM!$F$2:$F$204,Kit_BOM!$E$2:$E$204,$A35,Kit_BOM!$A$2:$A$204,$A$8,Kit_BOM!$G$2:$G$204,"Optional")*$C$8,0)+IF($F$6="Ja",SUMIFS(Kit_BOM!$F$2:$F$204,Kit_BOM!$E$2:$E$204,$A35,Kit_BOM!$A$2:$A$204,$A$8,Kit_BOM!$G$2:$G$204,"DNP")*$C$8,0)</f>
        <v>0</v>
      </c>
      <c r="F35" s="31" t="str">
        <f>IFERROR(IF(INDEX(Part_Suppliers!$G$2:$G$300,MATCH($A35&amp;"|"&amp;$C35,Part_Suppliers!$K$2:$K$300,0))=0,"",INDEX(Part_Suppliers!$G$2:$G$300,MATCH($A35&amp;"|"&amp;$C35,Part_Suppliers!$K$2:$K$300,0))),"")</f>
        <v/>
      </c>
      <c r="G35" s="31">
        <f t="shared" si="0"/>
        <v>0</v>
      </c>
      <c r="H35" s="49">
        <f>SUMIFS(Part_Suppliers!$E$2:$E$300,Part_Suppliers!$A$2:$A$300,$A35,Part_Suppliers!$B$2:$B$300,$C35)</f>
        <v>1.3</v>
      </c>
      <c r="I35" s="49">
        <f t="shared" si="1"/>
        <v>0</v>
      </c>
      <c r="J35" t="str">
        <f t="shared" si="2"/>
        <v>Nicht benötigt</v>
      </c>
      <c r="K35" s="29" t="str">
        <f>IFERROR(IF(INDEX(Part_Suppliers!$D$2:$D$300,MATCH($A35&amp;"|"&amp;$C35,Part_Suppliers!$K$2:$K$300,0))=0,"",INDEX(Part_Suppliers!$D$2:$D$300,MATCH($A35&amp;"|"&amp;$C35,Part_Suppliers!$K$2:$K$300,0))),"")</f>
        <v>https://www.reichelt.de/de/de/shop/produkt/widerstand_metallschicht_150_ohm_0207_250_mw_0_1_-237515</v>
      </c>
      <c r="L35" s="31">
        <f>IFERROR(VLOOKUP($A35,Stock!$A$5:$K$200,10,FALSE()),0)</f>
        <v>0</v>
      </c>
      <c r="M35" s="31">
        <f>IFERROR(VLOOKUP($A35,Stock!$A$5:$K$200,11,FALSE()),0)</f>
        <v>0</v>
      </c>
      <c r="N35" s="31">
        <f t="shared" si="3"/>
        <v>0</v>
      </c>
      <c r="O35" s="31">
        <f t="shared" si="4"/>
        <v>0</v>
      </c>
      <c r="P35" s="50">
        <v>0</v>
      </c>
    </row>
    <row r="36" spans="1:16" ht="14" customHeight="1" x14ac:dyDescent="0.2">
      <c r="A36" s="29" t="s">
        <v>260</v>
      </c>
      <c r="B36" s="48" t="str">
        <f>IFERROR(VLOOKUP($A36,Parts!$A$2:$M$200,3,FALSE()),"")</f>
        <v>Schnelle Schaltdiode 1N4148W</v>
      </c>
      <c r="C36" s="29" t="str">
        <f>IFERROR(VLOOKUP($A36,Stock!$A$5:$I$200,8,FALSE()),"")</f>
        <v>Reichelt</v>
      </c>
      <c r="D36" s="29" t="str">
        <f>IFERROR(VLOOKUP($A36,Stock!$A$5:$I$200,9,FALSE()),"")</f>
        <v>1N 4148W DIO</v>
      </c>
      <c r="E36" s="31">
        <f>SUMIFS(Kit_BOM!$F$2:$F$204,Kit_BOM!$E$2:$E$204,$A36,Kit_BOM!$A$2:$A$204,$A$5,Kit_BOM!$G$2:$G$204,"Bestücken")*$C$5+SUMIFS(Kit_BOM!$F$2:$F$204,Kit_BOM!$E$2:$E$204,$A36,Kit_BOM!$A$2:$A$204,$A$5,Kit_BOM!$G$2:$G$204,"Mechanical")*$C$5+IF($F$5="Ja",SUMIFS(Kit_BOM!$F$2:$F$204,Kit_BOM!$E$2:$E$204,$A36,Kit_BOM!$A$2:$A$204,$A$5,Kit_BOM!$G$2:$G$204,"Optional")*$C$5,0)+IF($F$6="Ja",SUMIFS(Kit_BOM!$F$2:$F$204,Kit_BOM!$E$2:$E$204,$A36,Kit_BOM!$A$2:$A$204,$A$5,Kit_BOM!$G$2:$G$204,"DNP")*$C$5,0)+SUMIFS(Kit_BOM!$F$2:$F$204,Kit_BOM!$E$2:$E$204,$A36,Kit_BOM!$A$2:$A$204,$A$6,Kit_BOM!$G$2:$G$204,"Bestücken")*$C$6+SUMIFS(Kit_BOM!$F$2:$F$204,Kit_BOM!$E$2:$E$204,$A36,Kit_BOM!$A$2:$A$204,$A$6,Kit_BOM!$G$2:$G$204,"Mechanical")*$C$6+IF($F$5="Ja",SUMIFS(Kit_BOM!$F$2:$F$204,Kit_BOM!$E$2:$E$204,$A36,Kit_BOM!$A$2:$A$204,$A$6,Kit_BOM!$G$2:$G$204,"Optional")*$C$6,0)+IF($F$6="Ja",SUMIFS(Kit_BOM!$F$2:$F$204,Kit_BOM!$E$2:$E$204,$A36,Kit_BOM!$A$2:$A$204,$A$6,Kit_BOM!$G$2:$G$204,"DNP")*$C$6,0)+SUMIFS(Kit_BOM!$F$2:$F$204,Kit_BOM!$E$2:$E$204,$A36,Kit_BOM!$A$2:$A$204,$A$7,Kit_BOM!$G$2:$G$204,"Bestücken")*$C$7+SUMIFS(Kit_BOM!$F$2:$F$204,Kit_BOM!$E$2:$E$204,$A36,Kit_BOM!$A$2:$A$204,$A$7,Kit_BOM!$G$2:$G$204,"Mechanical")*$C$7+IF($F$5="Ja",SUMIFS(Kit_BOM!$F$2:$F$204,Kit_BOM!$E$2:$E$204,$A36,Kit_BOM!$A$2:$A$204,$A$7,Kit_BOM!$G$2:$G$204,"Optional")*$C$7,0)+IF($F$6="Ja",SUMIFS(Kit_BOM!$F$2:$F$204,Kit_BOM!$E$2:$E$204,$A36,Kit_BOM!$A$2:$A$204,$A$7,Kit_BOM!$G$2:$G$204,"DNP")*$C$7,0)+SUMIFS(Kit_BOM!$F$2:$F$204,Kit_BOM!$E$2:$E$204,$A36,Kit_BOM!$A$2:$A$204,$A$8,Kit_BOM!$G$2:$G$204,"Bestücken")*$C$8+SUMIFS(Kit_BOM!$F$2:$F$204,Kit_BOM!$E$2:$E$204,$A36,Kit_BOM!$A$2:$A$204,$A$8,Kit_BOM!$G$2:$G$204,"Mechanical")*$C$8+IF($F$5="Ja",SUMIFS(Kit_BOM!$F$2:$F$204,Kit_BOM!$E$2:$E$204,$A36,Kit_BOM!$A$2:$A$204,$A$8,Kit_BOM!$G$2:$G$204,"Optional")*$C$8,0)+IF($F$6="Ja",SUMIFS(Kit_BOM!$F$2:$F$204,Kit_BOM!$E$2:$E$204,$A36,Kit_BOM!$A$2:$A$204,$A$8,Kit_BOM!$G$2:$G$204,"DNP")*$C$8,0)</f>
        <v>0</v>
      </c>
      <c r="F36" s="31" t="str">
        <f>IFERROR(IF(INDEX(Part_Suppliers!$G$2:$G$300,MATCH($A36&amp;"|"&amp;$C36,Part_Suppliers!$K$2:$K$300,0))=0,"",INDEX(Part_Suppliers!$G$2:$G$300,MATCH($A36&amp;"|"&amp;$C36,Part_Suppliers!$K$2:$K$300,0))),"")</f>
        <v/>
      </c>
      <c r="G36" s="31">
        <f t="shared" si="0"/>
        <v>0</v>
      </c>
      <c r="H36" s="49">
        <f>SUMIFS(Part_Suppliers!$E$2:$E$300,Part_Suppliers!$A$2:$A$300,$A36,Part_Suppliers!$B$2:$B$300,$C36)</f>
        <v>0.02</v>
      </c>
      <c r="I36" s="49">
        <f t="shared" si="1"/>
        <v>0</v>
      </c>
      <c r="J36" t="str">
        <f t="shared" si="2"/>
        <v>Nicht benötigt</v>
      </c>
      <c r="K36" s="29" t="str">
        <f>IFERROR(IF(INDEX(Part_Suppliers!$D$2:$D$300,MATCH($A36&amp;"|"&amp;$C36,Part_Suppliers!$K$2:$K$300,0))=0,"",INDEX(Part_Suppliers!$D$2:$D$300,MATCH($A36&amp;"|"&amp;$C36,Part_Suppliers!$K$2:$K$300,0))),"")</f>
        <v>https://www.reichelt.de/de/de/shop/produkt/kleinsignal-schalt-diode_100_v_150_ma_sod-123-219382</v>
      </c>
      <c r="L36" s="31">
        <f>IFERROR(VLOOKUP($A36,Stock!$A$5:$K$200,10,FALSE()),0)</f>
        <v>0</v>
      </c>
      <c r="M36" s="31">
        <f>IFERROR(VLOOKUP($A36,Stock!$A$5:$K$200,11,FALSE()),0)</f>
        <v>0</v>
      </c>
      <c r="N36" s="31">
        <f t="shared" si="3"/>
        <v>0</v>
      </c>
      <c r="O36" s="31">
        <f t="shared" si="4"/>
        <v>0</v>
      </c>
      <c r="P36" s="50">
        <v>0</v>
      </c>
    </row>
    <row r="37" spans="1:16" ht="14" customHeight="1" x14ac:dyDescent="0.2">
      <c r="A37" s="29" t="s">
        <v>265</v>
      </c>
      <c r="B37" s="48" t="str">
        <f>IFERROR(VLOOKUP($A37,Parts!$A$2:$M$200,3,FALSE()),"")</f>
        <v>Schraubklemme 1x3, horizontal</v>
      </c>
      <c r="C37" s="29" t="str">
        <f>IFERROR(VLOOKUP($A37,Stock!$A$5:$I$200,8,FALSE()),"")</f>
        <v>Noch festlegen</v>
      </c>
      <c r="D37" s="29" t="str">
        <f>IFERROR(VLOOKUP($A37,Stock!$A$5:$I$200,9,FALSE()),"")</f>
        <v/>
      </c>
      <c r="E37" s="31">
        <f>SUMIFS(Kit_BOM!$F$2:$F$204,Kit_BOM!$E$2:$E$204,$A37,Kit_BOM!$A$2:$A$204,$A$5,Kit_BOM!$G$2:$G$204,"Bestücken")*$C$5+SUMIFS(Kit_BOM!$F$2:$F$204,Kit_BOM!$E$2:$E$204,$A37,Kit_BOM!$A$2:$A$204,$A$5,Kit_BOM!$G$2:$G$204,"Mechanical")*$C$5+IF($F$5="Ja",SUMIFS(Kit_BOM!$F$2:$F$204,Kit_BOM!$E$2:$E$204,$A37,Kit_BOM!$A$2:$A$204,$A$5,Kit_BOM!$G$2:$G$204,"Optional")*$C$5,0)+IF($F$6="Ja",SUMIFS(Kit_BOM!$F$2:$F$204,Kit_BOM!$E$2:$E$204,$A37,Kit_BOM!$A$2:$A$204,$A$5,Kit_BOM!$G$2:$G$204,"DNP")*$C$5,0)+SUMIFS(Kit_BOM!$F$2:$F$204,Kit_BOM!$E$2:$E$204,$A37,Kit_BOM!$A$2:$A$204,$A$6,Kit_BOM!$G$2:$G$204,"Bestücken")*$C$6+SUMIFS(Kit_BOM!$F$2:$F$204,Kit_BOM!$E$2:$E$204,$A37,Kit_BOM!$A$2:$A$204,$A$6,Kit_BOM!$G$2:$G$204,"Mechanical")*$C$6+IF($F$5="Ja",SUMIFS(Kit_BOM!$F$2:$F$204,Kit_BOM!$E$2:$E$204,$A37,Kit_BOM!$A$2:$A$204,$A$6,Kit_BOM!$G$2:$G$204,"Optional")*$C$6,0)+IF($F$6="Ja",SUMIFS(Kit_BOM!$F$2:$F$204,Kit_BOM!$E$2:$E$204,$A37,Kit_BOM!$A$2:$A$204,$A$6,Kit_BOM!$G$2:$G$204,"DNP")*$C$6,0)+SUMIFS(Kit_BOM!$F$2:$F$204,Kit_BOM!$E$2:$E$204,$A37,Kit_BOM!$A$2:$A$204,$A$7,Kit_BOM!$G$2:$G$204,"Bestücken")*$C$7+SUMIFS(Kit_BOM!$F$2:$F$204,Kit_BOM!$E$2:$E$204,$A37,Kit_BOM!$A$2:$A$204,$A$7,Kit_BOM!$G$2:$G$204,"Mechanical")*$C$7+IF($F$5="Ja",SUMIFS(Kit_BOM!$F$2:$F$204,Kit_BOM!$E$2:$E$204,$A37,Kit_BOM!$A$2:$A$204,$A$7,Kit_BOM!$G$2:$G$204,"Optional")*$C$7,0)+IF($F$6="Ja",SUMIFS(Kit_BOM!$F$2:$F$204,Kit_BOM!$E$2:$E$204,$A37,Kit_BOM!$A$2:$A$204,$A$7,Kit_BOM!$G$2:$G$204,"DNP")*$C$7,0)+SUMIFS(Kit_BOM!$F$2:$F$204,Kit_BOM!$E$2:$E$204,$A37,Kit_BOM!$A$2:$A$204,$A$8,Kit_BOM!$G$2:$G$204,"Bestücken")*$C$8+SUMIFS(Kit_BOM!$F$2:$F$204,Kit_BOM!$E$2:$E$204,$A37,Kit_BOM!$A$2:$A$204,$A$8,Kit_BOM!$G$2:$G$204,"Mechanical")*$C$8+IF($F$5="Ja",SUMIFS(Kit_BOM!$F$2:$F$204,Kit_BOM!$E$2:$E$204,$A37,Kit_BOM!$A$2:$A$204,$A$8,Kit_BOM!$G$2:$G$204,"Optional")*$C$8,0)+IF($F$6="Ja",SUMIFS(Kit_BOM!$F$2:$F$204,Kit_BOM!$E$2:$E$204,$A37,Kit_BOM!$A$2:$A$204,$A$8,Kit_BOM!$G$2:$G$204,"DNP")*$C$8,0)</f>
        <v>0</v>
      </c>
      <c r="F37" s="31" t="str">
        <f>IFERROR(IF(INDEX(Part_Suppliers!$G$2:$G$300,MATCH($A37&amp;"|"&amp;$C37,Part_Suppliers!$K$2:$K$300,0))=0,"",INDEX(Part_Suppliers!$G$2:$G$300,MATCH($A37&amp;"|"&amp;$C37,Part_Suppliers!$K$2:$K$300,0))),"")</f>
        <v/>
      </c>
      <c r="G37" s="31">
        <f t="shared" si="0"/>
        <v>0</v>
      </c>
      <c r="H37" s="49">
        <f>SUMIFS(Part_Suppliers!$E$2:$E$300,Part_Suppliers!$A$2:$A$300,$A37,Part_Suppliers!$B$2:$B$300,$C37)</f>
        <v>0</v>
      </c>
      <c r="I37" s="49">
        <f t="shared" si="1"/>
        <v>0</v>
      </c>
      <c r="J37" t="str">
        <f t="shared" si="2"/>
        <v>Nicht benötigt</v>
      </c>
      <c r="K37" s="29" t="str">
        <f>IFERROR(IF(INDEX(Part_Suppliers!$D$2:$D$300,MATCH($A37&amp;"|"&amp;$C37,Part_Suppliers!$K$2:$K$300,0))=0,"",INDEX(Part_Suppliers!$D$2:$D$300,MATCH($A37&amp;"|"&amp;$C37,Part_Suppliers!$K$2:$K$300,0))),"")</f>
        <v/>
      </c>
      <c r="L37" s="31">
        <f>IFERROR(VLOOKUP($A37,Stock!$A$5:$K$200,10,FALSE()),0)</f>
        <v>0</v>
      </c>
      <c r="M37" s="31">
        <f>IFERROR(VLOOKUP($A37,Stock!$A$5:$K$200,11,FALSE()),0)</f>
        <v>0</v>
      </c>
      <c r="N37" s="31">
        <f t="shared" si="3"/>
        <v>0</v>
      </c>
      <c r="O37" s="31">
        <f t="shared" si="4"/>
        <v>0</v>
      </c>
      <c r="P37" s="50">
        <v>0</v>
      </c>
    </row>
    <row r="38" spans="1:16" ht="14" customHeight="1" x14ac:dyDescent="0.2">
      <c r="A38" s="29" t="s">
        <v>273</v>
      </c>
      <c r="B38" s="48" t="str">
        <f>IFERROR(VLOOKUP($A38,Parts!$A$2:$M$200,3,FALSE()),"")</f>
        <v>NPN-Transistor BC817</v>
      </c>
      <c r="C38" s="29" t="str">
        <f>IFERROR(VLOOKUP($A38,Stock!$A$5:$I$200,8,FALSE()),"")</f>
        <v>Reichelt</v>
      </c>
      <c r="D38" s="29" t="str">
        <f>IFERROR(VLOOKUP($A38,Stock!$A$5:$I$200,9,FALSE()),"")</f>
        <v>BC 817-25 DIO</v>
      </c>
      <c r="E38" s="31">
        <f>SUMIFS(Kit_BOM!$F$2:$F$204,Kit_BOM!$E$2:$E$204,$A38,Kit_BOM!$A$2:$A$204,$A$5,Kit_BOM!$G$2:$G$204,"Bestücken")*$C$5+SUMIFS(Kit_BOM!$F$2:$F$204,Kit_BOM!$E$2:$E$204,$A38,Kit_BOM!$A$2:$A$204,$A$5,Kit_BOM!$G$2:$G$204,"Mechanical")*$C$5+IF($F$5="Ja",SUMIFS(Kit_BOM!$F$2:$F$204,Kit_BOM!$E$2:$E$204,$A38,Kit_BOM!$A$2:$A$204,$A$5,Kit_BOM!$G$2:$G$204,"Optional")*$C$5,0)+IF($F$6="Ja",SUMIFS(Kit_BOM!$F$2:$F$204,Kit_BOM!$E$2:$E$204,$A38,Kit_BOM!$A$2:$A$204,$A$5,Kit_BOM!$G$2:$G$204,"DNP")*$C$5,0)+SUMIFS(Kit_BOM!$F$2:$F$204,Kit_BOM!$E$2:$E$204,$A38,Kit_BOM!$A$2:$A$204,$A$6,Kit_BOM!$G$2:$G$204,"Bestücken")*$C$6+SUMIFS(Kit_BOM!$F$2:$F$204,Kit_BOM!$E$2:$E$204,$A38,Kit_BOM!$A$2:$A$204,$A$6,Kit_BOM!$G$2:$G$204,"Mechanical")*$C$6+IF($F$5="Ja",SUMIFS(Kit_BOM!$F$2:$F$204,Kit_BOM!$E$2:$E$204,$A38,Kit_BOM!$A$2:$A$204,$A$6,Kit_BOM!$G$2:$G$204,"Optional")*$C$6,0)+IF($F$6="Ja",SUMIFS(Kit_BOM!$F$2:$F$204,Kit_BOM!$E$2:$E$204,$A38,Kit_BOM!$A$2:$A$204,$A$6,Kit_BOM!$G$2:$G$204,"DNP")*$C$6,0)+SUMIFS(Kit_BOM!$F$2:$F$204,Kit_BOM!$E$2:$E$204,$A38,Kit_BOM!$A$2:$A$204,$A$7,Kit_BOM!$G$2:$G$204,"Bestücken")*$C$7+SUMIFS(Kit_BOM!$F$2:$F$204,Kit_BOM!$E$2:$E$204,$A38,Kit_BOM!$A$2:$A$204,$A$7,Kit_BOM!$G$2:$G$204,"Mechanical")*$C$7+IF($F$5="Ja",SUMIFS(Kit_BOM!$F$2:$F$204,Kit_BOM!$E$2:$E$204,$A38,Kit_BOM!$A$2:$A$204,$A$7,Kit_BOM!$G$2:$G$204,"Optional")*$C$7,0)+IF($F$6="Ja",SUMIFS(Kit_BOM!$F$2:$F$204,Kit_BOM!$E$2:$E$204,$A38,Kit_BOM!$A$2:$A$204,$A$7,Kit_BOM!$G$2:$G$204,"DNP")*$C$7,0)+SUMIFS(Kit_BOM!$F$2:$F$204,Kit_BOM!$E$2:$E$204,$A38,Kit_BOM!$A$2:$A$204,$A$8,Kit_BOM!$G$2:$G$204,"Bestücken")*$C$8+SUMIFS(Kit_BOM!$F$2:$F$204,Kit_BOM!$E$2:$E$204,$A38,Kit_BOM!$A$2:$A$204,$A$8,Kit_BOM!$G$2:$G$204,"Mechanical")*$C$8+IF($F$5="Ja",SUMIFS(Kit_BOM!$F$2:$F$204,Kit_BOM!$E$2:$E$204,$A38,Kit_BOM!$A$2:$A$204,$A$8,Kit_BOM!$G$2:$G$204,"Optional")*$C$8,0)+IF($F$6="Ja",SUMIFS(Kit_BOM!$F$2:$F$204,Kit_BOM!$E$2:$E$204,$A38,Kit_BOM!$A$2:$A$204,$A$8,Kit_BOM!$G$2:$G$204,"DNP")*$C$8,0)</f>
        <v>0</v>
      </c>
      <c r="F38" s="31" t="str">
        <f>IFERROR(IF(INDEX(Part_Suppliers!$G$2:$G$300,MATCH($A38&amp;"|"&amp;$C38,Part_Suppliers!$K$2:$K$300,0))=0,"",INDEX(Part_Suppliers!$G$2:$G$300,MATCH($A38&amp;"|"&amp;$C38,Part_Suppliers!$K$2:$K$300,0))),"")</f>
        <v/>
      </c>
      <c r="G38" s="31">
        <f t="shared" si="0"/>
        <v>0</v>
      </c>
      <c r="H38" s="49">
        <f>SUMIFS(Part_Suppliers!$E$2:$E$300,Part_Suppliers!$A$2:$A$300,$A38,Part_Suppliers!$B$2:$B$300,$C38)</f>
        <v>0.02</v>
      </c>
      <c r="I38" s="49">
        <f t="shared" si="1"/>
        <v>0</v>
      </c>
      <c r="J38" t="str">
        <f t="shared" si="2"/>
        <v>Nicht benötigt</v>
      </c>
      <c r="K38" s="29" t="str">
        <f>IFERROR(IF(INDEX(Part_Suppliers!$D$2:$D$300,MATCH($A38&amp;"|"&amp;$C38,Part_Suppliers!$K$2:$K$300,0))=0,"",INDEX(Part_Suppliers!$D$2:$D$300,MATCH($A38&amp;"|"&amp;$C38,Part_Suppliers!$K$2:$K$300,0))),"")</f>
        <v>https://www.reichelt.de/de/de/shop/produkt/bipolartransistor_npn_45v_0_5a_0_25w_sot-23-219186</v>
      </c>
      <c r="L38" s="31">
        <f>IFERROR(VLOOKUP($A38,Stock!$A$5:$K$200,10,FALSE()),0)</f>
        <v>0</v>
      </c>
      <c r="M38" s="31">
        <f>IFERROR(VLOOKUP($A38,Stock!$A$5:$K$200,11,FALSE()),0)</f>
        <v>0</v>
      </c>
      <c r="N38" s="31">
        <f t="shared" si="3"/>
        <v>0</v>
      </c>
      <c r="O38" s="31">
        <f t="shared" si="4"/>
        <v>0</v>
      </c>
      <c r="P38" s="50">
        <v>0</v>
      </c>
    </row>
    <row r="39" spans="1:16" ht="14" customHeight="1" x14ac:dyDescent="0.2">
      <c r="A39" s="29" t="s">
        <v>279</v>
      </c>
      <c r="B39" s="48" t="str">
        <f>IFERROR(VLOOKUP($A39,Parts!$A$2:$M$200,3,FALSE()),"")</f>
        <v>Widerstand 1 kΩ SMD</v>
      </c>
      <c r="C39" s="29" t="str">
        <f>IFERROR(VLOOKUP($A39,Stock!$A$5:$I$200,8,FALSE()),"")</f>
        <v>Reichelt</v>
      </c>
      <c r="D39" s="29" t="str">
        <f>IFERROR(VLOOKUP($A39,Stock!$A$5:$I$200,9,FALSE()),"")</f>
        <v>VIS CRCW12061K0</v>
      </c>
      <c r="E39" s="31">
        <f>SUMIFS(Kit_BOM!$F$2:$F$204,Kit_BOM!$E$2:$E$204,$A39,Kit_BOM!$A$2:$A$204,$A$5,Kit_BOM!$G$2:$G$204,"Bestücken")*$C$5+SUMIFS(Kit_BOM!$F$2:$F$204,Kit_BOM!$E$2:$E$204,$A39,Kit_BOM!$A$2:$A$204,$A$5,Kit_BOM!$G$2:$G$204,"Mechanical")*$C$5+IF($F$5="Ja",SUMIFS(Kit_BOM!$F$2:$F$204,Kit_BOM!$E$2:$E$204,$A39,Kit_BOM!$A$2:$A$204,$A$5,Kit_BOM!$G$2:$G$204,"Optional")*$C$5,0)+IF($F$6="Ja",SUMIFS(Kit_BOM!$F$2:$F$204,Kit_BOM!$E$2:$E$204,$A39,Kit_BOM!$A$2:$A$204,$A$5,Kit_BOM!$G$2:$G$204,"DNP")*$C$5,0)+SUMIFS(Kit_BOM!$F$2:$F$204,Kit_BOM!$E$2:$E$204,$A39,Kit_BOM!$A$2:$A$204,$A$6,Kit_BOM!$G$2:$G$204,"Bestücken")*$C$6+SUMIFS(Kit_BOM!$F$2:$F$204,Kit_BOM!$E$2:$E$204,$A39,Kit_BOM!$A$2:$A$204,$A$6,Kit_BOM!$G$2:$G$204,"Mechanical")*$C$6+IF($F$5="Ja",SUMIFS(Kit_BOM!$F$2:$F$204,Kit_BOM!$E$2:$E$204,$A39,Kit_BOM!$A$2:$A$204,$A$6,Kit_BOM!$G$2:$G$204,"Optional")*$C$6,0)+IF($F$6="Ja",SUMIFS(Kit_BOM!$F$2:$F$204,Kit_BOM!$E$2:$E$204,$A39,Kit_BOM!$A$2:$A$204,$A$6,Kit_BOM!$G$2:$G$204,"DNP")*$C$6,0)+SUMIFS(Kit_BOM!$F$2:$F$204,Kit_BOM!$E$2:$E$204,$A39,Kit_BOM!$A$2:$A$204,$A$7,Kit_BOM!$G$2:$G$204,"Bestücken")*$C$7+SUMIFS(Kit_BOM!$F$2:$F$204,Kit_BOM!$E$2:$E$204,$A39,Kit_BOM!$A$2:$A$204,$A$7,Kit_BOM!$G$2:$G$204,"Mechanical")*$C$7+IF($F$5="Ja",SUMIFS(Kit_BOM!$F$2:$F$204,Kit_BOM!$E$2:$E$204,$A39,Kit_BOM!$A$2:$A$204,$A$7,Kit_BOM!$G$2:$G$204,"Optional")*$C$7,0)+IF($F$6="Ja",SUMIFS(Kit_BOM!$F$2:$F$204,Kit_BOM!$E$2:$E$204,$A39,Kit_BOM!$A$2:$A$204,$A$7,Kit_BOM!$G$2:$G$204,"DNP")*$C$7,0)+SUMIFS(Kit_BOM!$F$2:$F$204,Kit_BOM!$E$2:$E$204,$A39,Kit_BOM!$A$2:$A$204,$A$8,Kit_BOM!$G$2:$G$204,"Bestücken")*$C$8+SUMIFS(Kit_BOM!$F$2:$F$204,Kit_BOM!$E$2:$E$204,$A39,Kit_BOM!$A$2:$A$204,$A$8,Kit_BOM!$G$2:$G$204,"Mechanical")*$C$8+IF($F$5="Ja",SUMIFS(Kit_BOM!$F$2:$F$204,Kit_BOM!$E$2:$E$204,$A39,Kit_BOM!$A$2:$A$204,$A$8,Kit_BOM!$G$2:$G$204,"Optional")*$C$8,0)+IF($F$6="Ja",SUMIFS(Kit_BOM!$F$2:$F$204,Kit_BOM!$E$2:$E$204,$A39,Kit_BOM!$A$2:$A$204,$A$8,Kit_BOM!$G$2:$G$204,"DNP")*$C$8,0)</f>
        <v>0</v>
      </c>
      <c r="F39" s="31" t="str">
        <f>IFERROR(IF(INDEX(Part_Suppliers!$G$2:$G$300,MATCH($A39&amp;"|"&amp;$C39,Part_Suppliers!$K$2:$K$300,0))=0,"",INDEX(Part_Suppliers!$G$2:$G$300,MATCH($A39&amp;"|"&amp;$C39,Part_Suppliers!$K$2:$K$300,0))),"")</f>
        <v/>
      </c>
      <c r="G39" s="31">
        <f t="shared" si="0"/>
        <v>0</v>
      </c>
      <c r="H39" s="49">
        <f>SUMIFS(Part_Suppliers!$E$2:$E$300,Part_Suppliers!$A$2:$A$300,$A39,Part_Suppliers!$B$2:$B$300,$C39)</f>
        <v>0.14000000000000001</v>
      </c>
      <c r="I39" s="49">
        <f t="shared" si="1"/>
        <v>0</v>
      </c>
      <c r="J39" t="str">
        <f t="shared" si="2"/>
        <v>Nicht benötigt</v>
      </c>
      <c r="K39" s="29" t="str">
        <f>IFERROR(IF(INDEX(Part_Suppliers!$D$2:$D$300,MATCH($A39&amp;"|"&amp;$C39,Part_Suppliers!$K$2:$K$300,0))=0,"",INDEX(Part_Suppliers!$D$2:$D$300,MATCH($A39&amp;"|"&amp;$C39,Part_Suppliers!$K$2:$K$300,0))),"")</f>
        <v>https://www.reichelt.de/de/de/shop/produkt/smd-widerstand_1206_1_0_kohm_250_mw_1_-238107?PROVID=2788&amp;gad_source=1&amp;gad_campaignid=1622074784&amp;gbraid=0AAAAADwnxtbRDWe6ThqPkANhw_ak4jWBw&amp;gclid=Cj0KCQjwnbrUBhDOARIsAKKhPpdctdiA6tqULvTn2sTUS6FqmJC1_J6HoVQmYOjjMGhSPlfi9dK4bSQaAmesEALw_wcB</v>
      </c>
      <c r="L39" s="31">
        <f>IFERROR(VLOOKUP($A39,Stock!$A$5:$K$200,10,FALSE()),0)</f>
        <v>0</v>
      </c>
      <c r="M39" s="31">
        <f>IFERROR(VLOOKUP($A39,Stock!$A$5:$K$200,11,FALSE()),0)</f>
        <v>0</v>
      </c>
      <c r="N39" s="31">
        <f t="shared" si="3"/>
        <v>0</v>
      </c>
      <c r="O39" s="31">
        <f t="shared" si="4"/>
        <v>0</v>
      </c>
      <c r="P39" s="50">
        <v>0</v>
      </c>
    </row>
    <row r="40" spans="1:16" ht="14" customHeight="1" x14ac:dyDescent="0.2">
      <c r="A40" s="29" t="s">
        <v>385</v>
      </c>
      <c r="B40" s="48" t="str">
        <f>IFERROR(VLOOKUP($A40,Parts!$A$2:$M$200,3,FALSE()),"")</f>
        <v>RainDetector PCB</v>
      </c>
      <c r="C40" s="29" t="str">
        <f>IFERROR(VLOOKUP($A40,Stock!$A$5:$I$200,8,FALSE()),"")</f>
        <v>JLCPCB</v>
      </c>
      <c r="D40" s="29" t="str">
        <f>IFERROR(VLOOKUP($A40,Stock!$A$5:$I$200,9,FALSE()),"")</f>
        <v/>
      </c>
      <c r="E40" s="31">
        <f>SUMIFS(Kit_BOM!$F$2:$F$204,Kit_BOM!$E$2:$E$204,$A40,Kit_BOM!$A$2:$A$204,$A$5,Kit_BOM!$G$2:$G$204,"Bestücken")*$C$5+SUMIFS(Kit_BOM!$F$2:$F$204,Kit_BOM!$E$2:$E$204,$A40,Kit_BOM!$A$2:$A$204,$A$5,Kit_BOM!$G$2:$G$204,"Mechanical")*$C$5+IF($F$5="Ja",SUMIFS(Kit_BOM!$F$2:$F$204,Kit_BOM!$E$2:$E$204,$A40,Kit_BOM!$A$2:$A$204,$A$5,Kit_BOM!$G$2:$G$204,"Optional")*$C$5,0)+IF($F$6="Ja",SUMIFS(Kit_BOM!$F$2:$F$204,Kit_BOM!$E$2:$E$204,$A40,Kit_BOM!$A$2:$A$204,$A$5,Kit_BOM!$G$2:$G$204,"DNP")*$C$5,0)+SUMIFS(Kit_BOM!$F$2:$F$204,Kit_BOM!$E$2:$E$204,$A40,Kit_BOM!$A$2:$A$204,$A$6,Kit_BOM!$G$2:$G$204,"Bestücken")*$C$6+SUMIFS(Kit_BOM!$F$2:$F$204,Kit_BOM!$E$2:$E$204,$A40,Kit_BOM!$A$2:$A$204,$A$6,Kit_BOM!$G$2:$G$204,"Mechanical")*$C$6+IF($F$5="Ja",SUMIFS(Kit_BOM!$F$2:$F$204,Kit_BOM!$E$2:$E$204,$A40,Kit_BOM!$A$2:$A$204,$A$6,Kit_BOM!$G$2:$G$204,"Optional")*$C$6,0)+IF($F$6="Ja",SUMIFS(Kit_BOM!$F$2:$F$204,Kit_BOM!$E$2:$E$204,$A40,Kit_BOM!$A$2:$A$204,$A$6,Kit_BOM!$G$2:$G$204,"DNP")*$C$6,0)+SUMIFS(Kit_BOM!$F$2:$F$204,Kit_BOM!$E$2:$E$204,$A40,Kit_BOM!$A$2:$A$204,$A$7,Kit_BOM!$G$2:$G$204,"Bestücken")*$C$7+SUMIFS(Kit_BOM!$F$2:$F$204,Kit_BOM!$E$2:$E$204,$A40,Kit_BOM!$A$2:$A$204,$A$7,Kit_BOM!$G$2:$G$204,"Mechanical")*$C$7+IF($F$5="Ja",SUMIFS(Kit_BOM!$F$2:$F$204,Kit_BOM!$E$2:$E$204,$A40,Kit_BOM!$A$2:$A$204,$A$7,Kit_BOM!$G$2:$G$204,"Optional")*$C$7,0)+IF($F$6="Ja",SUMIFS(Kit_BOM!$F$2:$F$204,Kit_BOM!$E$2:$E$204,$A40,Kit_BOM!$A$2:$A$204,$A$7,Kit_BOM!$G$2:$G$204,"DNP")*$C$7,0)+SUMIFS(Kit_BOM!$F$2:$F$204,Kit_BOM!$E$2:$E$204,$A40,Kit_BOM!$A$2:$A$204,$A$8,Kit_BOM!$G$2:$G$204,"Bestücken")*$C$8+SUMIFS(Kit_BOM!$F$2:$F$204,Kit_BOM!$E$2:$E$204,$A40,Kit_BOM!$A$2:$A$204,$A$8,Kit_BOM!$G$2:$G$204,"Mechanical")*$C$8+IF($F$5="Ja",SUMIFS(Kit_BOM!$F$2:$F$204,Kit_BOM!$E$2:$E$204,$A40,Kit_BOM!$A$2:$A$204,$A$8,Kit_BOM!$G$2:$G$204,"Optional")*$C$8,0)+IF($F$6="Ja",SUMIFS(Kit_BOM!$F$2:$F$204,Kit_BOM!$E$2:$E$204,$A40,Kit_BOM!$A$2:$A$204,$A$8,Kit_BOM!$G$2:$G$204,"DNP")*$C$8,0)</f>
        <v>0</v>
      </c>
      <c r="F40" s="31" t="str">
        <f>IFERROR(IF(INDEX(Part_Suppliers!$G$2:$G$300,MATCH($A40&amp;"|"&amp;$C40,Part_Suppliers!$K$2:$K$300,0))=0,"",INDEX(Part_Suppliers!$G$2:$G$300,MATCH($A40&amp;"|"&amp;$C40,Part_Suppliers!$K$2:$K$300,0))),"")</f>
        <v/>
      </c>
      <c r="G40" s="31">
        <f t="shared" si="0"/>
        <v>0</v>
      </c>
      <c r="H40" s="49">
        <f>SUMIFS(Part_Suppliers!$E$2:$E$300,Part_Suppliers!$A$2:$A$300,$A40,Part_Suppliers!$B$2:$B$300,$C40)</f>
        <v>0</v>
      </c>
      <c r="I40" s="49">
        <f t="shared" si="1"/>
        <v>0</v>
      </c>
      <c r="J40" t="str">
        <f t="shared" si="2"/>
        <v>Nicht benötigt</v>
      </c>
      <c r="K40" s="29" t="str">
        <f>IFERROR(IF(INDEX(Part_Suppliers!$D$2:$D$300,MATCH($A40&amp;"|"&amp;$C40,Part_Suppliers!$K$2:$K$300,0))=0,"",INDEX(Part_Suppliers!$D$2:$D$300,MATCH($A40&amp;"|"&amp;$C40,Part_Suppliers!$K$2:$K$300,0))),"")</f>
        <v/>
      </c>
      <c r="L40" s="31">
        <f>IFERROR(VLOOKUP($A40,Stock!$A$5:$K$200,10,FALSE()),0)</f>
        <v>5</v>
      </c>
      <c r="M40" s="31">
        <f>IFERROR(VLOOKUP($A40,Stock!$A$5:$K$200,11,FALSE()),0)</f>
        <v>0</v>
      </c>
      <c r="N40" s="31">
        <f t="shared" si="3"/>
        <v>5</v>
      </c>
      <c r="O40" s="31">
        <f t="shared" si="4"/>
        <v>0</v>
      </c>
      <c r="P40" s="50">
        <v>0</v>
      </c>
    </row>
    <row r="41" spans="1:16" ht="14" customHeight="1" x14ac:dyDescent="0.2">
      <c r="A41" s="29" t="s">
        <v>390</v>
      </c>
      <c r="B41" s="48" t="str">
        <f>IFERROR(VLOOKUP($A41,Parts!$A$2:$M$200,3,FALSE()),"")</f>
        <v>Buchsenleiste 2x7, 2,54 mm, vertikal</v>
      </c>
      <c r="C41" s="29" t="str">
        <f>IFERROR(VLOOKUP($A41,Stock!$A$5:$I$200,8,FALSE()),"")</f>
        <v>DigiKey</v>
      </c>
      <c r="D41" s="29" t="str">
        <f>IFERROR(VLOOKUP($A41,Stock!$A$5:$I$200,9,FALSE()),"")</f>
        <v>732-61301421821-ND</v>
      </c>
      <c r="E41" s="31">
        <f>SUMIFS(Kit_BOM!$F$2:$F$204,Kit_BOM!$E$2:$E$204,$A41,Kit_BOM!$A$2:$A$204,$A$5,Kit_BOM!$G$2:$G$204,"Bestücken")*$C$5+SUMIFS(Kit_BOM!$F$2:$F$204,Kit_BOM!$E$2:$E$204,$A41,Kit_BOM!$A$2:$A$204,$A$5,Kit_BOM!$G$2:$G$204,"Mechanical")*$C$5+IF($F$5="Ja",SUMIFS(Kit_BOM!$F$2:$F$204,Kit_BOM!$E$2:$E$204,$A41,Kit_BOM!$A$2:$A$204,$A$5,Kit_BOM!$G$2:$G$204,"Optional")*$C$5,0)+IF($F$6="Ja",SUMIFS(Kit_BOM!$F$2:$F$204,Kit_BOM!$E$2:$E$204,$A41,Kit_BOM!$A$2:$A$204,$A$5,Kit_BOM!$G$2:$G$204,"DNP")*$C$5,0)+SUMIFS(Kit_BOM!$F$2:$F$204,Kit_BOM!$E$2:$E$204,$A41,Kit_BOM!$A$2:$A$204,$A$6,Kit_BOM!$G$2:$G$204,"Bestücken")*$C$6+SUMIFS(Kit_BOM!$F$2:$F$204,Kit_BOM!$E$2:$E$204,$A41,Kit_BOM!$A$2:$A$204,$A$6,Kit_BOM!$G$2:$G$204,"Mechanical")*$C$6+IF($F$5="Ja",SUMIFS(Kit_BOM!$F$2:$F$204,Kit_BOM!$E$2:$E$204,$A41,Kit_BOM!$A$2:$A$204,$A$6,Kit_BOM!$G$2:$G$204,"Optional")*$C$6,0)+IF($F$6="Ja",SUMIFS(Kit_BOM!$F$2:$F$204,Kit_BOM!$E$2:$E$204,$A41,Kit_BOM!$A$2:$A$204,$A$6,Kit_BOM!$G$2:$G$204,"DNP")*$C$6,0)+SUMIFS(Kit_BOM!$F$2:$F$204,Kit_BOM!$E$2:$E$204,$A41,Kit_BOM!$A$2:$A$204,$A$7,Kit_BOM!$G$2:$G$204,"Bestücken")*$C$7+SUMIFS(Kit_BOM!$F$2:$F$204,Kit_BOM!$E$2:$E$204,$A41,Kit_BOM!$A$2:$A$204,$A$7,Kit_BOM!$G$2:$G$204,"Mechanical")*$C$7+IF($F$5="Ja",SUMIFS(Kit_BOM!$F$2:$F$204,Kit_BOM!$E$2:$E$204,$A41,Kit_BOM!$A$2:$A$204,$A$7,Kit_BOM!$G$2:$G$204,"Optional")*$C$7,0)+IF($F$6="Ja",SUMIFS(Kit_BOM!$F$2:$F$204,Kit_BOM!$E$2:$E$204,$A41,Kit_BOM!$A$2:$A$204,$A$7,Kit_BOM!$G$2:$G$204,"DNP")*$C$7,0)+SUMIFS(Kit_BOM!$F$2:$F$204,Kit_BOM!$E$2:$E$204,$A41,Kit_BOM!$A$2:$A$204,$A$8,Kit_BOM!$G$2:$G$204,"Bestücken")*$C$8+SUMIFS(Kit_BOM!$F$2:$F$204,Kit_BOM!$E$2:$E$204,$A41,Kit_BOM!$A$2:$A$204,$A$8,Kit_BOM!$G$2:$G$204,"Mechanical")*$C$8+IF($F$5="Ja",SUMIFS(Kit_BOM!$F$2:$F$204,Kit_BOM!$E$2:$E$204,$A41,Kit_BOM!$A$2:$A$204,$A$8,Kit_BOM!$G$2:$G$204,"Optional")*$C$8,0)+IF($F$6="Ja",SUMIFS(Kit_BOM!$F$2:$F$204,Kit_BOM!$E$2:$E$204,$A41,Kit_BOM!$A$2:$A$204,$A$8,Kit_BOM!$G$2:$G$204,"DNP")*$C$8,0)</f>
        <v>2</v>
      </c>
      <c r="F41" s="31" t="str">
        <f>IFERROR(IF(INDEX(Part_Suppliers!$G$2:$G$300,MATCH($A41&amp;"|"&amp;$C41,Part_Suppliers!$K$2:$K$300,0))=0,"",INDEX(Part_Suppliers!$G$2:$G$300,MATCH($A41&amp;"|"&amp;$C41,Part_Suppliers!$K$2:$K$300,0))),"")</f>
        <v/>
      </c>
      <c r="G41" s="31">
        <f t="shared" si="0"/>
        <v>2</v>
      </c>
      <c r="H41" s="49">
        <f>SUMIFS(Part_Suppliers!$E$2:$E$300,Part_Suppliers!$A$2:$A$300,$A41,Part_Suppliers!$B$2:$B$300,$C41)</f>
        <v>0.56000000000000005</v>
      </c>
      <c r="I41" s="49">
        <f t="shared" si="1"/>
        <v>1.1200000000000001</v>
      </c>
      <c r="J41" t="str">
        <f t="shared" si="2"/>
        <v>Anderer Lieferant</v>
      </c>
      <c r="K41" s="29" t="str">
        <f>IFERROR(IF(INDEX(Part_Suppliers!$D$2:$D$300,MATCH($A41&amp;"|"&amp;$C41,Part_Suppliers!$K$2:$K$300,0))=0,"",INDEX(Part_Suppliers!$D$2:$D$300,MATCH($A41&amp;"|"&amp;$C41,Part_Suppliers!$K$2:$K$300,0))),"")</f>
        <v>https://www.digikey.de/de/products/detail/w%C3%BCrth-elektronik/61301421821/16608590</v>
      </c>
      <c r="L41" s="31">
        <f>IFERROR(VLOOKUP($A41,Stock!$A$5:$K$200,10,FALSE()),0)</f>
        <v>0</v>
      </c>
      <c r="M41" s="31">
        <f>IFERROR(VLOOKUP($A41,Stock!$A$5:$K$200,11,FALSE()),0)</f>
        <v>0</v>
      </c>
      <c r="N41" s="31">
        <f t="shared" si="3"/>
        <v>-2</v>
      </c>
      <c r="O41" s="31">
        <f t="shared" si="4"/>
        <v>2</v>
      </c>
      <c r="P41" s="50">
        <v>0</v>
      </c>
    </row>
    <row r="42" spans="1:16" ht="14" customHeight="1" x14ac:dyDescent="0.2">
      <c r="A42" s="29" t="s">
        <v>401</v>
      </c>
      <c r="B42" s="48" t="str">
        <f>IFERROR(VLOOKUP($A42,Parts!$A$2:$M$200,3,FALSE()),"")</f>
        <v>Schottky-Diode SS14, SMA</v>
      </c>
      <c r="C42" s="29" t="str">
        <f>IFERROR(VLOOKUP($A42,Stock!$A$5:$I$200,8,FALSE()),"")</f>
        <v>Reichelt</v>
      </c>
      <c r="D42" s="29" t="str">
        <f>IFERROR(VLOOKUP($A42,Stock!$A$5:$I$200,9,FALSE()),"")</f>
        <v>SS 14 VIS</v>
      </c>
      <c r="E42" s="31">
        <f>SUMIFS(Kit_BOM!$F$2:$F$204,Kit_BOM!$E$2:$E$204,$A42,Kit_BOM!$A$2:$A$204,$A$5,Kit_BOM!$G$2:$G$204,"Bestücken")*$C$5+SUMIFS(Kit_BOM!$F$2:$F$204,Kit_BOM!$E$2:$E$204,$A42,Kit_BOM!$A$2:$A$204,$A$5,Kit_BOM!$G$2:$G$204,"Mechanical")*$C$5+IF($F$5="Ja",SUMIFS(Kit_BOM!$F$2:$F$204,Kit_BOM!$E$2:$E$204,$A42,Kit_BOM!$A$2:$A$204,$A$5,Kit_BOM!$G$2:$G$204,"Optional")*$C$5,0)+IF($F$6="Ja",SUMIFS(Kit_BOM!$F$2:$F$204,Kit_BOM!$E$2:$E$204,$A42,Kit_BOM!$A$2:$A$204,$A$5,Kit_BOM!$G$2:$G$204,"DNP")*$C$5,0)+SUMIFS(Kit_BOM!$F$2:$F$204,Kit_BOM!$E$2:$E$204,$A42,Kit_BOM!$A$2:$A$204,$A$6,Kit_BOM!$G$2:$G$204,"Bestücken")*$C$6+SUMIFS(Kit_BOM!$F$2:$F$204,Kit_BOM!$E$2:$E$204,$A42,Kit_BOM!$A$2:$A$204,$A$6,Kit_BOM!$G$2:$G$204,"Mechanical")*$C$6+IF($F$5="Ja",SUMIFS(Kit_BOM!$F$2:$F$204,Kit_BOM!$E$2:$E$204,$A42,Kit_BOM!$A$2:$A$204,$A$6,Kit_BOM!$G$2:$G$204,"Optional")*$C$6,0)+IF($F$6="Ja",SUMIFS(Kit_BOM!$F$2:$F$204,Kit_BOM!$E$2:$E$204,$A42,Kit_BOM!$A$2:$A$204,$A$6,Kit_BOM!$G$2:$G$204,"DNP")*$C$6,0)+SUMIFS(Kit_BOM!$F$2:$F$204,Kit_BOM!$E$2:$E$204,$A42,Kit_BOM!$A$2:$A$204,$A$7,Kit_BOM!$G$2:$G$204,"Bestücken")*$C$7+SUMIFS(Kit_BOM!$F$2:$F$204,Kit_BOM!$E$2:$E$204,$A42,Kit_BOM!$A$2:$A$204,$A$7,Kit_BOM!$G$2:$G$204,"Mechanical")*$C$7+IF($F$5="Ja",SUMIFS(Kit_BOM!$F$2:$F$204,Kit_BOM!$E$2:$E$204,$A42,Kit_BOM!$A$2:$A$204,$A$7,Kit_BOM!$G$2:$G$204,"Optional")*$C$7,0)+IF($F$6="Ja",SUMIFS(Kit_BOM!$F$2:$F$204,Kit_BOM!$E$2:$E$204,$A42,Kit_BOM!$A$2:$A$204,$A$7,Kit_BOM!$G$2:$G$204,"DNP")*$C$7,0)+SUMIFS(Kit_BOM!$F$2:$F$204,Kit_BOM!$E$2:$E$204,$A42,Kit_BOM!$A$2:$A$204,$A$8,Kit_BOM!$G$2:$G$204,"Bestücken")*$C$8+SUMIFS(Kit_BOM!$F$2:$F$204,Kit_BOM!$E$2:$E$204,$A42,Kit_BOM!$A$2:$A$204,$A$8,Kit_BOM!$G$2:$G$204,"Mechanical")*$C$8+IF($F$5="Ja",SUMIFS(Kit_BOM!$F$2:$F$204,Kit_BOM!$E$2:$E$204,$A42,Kit_BOM!$A$2:$A$204,$A$8,Kit_BOM!$G$2:$G$204,"Optional")*$C$8,0)+IF($F$6="Ja",SUMIFS(Kit_BOM!$F$2:$F$204,Kit_BOM!$E$2:$E$204,$A42,Kit_BOM!$A$2:$A$204,$A$8,Kit_BOM!$G$2:$G$204,"DNP")*$C$8,0)</f>
        <v>2</v>
      </c>
      <c r="F42" s="31" t="str">
        <f>IFERROR(IF(INDEX(Part_Suppliers!$G$2:$G$300,MATCH($A42&amp;"|"&amp;$C42,Part_Suppliers!$K$2:$K$300,0))=0,"",INDEX(Part_Suppliers!$G$2:$G$300,MATCH($A42&amp;"|"&amp;$C42,Part_Suppliers!$K$2:$K$300,0))),"")</f>
        <v/>
      </c>
      <c r="G42" s="31">
        <f t="shared" si="0"/>
        <v>2</v>
      </c>
      <c r="H42" s="49">
        <f>SUMIFS(Part_Suppliers!$E$2:$E$300,Part_Suppliers!$A$2:$A$300,$A42,Part_Suppliers!$B$2:$B$300,$C42)</f>
        <v>0.18</v>
      </c>
      <c r="I42" s="49">
        <f t="shared" si="1"/>
        <v>0.36</v>
      </c>
      <c r="J42" t="str">
        <f t="shared" si="2"/>
        <v>Reichelt bereit</v>
      </c>
      <c r="K42" s="29" t="str">
        <f>IFERROR(IF(INDEX(Part_Suppliers!$D$2:$D$300,MATCH($A42&amp;"|"&amp;$C42,Part_Suppliers!$K$2:$K$300,0))=0,"",INDEX(Part_Suppliers!$D$2:$D$300,MATCH($A42&amp;"|"&amp;$C42,Part_Suppliers!$K$2:$K$300,0))),"")</f>
        <v>https://www.reichelt.de/de/de/shop/produkt/schottkydiode_40_v_1_a_do-214ac-219612</v>
      </c>
      <c r="L42" s="31">
        <f>IFERROR(VLOOKUP($A42,Stock!$A$5:$K$200,10,FALSE()),0)</f>
        <v>0</v>
      </c>
      <c r="M42" s="31">
        <f>IFERROR(VLOOKUP($A42,Stock!$A$5:$K$200,11,FALSE()),0)</f>
        <v>0</v>
      </c>
      <c r="N42" s="31">
        <f t="shared" si="3"/>
        <v>-2</v>
      </c>
      <c r="O42" s="31">
        <f t="shared" si="4"/>
        <v>2</v>
      </c>
      <c r="P42" s="50">
        <v>0</v>
      </c>
    </row>
    <row r="43" spans="1:16" ht="14" customHeight="1" x14ac:dyDescent="0.2">
      <c r="A43" s="29" t="s">
        <v>408</v>
      </c>
      <c r="B43" s="48" t="str">
        <f>IFERROR(VLOOKUP($A43,Parts!$A$2:$M$200,3,FALSE()),"")</f>
        <v>Elektrolytkondensator 10 µF SMD</v>
      </c>
      <c r="C43" s="29" t="str">
        <f>IFERROR(VLOOKUP($A43,Stock!$A$5:$I$200,8,FALSE()),"")</f>
        <v>Reichelt</v>
      </c>
      <c r="D43" s="29" t="str">
        <f>IFERROR(VLOOKUP($A43,Stock!$A$5:$I$200,9,FALSE()),"")</f>
        <v>S-V 10U 25</v>
      </c>
      <c r="E43" s="31">
        <f>SUMIFS(Kit_BOM!$F$2:$F$204,Kit_BOM!$E$2:$E$204,$A43,Kit_BOM!$A$2:$A$204,$A$5,Kit_BOM!$G$2:$G$204,"Bestücken")*$C$5+SUMIFS(Kit_BOM!$F$2:$F$204,Kit_BOM!$E$2:$E$204,$A43,Kit_BOM!$A$2:$A$204,$A$5,Kit_BOM!$G$2:$G$204,"Mechanical")*$C$5+IF($F$5="Ja",SUMIFS(Kit_BOM!$F$2:$F$204,Kit_BOM!$E$2:$E$204,$A43,Kit_BOM!$A$2:$A$204,$A$5,Kit_BOM!$G$2:$G$204,"Optional")*$C$5,0)+IF($F$6="Ja",SUMIFS(Kit_BOM!$F$2:$F$204,Kit_BOM!$E$2:$E$204,$A43,Kit_BOM!$A$2:$A$204,$A$5,Kit_BOM!$G$2:$G$204,"DNP")*$C$5,0)+SUMIFS(Kit_BOM!$F$2:$F$204,Kit_BOM!$E$2:$E$204,$A43,Kit_BOM!$A$2:$A$204,$A$6,Kit_BOM!$G$2:$G$204,"Bestücken")*$C$6+SUMIFS(Kit_BOM!$F$2:$F$204,Kit_BOM!$E$2:$E$204,$A43,Kit_BOM!$A$2:$A$204,$A$6,Kit_BOM!$G$2:$G$204,"Mechanical")*$C$6+IF($F$5="Ja",SUMIFS(Kit_BOM!$F$2:$F$204,Kit_BOM!$E$2:$E$204,$A43,Kit_BOM!$A$2:$A$204,$A$6,Kit_BOM!$G$2:$G$204,"Optional")*$C$6,0)+IF($F$6="Ja",SUMIFS(Kit_BOM!$F$2:$F$204,Kit_BOM!$E$2:$E$204,$A43,Kit_BOM!$A$2:$A$204,$A$6,Kit_BOM!$G$2:$G$204,"DNP")*$C$6,0)+SUMIFS(Kit_BOM!$F$2:$F$204,Kit_BOM!$E$2:$E$204,$A43,Kit_BOM!$A$2:$A$204,$A$7,Kit_BOM!$G$2:$G$204,"Bestücken")*$C$7+SUMIFS(Kit_BOM!$F$2:$F$204,Kit_BOM!$E$2:$E$204,$A43,Kit_BOM!$A$2:$A$204,$A$7,Kit_BOM!$G$2:$G$204,"Mechanical")*$C$7+IF($F$5="Ja",SUMIFS(Kit_BOM!$F$2:$F$204,Kit_BOM!$E$2:$E$204,$A43,Kit_BOM!$A$2:$A$204,$A$7,Kit_BOM!$G$2:$G$204,"Optional")*$C$7,0)+IF($F$6="Ja",SUMIFS(Kit_BOM!$F$2:$F$204,Kit_BOM!$E$2:$E$204,$A43,Kit_BOM!$A$2:$A$204,$A$7,Kit_BOM!$G$2:$G$204,"DNP")*$C$7,0)+SUMIFS(Kit_BOM!$F$2:$F$204,Kit_BOM!$E$2:$E$204,$A43,Kit_BOM!$A$2:$A$204,$A$8,Kit_BOM!$G$2:$G$204,"Bestücken")*$C$8+SUMIFS(Kit_BOM!$F$2:$F$204,Kit_BOM!$E$2:$E$204,$A43,Kit_BOM!$A$2:$A$204,$A$8,Kit_BOM!$G$2:$G$204,"Mechanical")*$C$8+IF($F$5="Ja",SUMIFS(Kit_BOM!$F$2:$F$204,Kit_BOM!$E$2:$E$204,$A43,Kit_BOM!$A$2:$A$204,$A$8,Kit_BOM!$G$2:$G$204,"Optional")*$C$8,0)+IF($F$6="Ja",SUMIFS(Kit_BOM!$F$2:$F$204,Kit_BOM!$E$2:$E$204,$A43,Kit_BOM!$A$2:$A$204,$A$8,Kit_BOM!$G$2:$G$204,"DNP")*$C$8,0)</f>
        <v>1</v>
      </c>
      <c r="F43" s="31" t="str">
        <f>IFERROR(IF(INDEX(Part_Suppliers!$G$2:$G$300,MATCH($A43&amp;"|"&amp;$C43,Part_Suppliers!$K$2:$K$300,0))=0,"",INDEX(Part_Suppliers!$G$2:$G$300,MATCH($A43&amp;"|"&amp;$C43,Part_Suppliers!$K$2:$K$300,0))),"")</f>
        <v/>
      </c>
      <c r="G43" s="31">
        <f t="shared" si="0"/>
        <v>1</v>
      </c>
      <c r="H43" s="49">
        <f>SUMIFS(Part_Suppliers!$E$2:$E$300,Part_Suppliers!$A$2:$A$300,$A43,Part_Suppliers!$B$2:$B$300,$C43)</f>
        <v>0.18</v>
      </c>
      <c r="I43" s="49">
        <f t="shared" si="1"/>
        <v>0.18</v>
      </c>
      <c r="J43" t="str">
        <f t="shared" si="2"/>
        <v>Reichelt bereit</v>
      </c>
      <c r="K43" s="29" t="str">
        <f>IFERROR(IF(INDEX(Part_Suppliers!$D$2:$D$300,MATCH($A43&amp;"|"&amp;$C43,Part_Suppliers!$K$2:$K$300,0))=0,"",INDEX(Part_Suppliers!$D$2:$D$300,MATCH($A43&amp;"|"&amp;$C43,Part_Suppliers!$K$2:$K$300,0))),"")</f>
        <v>https://www.reichelt.de/de/de/shop/produkt/smd-elko_10_f_-20_25_v_85_5_x_5_4_mm-228459</v>
      </c>
      <c r="L43" s="31">
        <f>IFERROR(VLOOKUP($A43,Stock!$A$5:$K$200,10,FALSE()),0)</f>
        <v>0</v>
      </c>
      <c r="M43" s="31">
        <f>IFERROR(VLOOKUP($A43,Stock!$A$5:$K$200,11,FALSE()),0)</f>
        <v>0</v>
      </c>
      <c r="N43" s="31">
        <f t="shared" si="3"/>
        <v>-1</v>
      </c>
      <c r="O43" s="31">
        <f t="shared" si="4"/>
        <v>1</v>
      </c>
      <c r="P43" s="50">
        <v>0</v>
      </c>
    </row>
    <row r="44" spans="1:16" ht="14" customHeight="1" x14ac:dyDescent="0.2">
      <c r="A44" s="29" t="s">
        <v>416</v>
      </c>
      <c r="B44" s="48" t="str">
        <f>IFERROR(VLOOKUP($A44,Parts!$A$2:$M$200,3,FALSE()),"")</f>
        <v>EnvNode Mini PCB Rev 0.2</v>
      </c>
      <c r="C44" s="29" t="str">
        <f>IFERROR(VLOOKUP($A44,Stock!$A$5:$I$200,8,FALSE()),"")</f>
        <v>JLCPCB</v>
      </c>
      <c r="D44" s="29" t="str">
        <f>IFERROR(VLOOKUP($A44,Stock!$A$5:$I$200,9,FALSE()),"")</f>
        <v/>
      </c>
      <c r="E44" s="31">
        <f>SUMIFS(Kit_BOM!$F$2:$F$204,Kit_BOM!$E$2:$E$204,$A44,Kit_BOM!$A$2:$A$204,$A$5,Kit_BOM!$G$2:$G$204,"Bestücken")*$C$5+SUMIFS(Kit_BOM!$F$2:$F$204,Kit_BOM!$E$2:$E$204,$A44,Kit_BOM!$A$2:$A$204,$A$5,Kit_BOM!$G$2:$G$204,"Mechanical")*$C$5+IF($F$5="Ja",SUMIFS(Kit_BOM!$F$2:$F$204,Kit_BOM!$E$2:$E$204,$A44,Kit_BOM!$A$2:$A$204,$A$5,Kit_BOM!$G$2:$G$204,"Optional")*$C$5,0)+IF($F$6="Ja",SUMIFS(Kit_BOM!$F$2:$F$204,Kit_BOM!$E$2:$E$204,$A44,Kit_BOM!$A$2:$A$204,$A$5,Kit_BOM!$G$2:$G$204,"DNP")*$C$5,0)+SUMIFS(Kit_BOM!$F$2:$F$204,Kit_BOM!$E$2:$E$204,$A44,Kit_BOM!$A$2:$A$204,$A$6,Kit_BOM!$G$2:$G$204,"Bestücken")*$C$6+SUMIFS(Kit_BOM!$F$2:$F$204,Kit_BOM!$E$2:$E$204,$A44,Kit_BOM!$A$2:$A$204,$A$6,Kit_BOM!$G$2:$G$204,"Mechanical")*$C$6+IF($F$5="Ja",SUMIFS(Kit_BOM!$F$2:$F$204,Kit_BOM!$E$2:$E$204,$A44,Kit_BOM!$A$2:$A$204,$A$6,Kit_BOM!$G$2:$G$204,"Optional")*$C$6,0)+IF($F$6="Ja",SUMIFS(Kit_BOM!$F$2:$F$204,Kit_BOM!$E$2:$E$204,$A44,Kit_BOM!$A$2:$A$204,$A$6,Kit_BOM!$G$2:$G$204,"DNP")*$C$6,0)+SUMIFS(Kit_BOM!$F$2:$F$204,Kit_BOM!$E$2:$E$204,$A44,Kit_BOM!$A$2:$A$204,$A$7,Kit_BOM!$G$2:$G$204,"Bestücken")*$C$7+SUMIFS(Kit_BOM!$F$2:$F$204,Kit_BOM!$E$2:$E$204,$A44,Kit_BOM!$A$2:$A$204,$A$7,Kit_BOM!$G$2:$G$204,"Mechanical")*$C$7+IF($F$5="Ja",SUMIFS(Kit_BOM!$F$2:$F$204,Kit_BOM!$E$2:$E$204,$A44,Kit_BOM!$A$2:$A$204,$A$7,Kit_BOM!$G$2:$G$204,"Optional")*$C$7,0)+IF($F$6="Ja",SUMIFS(Kit_BOM!$F$2:$F$204,Kit_BOM!$E$2:$E$204,$A44,Kit_BOM!$A$2:$A$204,$A$7,Kit_BOM!$G$2:$G$204,"DNP")*$C$7,0)+SUMIFS(Kit_BOM!$F$2:$F$204,Kit_BOM!$E$2:$E$204,$A44,Kit_BOM!$A$2:$A$204,$A$8,Kit_BOM!$G$2:$G$204,"Bestücken")*$C$8+SUMIFS(Kit_BOM!$F$2:$F$204,Kit_BOM!$E$2:$E$204,$A44,Kit_BOM!$A$2:$A$204,$A$8,Kit_BOM!$G$2:$G$204,"Mechanical")*$C$8+IF($F$5="Ja",SUMIFS(Kit_BOM!$F$2:$F$204,Kit_BOM!$E$2:$E$204,$A44,Kit_BOM!$A$2:$A$204,$A$8,Kit_BOM!$G$2:$G$204,"Optional")*$C$8,0)+IF($F$6="Ja",SUMIFS(Kit_BOM!$F$2:$F$204,Kit_BOM!$E$2:$E$204,$A44,Kit_BOM!$A$2:$A$204,$A$8,Kit_BOM!$G$2:$G$204,"DNP")*$C$8,0)</f>
        <v>1</v>
      </c>
      <c r="F44" s="31">
        <f>IFERROR(IF(INDEX(Part_Suppliers!$G$2:$G$300,MATCH($A44&amp;"|"&amp;$C44,Part_Suppliers!$K$2:$K$300,0))=0,"",INDEX(Part_Suppliers!$G$2:$G$300,MATCH($A44&amp;"|"&amp;$C44,Part_Suppliers!$K$2:$K$300,0))),"")</f>
        <v>5</v>
      </c>
      <c r="G44" s="31">
        <f t="shared" si="0"/>
        <v>5</v>
      </c>
      <c r="H44" s="49">
        <f>SUMIFS(Part_Suppliers!$E$2:$E$300,Part_Suppliers!$A$2:$A$300,$A44,Part_Suppliers!$B$2:$B$300,$C44)</f>
        <v>0</v>
      </c>
      <c r="I44" s="49">
        <f t="shared" si="1"/>
        <v>0</v>
      </c>
      <c r="J44" t="str">
        <f t="shared" si="2"/>
        <v>Anderer Lieferant</v>
      </c>
      <c r="K44" s="29" t="str">
        <f>IFERROR(IF(INDEX(Part_Suppliers!$D$2:$D$300,MATCH($A44&amp;"|"&amp;$C44,Part_Suppliers!$K$2:$K$300,0))=0,"",INDEX(Part_Suppliers!$D$2:$D$300,MATCH($A44&amp;"|"&amp;$C44,Part_Suppliers!$K$2:$K$300,0))),"")</f>
        <v/>
      </c>
      <c r="L44" s="31">
        <f>IFERROR(VLOOKUP($A44,Stock!$A$5:$K$200,10,FALSE()),0)</f>
        <v>0</v>
      </c>
      <c r="M44" s="31">
        <f>IFERROR(VLOOKUP($A44,Stock!$A$5:$K$200,11,FALSE()),0)</f>
        <v>0</v>
      </c>
      <c r="N44" s="31">
        <f t="shared" si="3"/>
        <v>-1</v>
      </c>
      <c r="O44" s="31">
        <f t="shared" si="4"/>
        <v>5</v>
      </c>
      <c r="P44" s="50">
        <v>0</v>
      </c>
    </row>
    <row r="45" spans="1:16" ht="26.25" customHeight="1" x14ac:dyDescent="0.2">
      <c r="A45" s="29" t="s">
        <v>429</v>
      </c>
      <c r="B45" s="48" t="str">
        <f>IFERROR(VLOOKUP($A45,Parts!$A$2:$M$200,3,FALSE()),"")</f>
        <v>Stiftleiste 2x7, 2,54 mm, vertikal, Bottom-Mount</v>
      </c>
      <c r="C45" s="29" t="str">
        <f>IFERROR(VLOOKUP($A45,Stock!$A$5:$I$200,8,FALSE()),"")</f>
        <v>Reichelt</v>
      </c>
      <c r="D45" s="29" t="str">
        <f>IFERROR(VLOOKUP($A45,Stock!$A$5:$I$200,9,FALSE()),"")</f>
        <v>ECON SL14G2</v>
      </c>
      <c r="E45" s="31">
        <f>SUMIFS(Kit_BOM!$F$2:$F$204,Kit_BOM!$E$2:$E$204,$A45,Kit_BOM!$A$2:$A$204,$A$5,Kit_BOM!$G$2:$G$204,"Bestücken")*$C$5+SUMIFS(Kit_BOM!$F$2:$F$204,Kit_BOM!$E$2:$E$204,$A45,Kit_BOM!$A$2:$A$204,$A$5,Kit_BOM!$G$2:$G$204,"Mechanical")*$C$5+IF($F$5="Ja",SUMIFS(Kit_BOM!$F$2:$F$204,Kit_BOM!$E$2:$E$204,$A45,Kit_BOM!$A$2:$A$204,$A$5,Kit_BOM!$G$2:$G$204,"Optional")*$C$5,0)+IF($F$6="Ja",SUMIFS(Kit_BOM!$F$2:$F$204,Kit_BOM!$E$2:$E$204,$A45,Kit_BOM!$A$2:$A$204,$A$5,Kit_BOM!$G$2:$G$204,"DNP")*$C$5,0)+SUMIFS(Kit_BOM!$F$2:$F$204,Kit_BOM!$E$2:$E$204,$A45,Kit_BOM!$A$2:$A$204,$A$6,Kit_BOM!$G$2:$G$204,"Bestücken")*$C$6+SUMIFS(Kit_BOM!$F$2:$F$204,Kit_BOM!$E$2:$E$204,$A45,Kit_BOM!$A$2:$A$204,$A$6,Kit_BOM!$G$2:$G$204,"Mechanical")*$C$6+IF($F$5="Ja",SUMIFS(Kit_BOM!$F$2:$F$204,Kit_BOM!$E$2:$E$204,$A45,Kit_BOM!$A$2:$A$204,$A$6,Kit_BOM!$G$2:$G$204,"Optional")*$C$6,0)+IF($F$6="Ja",SUMIFS(Kit_BOM!$F$2:$F$204,Kit_BOM!$E$2:$E$204,$A45,Kit_BOM!$A$2:$A$204,$A$6,Kit_BOM!$G$2:$G$204,"DNP")*$C$6,0)+SUMIFS(Kit_BOM!$F$2:$F$204,Kit_BOM!$E$2:$E$204,$A45,Kit_BOM!$A$2:$A$204,$A$7,Kit_BOM!$G$2:$G$204,"Bestücken")*$C$7+SUMIFS(Kit_BOM!$F$2:$F$204,Kit_BOM!$E$2:$E$204,$A45,Kit_BOM!$A$2:$A$204,$A$7,Kit_BOM!$G$2:$G$204,"Mechanical")*$C$7+IF($F$5="Ja",SUMIFS(Kit_BOM!$F$2:$F$204,Kit_BOM!$E$2:$E$204,$A45,Kit_BOM!$A$2:$A$204,$A$7,Kit_BOM!$G$2:$G$204,"Optional")*$C$7,0)+IF($F$6="Ja",SUMIFS(Kit_BOM!$F$2:$F$204,Kit_BOM!$E$2:$E$204,$A45,Kit_BOM!$A$2:$A$204,$A$7,Kit_BOM!$G$2:$G$204,"DNP")*$C$7,0)+SUMIFS(Kit_BOM!$F$2:$F$204,Kit_BOM!$E$2:$E$204,$A45,Kit_BOM!$A$2:$A$204,$A$8,Kit_BOM!$G$2:$G$204,"Bestücken")*$C$8+SUMIFS(Kit_BOM!$F$2:$F$204,Kit_BOM!$E$2:$E$204,$A45,Kit_BOM!$A$2:$A$204,$A$8,Kit_BOM!$G$2:$G$204,"Mechanical")*$C$8+IF($F$5="Ja",SUMIFS(Kit_BOM!$F$2:$F$204,Kit_BOM!$E$2:$E$204,$A45,Kit_BOM!$A$2:$A$204,$A$8,Kit_BOM!$G$2:$G$204,"Optional")*$C$8,0)+IF($F$6="Ja",SUMIFS(Kit_BOM!$F$2:$F$204,Kit_BOM!$E$2:$E$204,$A45,Kit_BOM!$A$2:$A$204,$A$8,Kit_BOM!$G$2:$G$204,"DNP")*$C$8,0)</f>
        <v>0</v>
      </c>
      <c r="F45" s="31" t="str">
        <f>IFERROR(IF(INDEX(Part_Suppliers!$G$2:$G$300,MATCH($A45&amp;"|"&amp;$C45,Part_Suppliers!$K$2:$K$300,0))=0,"",INDEX(Part_Suppliers!$G$2:$G$300,MATCH($A45&amp;"|"&amp;$C45,Part_Suppliers!$K$2:$K$300,0))),"")</f>
        <v/>
      </c>
      <c r="G45" s="31">
        <f t="shared" si="0"/>
        <v>0</v>
      </c>
      <c r="H45" s="49">
        <f>SUMIFS(Part_Suppliers!$E$2:$E$300,Part_Suppliers!$A$2:$A$300,$A45,Part_Suppliers!$B$2:$B$300,$C45)</f>
        <v>0.3</v>
      </c>
      <c r="I45" s="49">
        <f t="shared" si="1"/>
        <v>0</v>
      </c>
      <c r="J45" t="str">
        <f t="shared" si="2"/>
        <v>Nicht benötigt</v>
      </c>
      <c r="K45" s="29" t="str">
        <f>IFERROR(IF(INDEX(Part_Suppliers!$D$2:$D$300,MATCH($A45&amp;"|"&amp;$C45,Part_Suppliers!$K$2:$K$300,0))=0,"",INDEX(Part_Suppliers!$D$2:$D$300,MATCH($A45&amp;"|"&amp;$C45,Part_Suppliers!$K$2:$K$300,0))),"")</f>
        <v>https://www.reichelt.de/de/de/shop/produkt/stiftleiste_2_x_7_polig_gerade_rastermass_2_54_mm-404299</v>
      </c>
      <c r="L45" s="31">
        <f>IFERROR(VLOOKUP($A45,Stock!$A$5:$K$200,10,FALSE()),0)</f>
        <v>0</v>
      </c>
      <c r="M45" s="31">
        <f>IFERROR(VLOOKUP($A45,Stock!$A$5:$K$200,11,FALSE()),0)</f>
        <v>0</v>
      </c>
      <c r="N45" s="31">
        <f t="shared" si="3"/>
        <v>0</v>
      </c>
      <c r="O45" s="31">
        <f t="shared" si="4"/>
        <v>0</v>
      </c>
      <c r="P45" s="50">
        <v>0</v>
      </c>
    </row>
    <row r="46" spans="1:16" ht="14" customHeight="1" x14ac:dyDescent="0.2">
      <c r="A46" s="29" t="s">
        <v>462</v>
      </c>
      <c r="B46" s="48" t="str">
        <f>IFERROR(VLOOKUP($A46,Parts!$A$2:$M$200,3,FALSE()),"")</f>
        <v>LED SMD 1206, rot</v>
      </c>
      <c r="C46" s="29" t="str">
        <f>IFERROR(VLOOKUP($A46,Stock!$A$5:$I$200,8,FALSE()),"")</f>
        <v>Reichelt</v>
      </c>
      <c r="D46" s="29" t="str">
        <f>IFERROR(VLOOKUP($A46,Stock!$A$5:$I$200,9,FALSE()),"")</f>
        <v>KBT KP-3216SURC</v>
      </c>
      <c r="E46" s="31">
        <f>SUMIFS(Kit_BOM!$F$2:$F$204,Kit_BOM!$E$2:$E$204,$A46,Kit_BOM!$A$2:$A$204,$A$5,Kit_BOM!$G$2:$G$204,"Bestücken")*$C$5+SUMIFS(Kit_BOM!$F$2:$F$204,Kit_BOM!$E$2:$E$204,$A46,Kit_BOM!$A$2:$A$204,$A$5,Kit_BOM!$G$2:$G$204,"Mechanical")*$C$5+IF($F$5="Ja",SUMIFS(Kit_BOM!$F$2:$F$204,Kit_BOM!$E$2:$E$204,$A46,Kit_BOM!$A$2:$A$204,$A$5,Kit_BOM!$G$2:$G$204,"Optional")*$C$5,0)+IF($F$6="Ja",SUMIFS(Kit_BOM!$F$2:$F$204,Kit_BOM!$E$2:$E$204,$A46,Kit_BOM!$A$2:$A$204,$A$5,Kit_BOM!$G$2:$G$204,"DNP")*$C$5,0)+SUMIFS(Kit_BOM!$F$2:$F$204,Kit_BOM!$E$2:$E$204,$A46,Kit_BOM!$A$2:$A$204,$A$6,Kit_BOM!$G$2:$G$204,"Bestücken")*$C$6+SUMIFS(Kit_BOM!$F$2:$F$204,Kit_BOM!$E$2:$E$204,$A46,Kit_BOM!$A$2:$A$204,$A$6,Kit_BOM!$G$2:$G$204,"Mechanical")*$C$6+IF($F$5="Ja",SUMIFS(Kit_BOM!$F$2:$F$204,Kit_BOM!$E$2:$E$204,$A46,Kit_BOM!$A$2:$A$204,$A$6,Kit_BOM!$G$2:$G$204,"Optional")*$C$6,0)+IF($F$6="Ja",SUMIFS(Kit_BOM!$F$2:$F$204,Kit_BOM!$E$2:$E$204,$A46,Kit_BOM!$A$2:$A$204,$A$6,Kit_BOM!$G$2:$G$204,"DNP")*$C$6,0)+SUMIFS(Kit_BOM!$F$2:$F$204,Kit_BOM!$E$2:$E$204,$A46,Kit_BOM!$A$2:$A$204,$A$7,Kit_BOM!$G$2:$G$204,"Bestücken")*$C$7+SUMIFS(Kit_BOM!$F$2:$F$204,Kit_BOM!$E$2:$E$204,$A46,Kit_BOM!$A$2:$A$204,$A$7,Kit_BOM!$G$2:$G$204,"Mechanical")*$C$7+IF($F$5="Ja",SUMIFS(Kit_BOM!$F$2:$F$204,Kit_BOM!$E$2:$E$204,$A46,Kit_BOM!$A$2:$A$204,$A$7,Kit_BOM!$G$2:$G$204,"Optional")*$C$7,0)+IF($F$6="Ja",SUMIFS(Kit_BOM!$F$2:$F$204,Kit_BOM!$E$2:$E$204,$A46,Kit_BOM!$A$2:$A$204,$A$7,Kit_BOM!$G$2:$G$204,"DNP")*$C$7,0)+SUMIFS(Kit_BOM!$F$2:$F$204,Kit_BOM!$E$2:$E$204,$A46,Kit_BOM!$A$2:$A$204,$A$8,Kit_BOM!$G$2:$G$204,"Bestücken")*$C$8+SUMIFS(Kit_BOM!$F$2:$F$204,Kit_BOM!$E$2:$E$204,$A46,Kit_BOM!$A$2:$A$204,$A$8,Kit_BOM!$G$2:$G$204,"Mechanical")*$C$8+IF($F$5="Ja",SUMIFS(Kit_BOM!$F$2:$F$204,Kit_BOM!$E$2:$E$204,$A46,Kit_BOM!$A$2:$A$204,$A$8,Kit_BOM!$G$2:$G$204,"Optional")*$C$8,0)+IF($F$6="Ja",SUMIFS(Kit_BOM!$F$2:$F$204,Kit_BOM!$E$2:$E$204,$A46,Kit_BOM!$A$2:$A$204,$A$8,Kit_BOM!$G$2:$G$204,"DNP")*$C$8,0)</f>
        <v>0</v>
      </c>
      <c r="F46" s="31" t="str">
        <f>IFERROR(IF(INDEX(Part_Suppliers!$G$2:$G$300,MATCH($A46&amp;"|"&amp;$C46,Part_Suppliers!$K$2:$K$300,0))=0,"",INDEX(Part_Suppliers!$G$2:$G$300,MATCH($A46&amp;"|"&amp;$C46,Part_Suppliers!$K$2:$K$300,0))),"")</f>
        <v/>
      </c>
      <c r="G46" s="31">
        <f t="shared" ref="G46:G65" si="5">IF($E46=0,0,IF(OR($F46="",$F46=0),$E46,CEILING($E46,$F46)))</f>
        <v>0</v>
      </c>
      <c r="H46" s="49">
        <f>SUMIFS(Part_Suppliers!$E$2:$E$300,Part_Suppliers!$A$2:$A$300,$A46,Part_Suppliers!$B$2:$B$300,$C46)</f>
        <v>0.11</v>
      </c>
      <c r="I46" s="49">
        <f t="shared" ref="I46:I65" si="6">$G46*$H46</f>
        <v>0</v>
      </c>
      <c r="J46" t="str">
        <f t="shared" ref="J46:J65" si="7">IF($E46=0,"Nicht benötigt",IF(LOWER($C46)&lt;&gt;"reichelt","Anderer Lieferant",IF($D46="","Supplier-PN fehlt","Reichelt bereit")))</f>
        <v>Nicht benötigt</v>
      </c>
      <c r="K46" s="29" t="str">
        <f>IFERROR(IF(INDEX(Part_Suppliers!$D$2:$D$300,MATCH($A46&amp;"|"&amp;$C46,Part_Suppliers!$K$2:$K$300,0))=0,"",INDEX(Part_Suppliers!$D$2:$D$300,MATCH($A46&amp;"|"&amp;$C46,Part_Suppliers!$K$2:$K$300,0))),"")</f>
        <v>https://www.reichelt.de/de/de/shop/produkt/smd-led_1206_hyper-rot_250_mcd_645_nm_140_-231713</v>
      </c>
      <c r="L46" s="31">
        <f>IFERROR(VLOOKUP($A46,Stock!$A$5:$K$200,10,FALSE()),0)</f>
        <v>0</v>
      </c>
      <c r="M46" s="31">
        <f>IFERROR(VLOOKUP($A46,Stock!$A$5:$K$200,11,FALSE()),0)</f>
        <v>0</v>
      </c>
      <c r="N46" s="31">
        <f t="shared" ref="N46:N65" si="8">$L46+$M46-$E46</f>
        <v>0</v>
      </c>
      <c r="O46" s="31">
        <f t="shared" ref="O46:O65" si="9">IF($N46&gt;=0,0,IF(OR($F46="",$F46=0),-$N46,CEILING(-$N46,$F46)))</f>
        <v>0</v>
      </c>
      <c r="P46" s="50">
        <v>0</v>
      </c>
    </row>
    <row r="47" spans="1:16" ht="14" customHeight="1" x14ac:dyDescent="0.2">
      <c r="A47" s="29" t="s">
        <v>473</v>
      </c>
      <c r="B47" s="48" t="str">
        <f>IFERROR(VLOOKUP($A47,Parts!$A$2:$M$200,3,FALSE()),"")</f>
        <v>Widerstand 1,5 kΩ SMD</v>
      </c>
      <c r="C47" s="29" t="str">
        <f>IFERROR(VLOOKUP($A47,Stock!$A$5:$I$200,8,FALSE()),"")</f>
        <v>Reichelt</v>
      </c>
      <c r="D47" s="29" t="str">
        <f>IFERROR(VLOOKUP($A47,Stock!$A$5:$I$200,9,FALSE()),"")</f>
        <v>VIS CRCW12061K5</v>
      </c>
      <c r="E47" s="31">
        <f>SUMIFS(Kit_BOM!$F$2:$F$204,Kit_BOM!$E$2:$E$204,$A47,Kit_BOM!$A$2:$A$204,$A$5,Kit_BOM!$G$2:$G$204,"Bestücken")*$C$5+SUMIFS(Kit_BOM!$F$2:$F$204,Kit_BOM!$E$2:$E$204,$A47,Kit_BOM!$A$2:$A$204,$A$5,Kit_BOM!$G$2:$G$204,"Mechanical")*$C$5+IF($F$5="Ja",SUMIFS(Kit_BOM!$F$2:$F$204,Kit_BOM!$E$2:$E$204,$A47,Kit_BOM!$A$2:$A$204,$A$5,Kit_BOM!$G$2:$G$204,"Optional")*$C$5,0)+IF($F$6="Ja",SUMIFS(Kit_BOM!$F$2:$F$204,Kit_BOM!$E$2:$E$204,$A47,Kit_BOM!$A$2:$A$204,$A$5,Kit_BOM!$G$2:$G$204,"DNP")*$C$5,0)+SUMIFS(Kit_BOM!$F$2:$F$204,Kit_BOM!$E$2:$E$204,$A47,Kit_BOM!$A$2:$A$204,$A$6,Kit_BOM!$G$2:$G$204,"Bestücken")*$C$6+SUMIFS(Kit_BOM!$F$2:$F$204,Kit_BOM!$E$2:$E$204,$A47,Kit_BOM!$A$2:$A$204,$A$6,Kit_BOM!$G$2:$G$204,"Mechanical")*$C$6+IF($F$5="Ja",SUMIFS(Kit_BOM!$F$2:$F$204,Kit_BOM!$E$2:$E$204,$A47,Kit_BOM!$A$2:$A$204,$A$6,Kit_BOM!$G$2:$G$204,"Optional")*$C$6,0)+IF($F$6="Ja",SUMIFS(Kit_BOM!$F$2:$F$204,Kit_BOM!$E$2:$E$204,$A47,Kit_BOM!$A$2:$A$204,$A$6,Kit_BOM!$G$2:$G$204,"DNP")*$C$6,0)+SUMIFS(Kit_BOM!$F$2:$F$204,Kit_BOM!$E$2:$E$204,$A47,Kit_BOM!$A$2:$A$204,$A$7,Kit_BOM!$G$2:$G$204,"Bestücken")*$C$7+SUMIFS(Kit_BOM!$F$2:$F$204,Kit_BOM!$E$2:$E$204,$A47,Kit_BOM!$A$2:$A$204,$A$7,Kit_BOM!$G$2:$G$204,"Mechanical")*$C$7+IF($F$5="Ja",SUMIFS(Kit_BOM!$F$2:$F$204,Kit_BOM!$E$2:$E$204,$A47,Kit_BOM!$A$2:$A$204,$A$7,Kit_BOM!$G$2:$G$204,"Optional")*$C$7,0)+IF($F$6="Ja",SUMIFS(Kit_BOM!$F$2:$F$204,Kit_BOM!$E$2:$E$204,$A47,Kit_BOM!$A$2:$A$204,$A$7,Kit_BOM!$G$2:$G$204,"DNP")*$C$7,0)+SUMIFS(Kit_BOM!$F$2:$F$204,Kit_BOM!$E$2:$E$204,$A47,Kit_BOM!$A$2:$A$204,$A$8,Kit_BOM!$G$2:$G$204,"Bestücken")*$C$8+SUMIFS(Kit_BOM!$F$2:$F$204,Kit_BOM!$E$2:$E$204,$A47,Kit_BOM!$A$2:$A$204,$A$8,Kit_BOM!$G$2:$G$204,"Mechanical")*$C$8+IF($F$5="Ja",SUMIFS(Kit_BOM!$F$2:$F$204,Kit_BOM!$E$2:$E$204,$A47,Kit_BOM!$A$2:$A$204,$A$8,Kit_BOM!$G$2:$G$204,"Optional")*$C$8,0)+IF($F$6="Ja",SUMIFS(Kit_BOM!$F$2:$F$204,Kit_BOM!$E$2:$E$204,$A47,Kit_BOM!$A$2:$A$204,$A$8,Kit_BOM!$G$2:$G$204,"DNP")*$C$8,0)</f>
        <v>0</v>
      </c>
      <c r="F47" s="31" t="str">
        <f>IFERROR(IF(INDEX(Part_Suppliers!$G$2:$G$300,MATCH($A47&amp;"|"&amp;$C47,Part_Suppliers!$K$2:$K$300,0))=0,"",INDEX(Part_Suppliers!$G$2:$G$300,MATCH($A47&amp;"|"&amp;$C47,Part_Suppliers!$K$2:$K$300,0))),"")</f>
        <v/>
      </c>
      <c r="G47" s="31">
        <f t="shared" si="5"/>
        <v>0</v>
      </c>
      <c r="H47" s="49">
        <f>SUMIFS(Part_Suppliers!$E$2:$E$300,Part_Suppliers!$A$2:$A$300,$A47,Part_Suppliers!$B$2:$B$300,$C47)</f>
        <v>0.14000000000000001</v>
      </c>
      <c r="I47" s="49">
        <f t="shared" si="6"/>
        <v>0</v>
      </c>
      <c r="J47" t="str">
        <f t="shared" si="7"/>
        <v>Nicht benötigt</v>
      </c>
      <c r="K47" s="29" t="str">
        <f>IFERROR(IF(INDEX(Part_Suppliers!$D$2:$D$300,MATCH($A47&amp;"|"&amp;$C47,Part_Suppliers!$K$2:$K$300,0))=0,"",INDEX(Part_Suppliers!$D$2:$D$300,MATCH($A47&amp;"|"&amp;$C47,Part_Suppliers!$K$2:$K$300,0))),"")</f>
        <v>https://www.reichelt.de/de/de/shop/produkt/smd-widerstand_1206_1_5_kohm_250_mw_1_-238108</v>
      </c>
      <c r="L47" s="31">
        <f>IFERROR(VLOOKUP($A47,Stock!$A$5:$K$200,10,FALSE()),0)</f>
        <v>0</v>
      </c>
      <c r="M47" s="31">
        <f>IFERROR(VLOOKUP($A47,Stock!$A$5:$K$200,11,FALSE()),0)</f>
        <v>0</v>
      </c>
      <c r="N47" s="31">
        <f t="shared" si="8"/>
        <v>0</v>
      </c>
      <c r="O47" s="31">
        <f t="shared" si="9"/>
        <v>0</v>
      </c>
      <c r="P47" s="50">
        <v>0</v>
      </c>
    </row>
    <row r="48" spans="1:16" ht="14" customHeight="1" x14ac:dyDescent="0.2">
      <c r="A48" s="29" t="s">
        <v>481</v>
      </c>
      <c r="B48" s="48" t="str">
        <f>IFERROR(VLOOKUP($A48,Parts!$A$2:$M$200,3,FALSE()),"")</f>
        <v>DuoRelay FullSize PCB Rev 0.2</v>
      </c>
      <c r="C48" s="29" t="str">
        <f>IFERROR(VLOOKUP($A48,Stock!$A$5:$I$200,8,FALSE()),"")</f>
        <v>JLCPCB</v>
      </c>
      <c r="D48" s="29" t="str">
        <f>IFERROR(VLOOKUP($A48,Stock!$A$5:$I$200,9,FALSE()),"")</f>
        <v/>
      </c>
      <c r="E48" s="31">
        <f>SUMIFS(Kit_BOM!$F$2:$F$204,Kit_BOM!$E$2:$E$204,$A48,Kit_BOM!$A$2:$A$204,$A$5,Kit_BOM!$G$2:$G$204,"Bestücken")*$C$5+SUMIFS(Kit_BOM!$F$2:$F$204,Kit_BOM!$E$2:$E$204,$A48,Kit_BOM!$A$2:$A$204,$A$5,Kit_BOM!$G$2:$G$204,"Mechanical")*$C$5+IF($F$5="Ja",SUMIFS(Kit_BOM!$F$2:$F$204,Kit_BOM!$E$2:$E$204,$A48,Kit_BOM!$A$2:$A$204,$A$5,Kit_BOM!$G$2:$G$204,"Optional")*$C$5,0)+IF($F$6="Ja",SUMIFS(Kit_BOM!$F$2:$F$204,Kit_BOM!$E$2:$E$204,$A48,Kit_BOM!$A$2:$A$204,$A$5,Kit_BOM!$G$2:$G$204,"DNP")*$C$5,0)+SUMIFS(Kit_BOM!$F$2:$F$204,Kit_BOM!$E$2:$E$204,$A48,Kit_BOM!$A$2:$A$204,$A$6,Kit_BOM!$G$2:$G$204,"Bestücken")*$C$6+SUMIFS(Kit_BOM!$F$2:$F$204,Kit_BOM!$E$2:$E$204,$A48,Kit_BOM!$A$2:$A$204,$A$6,Kit_BOM!$G$2:$G$204,"Mechanical")*$C$6+IF($F$5="Ja",SUMIFS(Kit_BOM!$F$2:$F$204,Kit_BOM!$E$2:$E$204,$A48,Kit_BOM!$A$2:$A$204,$A$6,Kit_BOM!$G$2:$G$204,"Optional")*$C$6,0)+IF($F$6="Ja",SUMIFS(Kit_BOM!$F$2:$F$204,Kit_BOM!$E$2:$E$204,$A48,Kit_BOM!$A$2:$A$204,$A$6,Kit_BOM!$G$2:$G$204,"DNP")*$C$6,0)+SUMIFS(Kit_BOM!$F$2:$F$204,Kit_BOM!$E$2:$E$204,$A48,Kit_BOM!$A$2:$A$204,$A$7,Kit_BOM!$G$2:$G$204,"Bestücken")*$C$7+SUMIFS(Kit_BOM!$F$2:$F$204,Kit_BOM!$E$2:$E$204,$A48,Kit_BOM!$A$2:$A$204,$A$7,Kit_BOM!$G$2:$G$204,"Mechanical")*$C$7+IF($F$5="Ja",SUMIFS(Kit_BOM!$F$2:$F$204,Kit_BOM!$E$2:$E$204,$A48,Kit_BOM!$A$2:$A$204,$A$7,Kit_BOM!$G$2:$G$204,"Optional")*$C$7,0)+IF($F$6="Ja",SUMIFS(Kit_BOM!$F$2:$F$204,Kit_BOM!$E$2:$E$204,$A48,Kit_BOM!$A$2:$A$204,$A$7,Kit_BOM!$G$2:$G$204,"DNP")*$C$7,0)+SUMIFS(Kit_BOM!$F$2:$F$204,Kit_BOM!$E$2:$E$204,$A48,Kit_BOM!$A$2:$A$204,$A$8,Kit_BOM!$G$2:$G$204,"Bestücken")*$C$8+SUMIFS(Kit_BOM!$F$2:$F$204,Kit_BOM!$E$2:$E$204,$A48,Kit_BOM!$A$2:$A$204,$A$8,Kit_BOM!$G$2:$G$204,"Mechanical")*$C$8+IF($F$5="Ja",SUMIFS(Kit_BOM!$F$2:$F$204,Kit_BOM!$E$2:$E$204,$A48,Kit_BOM!$A$2:$A$204,$A$8,Kit_BOM!$G$2:$G$204,"Optional")*$C$8,0)+IF($F$6="Ja",SUMIFS(Kit_BOM!$F$2:$F$204,Kit_BOM!$E$2:$E$204,$A48,Kit_BOM!$A$2:$A$204,$A$8,Kit_BOM!$G$2:$G$204,"DNP")*$C$8,0)</f>
        <v>0</v>
      </c>
      <c r="F48" s="31">
        <f>IFERROR(IF(INDEX(Part_Suppliers!$G$2:$G$300,MATCH($A48&amp;"|"&amp;$C48,Part_Suppliers!$K$2:$K$300,0))=0,"",INDEX(Part_Suppliers!$G$2:$G$300,MATCH($A48&amp;"|"&amp;$C48,Part_Suppliers!$K$2:$K$300,0))),"")</f>
        <v>5</v>
      </c>
      <c r="G48" s="31">
        <f t="shared" si="5"/>
        <v>0</v>
      </c>
      <c r="H48" s="49">
        <f>SUMIFS(Part_Suppliers!$E$2:$E$300,Part_Suppliers!$A$2:$A$300,$A48,Part_Suppliers!$B$2:$B$300,$C48)</f>
        <v>0</v>
      </c>
      <c r="I48" s="49">
        <f t="shared" si="6"/>
        <v>0</v>
      </c>
      <c r="J48" t="str">
        <f t="shared" si="7"/>
        <v>Nicht benötigt</v>
      </c>
      <c r="K48" s="29" t="str">
        <f>IFERROR(IF(INDEX(Part_Suppliers!$D$2:$D$300,MATCH($A48&amp;"|"&amp;$C48,Part_Suppliers!$K$2:$K$300,0))=0,"",INDEX(Part_Suppliers!$D$2:$D$300,MATCH($A48&amp;"|"&amp;$C48,Part_Suppliers!$K$2:$K$300,0))),"")</f>
        <v/>
      </c>
      <c r="L48" s="31">
        <f>IFERROR(VLOOKUP($A48,Stock!$A$5:$K$200,10,FALSE()),0)</f>
        <v>0</v>
      </c>
      <c r="M48" s="31">
        <f>IFERROR(VLOOKUP($A48,Stock!$A$5:$K$200,11,FALSE()),0)</f>
        <v>0</v>
      </c>
      <c r="N48" s="31">
        <f t="shared" si="8"/>
        <v>0</v>
      </c>
      <c r="O48" s="31">
        <f t="shared" si="9"/>
        <v>0</v>
      </c>
      <c r="P48" s="50">
        <v>0</v>
      </c>
    </row>
    <row r="49" spans="1:16" ht="14" customHeight="1" x14ac:dyDescent="0.2">
      <c r="A49" s="29" t="s">
        <v>485</v>
      </c>
      <c r="B49" s="48" t="str">
        <f>IFERROR(VLOOKUP($A49,Parts!$A$2:$M$200,3,FALSE()),"")</f>
        <v>Keramikkondensator 4,7 µF SMD</v>
      </c>
      <c r="C49" s="29" t="str">
        <f>IFERROR(VLOOKUP($A49,Stock!$A$5:$I$200,8,FALSE()),"")</f>
        <v>Reichelt</v>
      </c>
      <c r="D49" s="29" t="str">
        <f>IFERROR(VLOOKUP($A49,Stock!$A$5:$I$200,9,FALSE()),"")</f>
        <v>CL31B475KAHNNNE</v>
      </c>
      <c r="E49" s="31">
        <f>SUMIFS(Kit_BOM!$F$2:$F$204,Kit_BOM!$E$2:$E$204,$A49,Kit_BOM!$A$2:$A$204,$A$5,Kit_BOM!$G$2:$G$204,"Bestücken")*$C$5+SUMIFS(Kit_BOM!$F$2:$F$204,Kit_BOM!$E$2:$E$204,$A49,Kit_BOM!$A$2:$A$204,$A$5,Kit_BOM!$G$2:$G$204,"Mechanical")*$C$5+IF($F$5="Ja",SUMIFS(Kit_BOM!$F$2:$F$204,Kit_BOM!$E$2:$E$204,$A49,Kit_BOM!$A$2:$A$204,$A$5,Kit_BOM!$G$2:$G$204,"Optional")*$C$5,0)+IF($F$6="Ja",SUMIFS(Kit_BOM!$F$2:$F$204,Kit_BOM!$E$2:$E$204,$A49,Kit_BOM!$A$2:$A$204,$A$5,Kit_BOM!$G$2:$G$204,"DNP")*$C$5,0)+SUMIFS(Kit_BOM!$F$2:$F$204,Kit_BOM!$E$2:$E$204,$A49,Kit_BOM!$A$2:$A$204,$A$6,Kit_BOM!$G$2:$G$204,"Bestücken")*$C$6+SUMIFS(Kit_BOM!$F$2:$F$204,Kit_BOM!$E$2:$E$204,$A49,Kit_BOM!$A$2:$A$204,$A$6,Kit_BOM!$G$2:$G$204,"Mechanical")*$C$6+IF($F$5="Ja",SUMIFS(Kit_BOM!$F$2:$F$204,Kit_BOM!$E$2:$E$204,$A49,Kit_BOM!$A$2:$A$204,$A$6,Kit_BOM!$G$2:$G$204,"Optional")*$C$6,0)+IF($F$6="Ja",SUMIFS(Kit_BOM!$F$2:$F$204,Kit_BOM!$E$2:$E$204,$A49,Kit_BOM!$A$2:$A$204,$A$6,Kit_BOM!$G$2:$G$204,"DNP")*$C$6,0)+SUMIFS(Kit_BOM!$F$2:$F$204,Kit_BOM!$E$2:$E$204,$A49,Kit_BOM!$A$2:$A$204,$A$7,Kit_BOM!$G$2:$G$204,"Bestücken")*$C$7+SUMIFS(Kit_BOM!$F$2:$F$204,Kit_BOM!$E$2:$E$204,$A49,Kit_BOM!$A$2:$A$204,$A$7,Kit_BOM!$G$2:$G$204,"Mechanical")*$C$7+IF($F$5="Ja",SUMIFS(Kit_BOM!$F$2:$F$204,Kit_BOM!$E$2:$E$204,$A49,Kit_BOM!$A$2:$A$204,$A$7,Kit_BOM!$G$2:$G$204,"Optional")*$C$7,0)+IF($F$6="Ja",SUMIFS(Kit_BOM!$F$2:$F$204,Kit_BOM!$E$2:$E$204,$A49,Kit_BOM!$A$2:$A$204,$A$7,Kit_BOM!$G$2:$G$204,"DNP")*$C$7,0)+SUMIFS(Kit_BOM!$F$2:$F$204,Kit_BOM!$E$2:$E$204,$A49,Kit_BOM!$A$2:$A$204,$A$8,Kit_BOM!$G$2:$G$204,"Bestücken")*$C$8+SUMIFS(Kit_BOM!$F$2:$F$204,Kit_BOM!$E$2:$E$204,$A49,Kit_BOM!$A$2:$A$204,$A$8,Kit_BOM!$G$2:$G$204,"Mechanical")*$C$8+IF($F$5="Ja",SUMIFS(Kit_BOM!$F$2:$F$204,Kit_BOM!$E$2:$E$204,$A49,Kit_BOM!$A$2:$A$204,$A$8,Kit_BOM!$G$2:$G$204,"Optional")*$C$8,0)+IF($F$6="Ja",SUMIFS(Kit_BOM!$F$2:$F$204,Kit_BOM!$E$2:$E$204,$A49,Kit_BOM!$A$2:$A$204,$A$8,Kit_BOM!$G$2:$G$204,"DNP")*$C$8,0)</f>
        <v>0</v>
      </c>
      <c r="F49" s="31" t="str">
        <f>IFERROR(IF(INDEX(Part_Suppliers!$G$2:$G$300,MATCH($A49&amp;"|"&amp;$C49,Part_Suppliers!$K$2:$K$300,0))=0,"",INDEX(Part_Suppliers!$G$2:$G$300,MATCH($A49&amp;"|"&amp;$C49,Part_Suppliers!$K$2:$K$300,0))),"")</f>
        <v/>
      </c>
      <c r="G49" s="31">
        <f t="shared" si="5"/>
        <v>0</v>
      </c>
      <c r="H49" s="49">
        <f>SUMIFS(Part_Suppliers!$E$2:$E$300,Part_Suppliers!$A$2:$A$300,$A49,Part_Suppliers!$B$2:$B$300,$C49)</f>
        <v>0.14000000000000001</v>
      </c>
      <c r="I49" s="49">
        <f t="shared" si="6"/>
        <v>0</v>
      </c>
      <c r="J49" t="str">
        <f t="shared" si="7"/>
        <v>Nicht benötigt</v>
      </c>
      <c r="K49" s="29" t="str">
        <f>IFERROR(IF(INDEX(Part_Suppliers!$D$2:$D$300,MATCH($A49&amp;"|"&amp;$C49,Part_Suppliers!$K$2:$K$300,0))=0,"",INDEX(Part_Suppliers!$D$2:$D$300,MATCH($A49&amp;"|"&amp;$C49,Part_Suppliers!$K$2:$K$300,0))),"")</f>
        <v>https://www.reichelt.de/de/de/shop/produkt/mlcc_1206_4_7uf_25v_x7r_-10_h1_6_mm-429143</v>
      </c>
      <c r="L49" s="31">
        <f>IFERROR(VLOOKUP($A49,Stock!$A$5:$K$200,10,FALSE()),0)</f>
        <v>0</v>
      </c>
      <c r="M49" s="31">
        <f>IFERROR(VLOOKUP($A49,Stock!$A$5:$K$200,11,FALSE()),0)</f>
        <v>0</v>
      </c>
      <c r="N49" s="31">
        <f t="shared" si="8"/>
        <v>0</v>
      </c>
      <c r="O49" s="31">
        <f t="shared" si="9"/>
        <v>0</v>
      </c>
      <c r="P49" s="50">
        <v>0</v>
      </c>
    </row>
    <row r="50" spans="1:16" ht="14" customHeight="1" x14ac:dyDescent="0.2">
      <c r="A50" s="29" t="s">
        <v>493</v>
      </c>
      <c r="B50" s="48" t="str">
        <f>IFERROR(VLOOKUP($A50,Parts!$A$2:$M$200,3,FALSE()),"")</f>
        <v>Keramikkondensator 4,7 µF SMD</v>
      </c>
      <c r="C50" s="29" t="str">
        <f>IFERROR(VLOOKUP($A50,Stock!$A$5:$I$200,8,FALSE()),"")</f>
        <v>Reichelt</v>
      </c>
      <c r="D50" s="29" t="str">
        <f>IFERROR(VLOOKUP($A50,Stock!$A$5:$I$200,9,FALSE()),"")</f>
        <v>CL32B475KBJVPNE</v>
      </c>
      <c r="E50" s="31">
        <f>SUMIFS(Kit_BOM!$F$2:$F$204,Kit_BOM!$E$2:$E$204,$A50,Kit_BOM!$A$2:$A$204,$A$5,Kit_BOM!$G$2:$G$204,"Bestücken")*$C$5+SUMIFS(Kit_BOM!$F$2:$F$204,Kit_BOM!$E$2:$E$204,$A50,Kit_BOM!$A$2:$A$204,$A$5,Kit_BOM!$G$2:$G$204,"Mechanical")*$C$5+IF($F$5="Ja",SUMIFS(Kit_BOM!$F$2:$F$204,Kit_BOM!$E$2:$E$204,$A50,Kit_BOM!$A$2:$A$204,$A$5,Kit_BOM!$G$2:$G$204,"Optional")*$C$5,0)+IF($F$6="Ja",SUMIFS(Kit_BOM!$F$2:$F$204,Kit_BOM!$E$2:$E$204,$A50,Kit_BOM!$A$2:$A$204,$A$5,Kit_BOM!$G$2:$G$204,"DNP")*$C$5,0)+SUMIFS(Kit_BOM!$F$2:$F$204,Kit_BOM!$E$2:$E$204,$A50,Kit_BOM!$A$2:$A$204,$A$6,Kit_BOM!$G$2:$G$204,"Bestücken")*$C$6+SUMIFS(Kit_BOM!$F$2:$F$204,Kit_BOM!$E$2:$E$204,$A50,Kit_BOM!$A$2:$A$204,$A$6,Kit_BOM!$G$2:$G$204,"Mechanical")*$C$6+IF($F$5="Ja",SUMIFS(Kit_BOM!$F$2:$F$204,Kit_BOM!$E$2:$E$204,$A50,Kit_BOM!$A$2:$A$204,$A$6,Kit_BOM!$G$2:$G$204,"Optional")*$C$6,0)+IF($F$6="Ja",SUMIFS(Kit_BOM!$F$2:$F$204,Kit_BOM!$E$2:$E$204,$A50,Kit_BOM!$A$2:$A$204,$A$6,Kit_BOM!$G$2:$G$204,"DNP")*$C$6,0)+SUMIFS(Kit_BOM!$F$2:$F$204,Kit_BOM!$E$2:$E$204,$A50,Kit_BOM!$A$2:$A$204,$A$7,Kit_BOM!$G$2:$G$204,"Bestücken")*$C$7+SUMIFS(Kit_BOM!$F$2:$F$204,Kit_BOM!$E$2:$E$204,$A50,Kit_BOM!$A$2:$A$204,$A$7,Kit_BOM!$G$2:$G$204,"Mechanical")*$C$7+IF($F$5="Ja",SUMIFS(Kit_BOM!$F$2:$F$204,Kit_BOM!$E$2:$E$204,$A50,Kit_BOM!$A$2:$A$204,$A$7,Kit_BOM!$G$2:$G$204,"Optional")*$C$7,0)+IF($F$6="Ja",SUMIFS(Kit_BOM!$F$2:$F$204,Kit_BOM!$E$2:$E$204,$A50,Kit_BOM!$A$2:$A$204,$A$7,Kit_BOM!$G$2:$G$204,"DNP")*$C$7,0)+SUMIFS(Kit_BOM!$F$2:$F$204,Kit_BOM!$E$2:$E$204,$A50,Kit_BOM!$A$2:$A$204,$A$8,Kit_BOM!$G$2:$G$204,"Bestücken")*$C$8+SUMIFS(Kit_BOM!$F$2:$F$204,Kit_BOM!$E$2:$E$204,$A50,Kit_BOM!$A$2:$A$204,$A$8,Kit_BOM!$G$2:$G$204,"Mechanical")*$C$8+IF($F$5="Ja",SUMIFS(Kit_BOM!$F$2:$F$204,Kit_BOM!$E$2:$E$204,$A50,Kit_BOM!$A$2:$A$204,$A$8,Kit_BOM!$G$2:$G$204,"Optional")*$C$8,0)+IF($F$6="Ja",SUMIFS(Kit_BOM!$F$2:$F$204,Kit_BOM!$E$2:$E$204,$A50,Kit_BOM!$A$2:$A$204,$A$8,Kit_BOM!$G$2:$G$204,"DNP")*$C$8,0)</f>
        <v>0</v>
      </c>
      <c r="F50" s="31" t="str">
        <f>IFERROR(IF(INDEX(Part_Suppliers!$G$2:$G$300,MATCH($A50&amp;"|"&amp;$C50,Part_Suppliers!$K$2:$K$300,0))=0,"",INDEX(Part_Suppliers!$G$2:$G$300,MATCH($A50&amp;"|"&amp;$C50,Part_Suppliers!$K$2:$K$300,0))),"")</f>
        <v/>
      </c>
      <c r="G50" s="31">
        <f t="shared" si="5"/>
        <v>0</v>
      </c>
      <c r="H50" s="49">
        <f>SUMIFS(Part_Suppliers!$E$2:$E$300,Part_Suppliers!$A$2:$A$300,$A50,Part_Suppliers!$B$2:$B$300,$C50)</f>
        <v>1.19</v>
      </c>
      <c r="I50" s="49">
        <f t="shared" si="6"/>
        <v>0</v>
      </c>
      <c r="J50" t="str">
        <f t="shared" si="7"/>
        <v>Nicht benötigt</v>
      </c>
      <c r="K50" s="29" t="str">
        <f>IFERROR(IF(INDEX(Part_Suppliers!$D$2:$D$300,MATCH($A50&amp;"|"&amp;$C50,Part_Suppliers!$K$2:$K$300,0))=0,"",INDEX(Part_Suppliers!$D$2:$D$300,MATCH($A50&amp;"|"&amp;$C50,Part_Suppliers!$K$2:$K$300,0))),"")</f>
        <v>https://www.reichelt.de/de/de/shop/produkt/mlcc_1210_4_7_f_50v_x7r_-10_-438066</v>
      </c>
      <c r="L50" s="31">
        <f>IFERROR(VLOOKUP($A50,Stock!$A$5:$K$200,10,FALSE()),0)</f>
        <v>0</v>
      </c>
      <c r="M50" s="31">
        <f>IFERROR(VLOOKUP($A50,Stock!$A$5:$K$200,11,FALSE()),0)</f>
        <v>0</v>
      </c>
      <c r="N50" s="31">
        <f t="shared" si="8"/>
        <v>0</v>
      </c>
      <c r="O50" s="31">
        <f t="shared" si="9"/>
        <v>0</v>
      </c>
      <c r="P50" s="50">
        <v>0</v>
      </c>
    </row>
    <row r="51" spans="1:16" ht="14" customHeight="1" x14ac:dyDescent="0.2">
      <c r="A51" s="29" t="s">
        <v>500</v>
      </c>
      <c r="B51" s="48" t="str">
        <f>IFERROR(VLOOKUP($A51,Parts!$A$2:$M$200,3,FALSE()),"")</f>
        <v>Schottky-Diode SMD</v>
      </c>
      <c r="C51" s="29" t="str">
        <f>IFERROR(VLOOKUP($A51,Stock!$A$5:$I$200,8,FALSE()),"")</f>
        <v>Noch festlegen</v>
      </c>
      <c r="D51" s="29" t="str">
        <f>IFERROR(VLOOKUP($A51,Stock!$A$5:$I$200,9,FALSE()),"")</f>
        <v/>
      </c>
      <c r="E51" s="31">
        <f>SUMIFS(Kit_BOM!$F$2:$F$204,Kit_BOM!$E$2:$E$204,$A51,Kit_BOM!$A$2:$A$204,$A$5,Kit_BOM!$G$2:$G$204,"Bestücken")*$C$5+SUMIFS(Kit_BOM!$F$2:$F$204,Kit_BOM!$E$2:$E$204,$A51,Kit_BOM!$A$2:$A$204,$A$5,Kit_BOM!$G$2:$G$204,"Mechanical")*$C$5+IF($F$5="Ja",SUMIFS(Kit_BOM!$F$2:$F$204,Kit_BOM!$E$2:$E$204,$A51,Kit_BOM!$A$2:$A$204,$A$5,Kit_BOM!$G$2:$G$204,"Optional")*$C$5,0)+IF($F$6="Ja",SUMIFS(Kit_BOM!$F$2:$F$204,Kit_BOM!$E$2:$E$204,$A51,Kit_BOM!$A$2:$A$204,$A$5,Kit_BOM!$G$2:$G$204,"DNP")*$C$5,0)+SUMIFS(Kit_BOM!$F$2:$F$204,Kit_BOM!$E$2:$E$204,$A51,Kit_BOM!$A$2:$A$204,$A$6,Kit_BOM!$G$2:$G$204,"Bestücken")*$C$6+SUMIFS(Kit_BOM!$F$2:$F$204,Kit_BOM!$E$2:$E$204,$A51,Kit_BOM!$A$2:$A$204,$A$6,Kit_BOM!$G$2:$G$204,"Mechanical")*$C$6+IF($F$5="Ja",SUMIFS(Kit_BOM!$F$2:$F$204,Kit_BOM!$E$2:$E$204,$A51,Kit_BOM!$A$2:$A$204,$A$6,Kit_BOM!$G$2:$G$204,"Optional")*$C$6,0)+IF($F$6="Ja",SUMIFS(Kit_BOM!$F$2:$F$204,Kit_BOM!$E$2:$E$204,$A51,Kit_BOM!$A$2:$A$204,$A$6,Kit_BOM!$G$2:$G$204,"DNP")*$C$6,0)+SUMIFS(Kit_BOM!$F$2:$F$204,Kit_BOM!$E$2:$E$204,$A51,Kit_BOM!$A$2:$A$204,$A$7,Kit_BOM!$G$2:$G$204,"Bestücken")*$C$7+SUMIFS(Kit_BOM!$F$2:$F$204,Kit_BOM!$E$2:$E$204,$A51,Kit_BOM!$A$2:$A$204,$A$7,Kit_BOM!$G$2:$G$204,"Mechanical")*$C$7+IF($F$5="Ja",SUMIFS(Kit_BOM!$F$2:$F$204,Kit_BOM!$E$2:$E$204,$A51,Kit_BOM!$A$2:$A$204,$A$7,Kit_BOM!$G$2:$G$204,"Optional")*$C$7,0)+IF($F$6="Ja",SUMIFS(Kit_BOM!$F$2:$F$204,Kit_BOM!$E$2:$E$204,$A51,Kit_BOM!$A$2:$A$204,$A$7,Kit_BOM!$G$2:$G$204,"DNP")*$C$7,0)+SUMIFS(Kit_BOM!$F$2:$F$204,Kit_BOM!$E$2:$E$204,$A51,Kit_BOM!$A$2:$A$204,$A$8,Kit_BOM!$G$2:$G$204,"Bestücken")*$C$8+SUMIFS(Kit_BOM!$F$2:$F$204,Kit_BOM!$E$2:$E$204,$A51,Kit_BOM!$A$2:$A$204,$A$8,Kit_BOM!$G$2:$G$204,"Mechanical")*$C$8+IF($F$5="Ja",SUMIFS(Kit_BOM!$F$2:$F$204,Kit_BOM!$E$2:$E$204,$A51,Kit_BOM!$A$2:$A$204,$A$8,Kit_BOM!$G$2:$G$204,"Optional")*$C$8,0)+IF($F$6="Ja",SUMIFS(Kit_BOM!$F$2:$F$204,Kit_BOM!$E$2:$E$204,$A51,Kit_BOM!$A$2:$A$204,$A$8,Kit_BOM!$G$2:$G$204,"DNP")*$C$8,0)</f>
        <v>0</v>
      </c>
      <c r="F51" s="31" t="str">
        <f>IFERROR(IF(INDEX(Part_Suppliers!$G$2:$G$300,MATCH($A51&amp;"|"&amp;$C51,Part_Suppliers!$K$2:$K$300,0))=0,"",INDEX(Part_Suppliers!$G$2:$G$300,MATCH($A51&amp;"|"&amp;$C51,Part_Suppliers!$K$2:$K$300,0))),"")</f>
        <v/>
      </c>
      <c r="G51" s="31">
        <f t="shared" si="5"/>
        <v>0</v>
      </c>
      <c r="H51" s="49">
        <f>SUMIFS(Part_Suppliers!$E$2:$E$300,Part_Suppliers!$A$2:$A$300,$A51,Part_Suppliers!$B$2:$B$300,$C51)</f>
        <v>0</v>
      </c>
      <c r="I51" s="49">
        <f t="shared" si="6"/>
        <v>0</v>
      </c>
      <c r="J51" t="str">
        <f t="shared" si="7"/>
        <v>Nicht benötigt</v>
      </c>
      <c r="K51" s="29" t="str">
        <f>IFERROR(IF(INDEX(Part_Suppliers!$D$2:$D$300,MATCH($A51&amp;"|"&amp;$C51,Part_Suppliers!$K$2:$K$300,0))=0,"",INDEX(Part_Suppliers!$D$2:$D$300,MATCH($A51&amp;"|"&amp;$C51,Part_Suppliers!$K$2:$K$300,0))),"")</f>
        <v/>
      </c>
      <c r="L51" s="31">
        <f>IFERROR(VLOOKUP($A51,Stock!$A$5:$K$200,10,FALSE()),0)</f>
        <v>0</v>
      </c>
      <c r="M51" s="31">
        <f>IFERROR(VLOOKUP($A51,Stock!$A$5:$K$200,11,FALSE()),0)</f>
        <v>0</v>
      </c>
      <c r="N51" s="31">
        <f t="shared" si="8"/>
        <v>0</v>
      </c>
      <c r="O51" s="31">
        <f t="shared" si="9"/>
        <v>0</v>
      </c>
      <c r="P51" s="50">
        <v>0</v>
      </c>
    </row>
    <row r="52" spans="1:16" ht="14" customHeight="1" x14ac:dyDescent="0.2">
      <c r="A52" t="s">
        <v>507</v>
      </c>
      <c r="B52" s="48" t="str">
        <f>IFERROR(VLOOKUP($A52,Parts!$A$2:$M$200,3,FALSE()),"")</f>
        <v>Leistungsinduktivität 0,68 µH</v>
      </c>
      <c r="C52" t="str">
        <f>IFERROR(VLOOKUP($A52,Stock!$A$5:$I$200,8,FALSE()),"")</f>
        <v>Mouser</v>
      </c>
      <c r="D52" t="str">
        <f>IFERROR(VLOOKUP($A52,Stock!$A$5:$I$200,9,FALSE()),"")</f>
        <v>710-744383560068</v>
      </c>
      <c r="E52" s="31">
        <f>SUMIFS(Kit_BOM!$F$2:$F$204,Kit_BOM!$E$2:$E$204,$A52,Kit_BOM!$A$2:$A$204,$A$5,Kit_BOM!$G$2:$G$204,"Bestücken")*$C$5+SUMIFS(Kit_BOM!$F$2:$F$204,Kit_BOM!$E$2:$E$204,$A52,Kit_BOM!$A$2:$A$204,$A$5,Kit_BOM!$G$2:$G$204,"Mechanical")*$C$5+IF($F$5="Ja",SUMIFS(Kit_BOM!$F$2:$F$204,Kit_BOM!$E$2:$E$204,$A52,Kit_BOM!$A$2:$A$204,$A$5,Kit_BOM!$G$2:$G$204,"Optional")*$C$5,0)+IF($F$6="Ja",SUMIFS(Kit_BOM!$F$2:$F$204,Kit_BOM!$E$2:$E$204,$A52,Kit_BOM!$A$2:$A$204,$A$5,Kit_BOM!$G$2:$G$204,"DNP")*$C$5,0)+SUMIFS(Kit_BOM!$F$2:$F$204,Kit_BOM!$E$2:$E$204,$A52,Kit_BOM!$A$2:$A$204,$A$6,Kit_BOM!$G$2:$G$204,"Bestücken")*$C$6+SUMIFS(Kit_BOM!$F$2:$F$204,Kit_BOM!$E$2:$E$204,$A52,Kit_BOM!$A$2:$A$204,$A$6,Kit_BOM!$G$2:$G$204,"Mechanical")*$C$6+IF($F$5="Ja",SUMIFS(Kit_BOM!$F$2:$F$204,Kit_BOM!$E$2:$E$204,$A52,Kit_BOM!$A$2:$A$204,$A$6,Kit_BOM!$G$2:$G$204,"Optional")*$C$6,0)+IF($F$6="Ja",SUMIFS(Kit_BOM!$F$2:$F$204,Kit_BOM!$E$2:$E$204,$A52,Kit_BOM!$A$2:$A$204,$A$6,Kit_BOM!$G$2:$G$204,"DNP")*$C$6,0)+SUMIFS(Kit_BOM!$F$2:$F$204,Kit_BOM!$E$2:$E$204,$A52,Kit_BOM!$A$2:$A$204,$A$7,Kit_BOM!$G$2:$G$204,"Bestücken")*$C$7+SUMIFS(Kit_BOM!$F$2:$F$204,Kit_BOM!$E$2:$E$204,$A52,Kit_BOM!$A$2:$A$204,$A$7,Kit_BOM!$G$2:$G$204,"Mechanical")*$C$7+IF($F$5="Ja",SUMIFS(Kit_BOM!$F$2:$F$204,Kit_BOM!$E$2:$E$204,$A52,Kit_BOM!$A$2:$A$204,$A$7,Kit_BOM!$G$2:$G$204,"Optional")*$C$7,0)+IF($F$6="Ja",SUMIFS(Kit_BOM!$F$2:$F$204,Kit_BOM!$E$2:$E$204,$A52,Kit_BOM!$A$2:$A$204,$A$7,Kit_BOM!$G$2:$G$204,"DNP")*$C$7,0)+SUMIFS(Kit_BOM!$F$2:$F$204,Kit_BOM!$E$2:$E$204,$A52,Kit_BOM!$A$2:$A$204,$A$8,Kit_BOM!$G$2:$G$204,"Bestücken")*$C$8+SUMIFS(Kit_BOM!$F$2:$F$204,Kit_BOM!$E$2:$E$204,$A52,Kit_BOM!$A$2:$A$204,$A$8,Kit_BOM!$G$2:$G$204,"Mechanical")*$C$8+IF($F$5="Ja",SUMIFS(Kit_BOM!$F$2:$F$204,Kit_BOM!$E$2:$E$204,$A52,Kit_BOM!$A$2:$A$204,$A$8,Kit_BOM!$G$2:$G$204,"Optional")*$C$8,0)+IF($F$6="Ja",SUMIFS(Kit_BOM!$F$2:$F$204,Kit_BOM!$E$2:$E$204,$A52,Kit_BOM!$A$2:$A$204,$A$8,Kit_BOM!$G$2:$G$204,"DNP")*$C$8,0)</f>
        <v>0</v>
      </c>
      <c r="F52" s="31" t="str">
        <f>IFERROR(IF(INDEX(Part_Suppliers!$G$2:$G$300,MATCH($A52&amp;"|"&amp;$C52,Part_Suppliers!$K$2:$K$300,0))=0,"",INDEX(Part_Suppliers!$G$2:$G$300,MATCH($A52&amp;"|"&amp;$C52,Part_Suppliers!$K$2:$K$300,0))),"")</f>
        <v/>
      </c>
      <c r="G52" s="31">
        <f t="shared" si="5"/>
        <v>0</v>
      </c>
      <c r="H52" s="49">
        <f>SUMIFS(Part_Suppliers!$E$2:$E$300,Part_Suppliers!$A$2:$A$300,$A52,Part_Suppliers!$B$2:$B$300,$C52)</f>
        <v>1.66</v>
      </c>
      <c r="I52" s="49">
        <f t="shared" si="6"/>
        <v>0</v>
      </c>
      <c r="J52" t="str">
        <f t="shared" si="7"/>
        <v>Nicht benötigt</v>
      </c>
      <c r="K52" t="str">
        <f>IFERROR(IF(INDEX(Part_Suppliers!$D$2:$D$300,MATCH($A52&amp;"|"&amp;$C52,Part_Suppliers!$K$2:$K$300,0))=0,"",INDEX(Part_Suppliers!$D$2:$D$300,MATCH($A52&amp;"|"&amp;$C52,Part_Suppliers!$K$2:$K$300,0))),"")</f>
        <v>https://eu.mouser.com/en/ProductDetail/Wurth-Elektronik/744383560068</v>
      </c>
      <c r="L52" s="31">
        <f>IFERROR(VLOOKUP($A52,Stock!$A$5:$K$200,10,FALSE()),0)</f>
        <v>0</v>
      </c>
      <c r="M52" s="31">
        <f>IFERROR(VLOOKUP($A52,Stock!$A$5:$K$200,11,FALSE()),0)</f>
        <v>0</v>
      </c>
      <c r="N52" s="31">
        <f t="shared" si="8"/>
        <v>0</v>
      </c>
      <c r="O52" s="31">
        <f t="shared" si="9"/>
        <v>0</v>
      </c>
      <c r="P52" s="50">
        <v>0</v>
      </c>
    </row>
    <row r="53" spans="1:16" ht="14" customHeight="1" x14ac:dyDescent="0.2">
      <c r="A53" t="s">
        <v>517</v>
      </c>
      <c r="B53" s="48" t="str">
        <f>IFERROR(VLOOKUP($A53,Parts!$A$2:$M$200,3,FALSE()),"")</f>
        <v>Widerstand 1 MΩ SMD</v>
      </c>
      <c r="C53" t="str">
        <f>IFERROR(VLOOKUP($A53,Stock!$A$5:$I$200,8,FALSE()),"")</f>
        <v>Reichelt</v>
      </c>
      <c r="D53" t="str">
        <f>IFERROR(VLOOKUP($A53,Stock!$A$5:$I$200,9,FALSE()),"")</f>
        <v>VIS CRCW12061M0</v>
      </c>
      <c r="E53" s="31">
        <f>SUMIFS(Kit_BOM!$F$2:$F$204,Kit_BOM!$E$2:$E$204,$A53,Kit_BOM!$A$2:$A$204,$A$5,Kit_BOM!$G$2:$G$204,"Bestücken")*$C$5+SUMIFS(Kit_BOM!$F$2:$F$204,Kit_BOM!$E$2:$E$204,$A53,Kit_BOM!$A$2:$A$204,$A$5,Kit_BOM!$G$2:$G$204,"Mechanical")*$C$5+IF($F$5="Ja",SUMIFS(Kit_BOM!$F$2:$F$204,Kit_BOM!$E$2:$E$204,$A53,Kit_BOM!$A$2:$A$204,$A$5,Kit_BOM!$G$2:$G$204,"Optional")*$C$5,0)+IF($F$6="Ja",SUMIFS(Kit_BOM!$F$2:$F$204,Kit_BOM!$E$2:$E$204,$A53,Kit_BOM!$A$2:$A$204,$A$5,Kit_BOM!$G$2:$G$204,"DNP")*$C$5,0)+SUMIFS(Kit_BOM!$F$2:$F$204,Kit_BOM!$E$2:$E$204,$A53,Kit_BOM!$A$2:$A$204,$A$6,Kit_BOM!$G$2:$G$204,"Bestücken")*$C$6+SUMIFS(Kit_BOM!$F$2:$F$204,Kit_BOM!$E$2:$E$204,$A53,Kit_BOM!$A$2:$A$204,$A$6,Kit_BOM!$G$2:$G$204,"Mechanical")*$C$6+IF($F$5="Ja",SUMIFS(Kit_BOM!$F$2:$F$204,Kit_BOM!$E$2:$E$204,$A53,Kit_BOM!$A$2:$A$204,$A$6,Kit_BOM!$G$2:$G$204,"Optional")*$C$6,0)+IF($F$6="Ja",SUMIFS(Kit_BOM!$F$2:$F$204,Kit_BOM!$E$2:$E$204,$A53,Kit_BOM!$A$2:$A$204,$A$6,Kit_BOM!$G$2:$G$204,"DNP")*$C$6,0)+SUMIFS(Kit_BOM!$F$2:$F$204,Kit_BOM!$E$2:$E$204,$A53,Kit_BOM!$A$2:$A$204,$A$7,Kit_BOM!$G$2:$G$204,"Bestücken")*$C$7+SUMIFS(Kit_BOM!$F$2:$F$204,Kit_BOM!$E$2:$E$204,$A53,Kit_BOM!$A$2:$A$204,$A$7,Kit_BOM!$G$2:$G$204,"Mechanical")*$C$7+IF($F$5="Ja",SUMIFS(Kit_BOM!$F$2:$F$204,Kit_BOM!$E$2:$E$204,$A53,Kit_BOM!$A$2:$A$204,$A$7,Kit_BOM!$G$2:$G$204,"Optional")*$C$7,0)+IF($F$6="Ja",SUMIFS(Kit_BOM!$F$2:$F$204,Kit_BOM!$E$2:$E$204,$A53,Kit_BOM!$A$2:$A$204,$A$7,Kit_BOM!$G$2:$G$204,"DNP")*$C$7,0)+SUMIFS(Kit_BOM!$F$2:$F$204,Kit_BOM!$E$2:$E$204,$A53,Kit_BOM!$A$2:$A$204,$A$8,Kit_BOM!$G$2:$G$204,"Bestücken")*$C$8+SUMIFS(Kit_BOM!$F$2:$F$204,Kit_BOM!$E$2:$E$204,$A53,Kit_BOM!$A$2:$A$204,$A$8,Kit_BOM!$G$2:$G$204,"Mechanical")*$C$8+IF($F$5="Ja",SUMIFS(Kit_BOM!$F$2:$F$204,Kit_BOM!$E$2:$E$204,$A53,Kit_BOM!$A$2:$A$204,$A$8,Kit_BOM!$G$2:$G$204,"Optional")*$C$8,0)+IF($F$6="Ja",SUMIFS(Kit_BOM!$F$2:$F$204,Kit_BOM!$E$2:$E$204,$A53,Kit_BOM!$A$2:$A$204,$A$8,Kit_BOM!$G$2:$G$204,"DNP")*$C$8,0)</f>
        <v>0</v>
      </c>
      <c r="F53" s="31" t="str">
        <f>IFERROR(IF(INDEX(Part_Suppliers!$G$2:$G$300,MATCH($A53&amp;"|"&amp;$C53,Part_Suppliers!$K$2:$K$300,0))=0,"",INDEX(Part_Suppliers!$G$2:$G$300,MATCH($A53&amp;"|"&amp;$C53,Part_Suppliers!$K$2:$K$300,0))),"")</f>
        <v/>
      </c>
      <c r="G53" s="31">
        <f t="shared" si="5"/>
        <v>0</v>
      </c>
      <c r="H53" s="49">
        <f>SUMIFS(Part_Suppliers!$E$2:$E$300,Part_Suppliers!$A$2:$A$300,$A53,Part_Suppliers!$B$2:$B$300,$C53)</f>
        <v>0.18</v>
      </c>
      <c r="I53" s="49">
        <f t="shared" si="6"/>
        <v>0</v>
      </c>
      <c r="J53" t="str">
        <f t="shared" si="7"/>
        <v>Nicht benötigt</v>
      </c>
      <c r="K53" t="str">
        <f>IFERROR(IF(INDEX(Part_Suppliers!$D$2:$D$300,MATCH($A53&amp;"|"&amp;$C53,Part_Suppliers!$K$2:$K$300,0))=0,"",INDEX(Part_Suppliers!$D$2:$D$300,MATCH($A53&amp;"|"&amp;$C53,Part_Suppliers!$K$2:$K$300,0))),"")</f>
        <v>https://www.reichelt.de/de/de/shop/produkt/smd-widerstand_1206_1_0_mohm_250_mw_1_-238109</v>
      </c>
      <c r="L53" s="31">
        <f>IFERROR(VLOOKUP($A53,Stock!$A$5:$K$200,10,FALSE()),0)</f>
        <v>0</v>
      </c>
      <c r="M53" s="31">
        <f>IFERROR(VLOOKUP($A53,Stock!$A$5:$K$200,11,FALSE()),0)</f>
        <v>0</v>
      </c>
      <c r="N53" s="31">
        <f t="shared" si="8"/>
        <v>0</v>
      </c>
      <c r="O53" s="31">
        <f t="shared" si="9"/>
        <v>0</v>
      </c>
      <c r="P53" s="50">
        <v>0</v>
      </c>
    </row>
    <row r="54" spans="1:16" ht="14" customHeight="1" x14ac:dyDescent="0.2">
      <c r="A54" t="s">
        <v>524</v>
      </c>
      <c r="B54" s="48" t="str">
        <f>IFERROR(VLOOKUP($A54,Parts!$A$2:$M$200,3,FALSE()),"")</f>
        <v>Widerstand 71,5 kΩ SMD</v>
      </c>
      <c r="C54" t="str">
        <f>IFERROR(VLOOKUP($A54,Stock!$A$5:$I$200,8,FALSE()),"")</f>
        <v>DigiKey</v>
      </c>
      <c r="D54" t="str">
        <f>IFERROR(VLOOKUP($A54,Stock!$A$5:$I$200,9,FALSE()),"")</f>
        <v/>
      </c>
      <c r="E54" s="31">
        <f>SUMIFS(Kit_BOM!$F$2:$F$204,Kit_BOM!$E$2:$E$204,$A54,Kit_BOM!$A$2:$A$204,$A$5,Kit_BOM!$G$2:$G$204,"Bestücken")*$C$5+SUMIFS(Kit_BOM!$F$2:$F$204,Kit_BOM!$E$2:$E$204,$A54,Kit_BOM!$A$2:$A$204,$A$5,Kit_BOM!$G$2:$G$204,"Mechanical")*$C$5+IF($F$5="Ja",SUMIFS(Kit_BOM!$F$2:$F$204,Kit_BOM!$E$2:$E$204,$A54,Kit_BOM!$A$2:$A$204,$A$5,Kit_BOM!$G$2:$G$204,"Optional")*$C$5,0)+IF($F$6="Ja",SUMIFS(Kit_BOM!$F$2:$F$204,Kit_BOM!$E$2:$E$204,$A54,Kit_BOM!$A$2:$A$204,$A$5,Kit_BOM!$G$2:$G$204,"DNP")*$C$5,0)+SUMIFS(Kit_BOM!$F$2:$F$204,Kit_BOM!$E$2:$E$204,$A54,Kit_BOM!$A$2:$A$204,$A$6,Kit_BOM!$G$2:$G$204,"Bestücken")*$C$6+SUMIFS(Kit_BOM!$F$2:$F$204,Kit_BOM!$E$2:$E$204,$A54,Kit_BOM!$A$2:$A$204,$A$6,Kit_BOM!$G$2:$G$204,"Mechanical")*$C$6+IF($F$5="Ja",SUMIFS(Kit_BOM!$F$2:$F$204,Kit_BOM!$E$2:$E$204,$A54,Kit_BOM!$A$2:$A$204,$A$6,Kit_BOM!$G$2:$G$204,"Optional")*$C$6,0)+IF($F$6="Ja",SUMIFS(Kit_BOM!$F$2:$F$204,Kit_BOM!$E$2:$E$204,$A54,Kit_BOM!$A$2:$A$204,$A$6,Kit_BOM!$G$2:$G$204,"DNP")*$C$6,0)+SUMIFS(Kit_BOM!$F$2:$F$204,Kit_BOM!$E$2:$E$204,$A54,Kit_BOM!$A$2:$A$204,$A$7,Kit_BOM!$G$2:$G$204,"Bestücken")*$C$7+SUMIFS(Kit_BOM!$F$2:$F$204,Kit_BOM!$E$2:$E$204,$A54,Kit_BOM!$A$2:$A$204,$A$7,Kit_BOM!$G$2:$G$204,"Mechanical")*$C$7+IF($F$5="Ja",SUMIFS(Kit_BOM!$F$2:$F$204,Kit_BOM!$E$2:$E$204,$A54,Kit_BOM!$A$2:$A$204,$A$7,Kit_BOM!$G$2:$G$204,"Optional")*$C$7,0)+IF($F$6="Ja",SUMIFS(Kit_BOM!$F$2:$F$204,Kit_BOM!$E$2:$E$204,$A54,Kit_BOM!$A$2:$A$204,$A$7,Kit_BOM!$G$2:$G$204,"DNP")*$C$7,0)+SUMIFS(Kit_BOM!$F$2:$F$204,Kit_BOM!$E$2:$E$204,$A54,Kit_BOM!$A$2:$A$204,$A$8,Kit_BOM!$G$2:$G$204,"Bestücken")*$C$8+SUMIFS(Kit_BOM!$F$2:$F$204,Kit_BOM!$E$2:$E$204,$A54,Kit_BOM!$A$2:$A$204,$A$8,Kit_BOM!$G$2:$G$204,"Mechanical")*$C$8+IF($F$5="Ja",SUMIFS(Kit_BOM!$F$2:$F$204,Kit_BOM!$E$2:$E$204,$A54,Kit_BOM!$A$2:$A$204,$A$8,Kit_BOM!$G$2:$G$204,"Optional")*$C$8,0)+IF($F$6="Ja",SUMIFS(Kit_BOM!$F$2:$F$204,Kit_BOM!$E$2:$E$204,$A54,Kit_BOM!$A$2:$A$204,$A$8,Kit_BOM!$G$2:$G$204,"DNP")*$C$8,0)</f>
        <v>0</v>
      </c>
      <c r="F54" s="31" t="str">
        <f>IFERROR(IF(INDEX(Part_Suppliers!$G$2:$G$300,MATCH($A54&amp;"|"&amp;$C54,Part_Suppliers!$K$2:$K$300,0))=0,"",INDEX(Part_Suppliers!$G$2:$G$300,MATCH($A54&amp;"|"&amp;$C54,Part_Suppliers!$K$2:$K$300,0))),"")</f>
        <v/>
      </c>
      <c r="G54" s="31">
        <f t="shared" si="5"/>
        <v>0</v>
      </c>
      <c r="H54" s="49">
        <f>SUMIFS(Part_Suppliers!$E$2:$E$300,Part_Suppliers!$A$2:$A$300,$A54,Part_Suppliers!$B$2:$B$300,$C54)</f>
        <v>0.09</v>
      </c>
      <c r="I54" s="49">
        <f t="shared" si="6"/>
        <v>0</v>
      </c>
      <c r="J54" t="str">
        <f t="shared" si="7"/>
        <v>Nicht benötigt</v>
      </c>
      <c r="K54" t="str">
        <f>IFERROR(IF(INDEX(Part_Suppliers!$D$2:$D$300,MATCH($A54&amp;"|"&amp;$C54,Part_Suppliers!$K$2:$K$300,0))=0,"",INDEX(Part_Suppliers!$D$2:$D$300,MATCH($A54&amp;"|"&amp;$C54,Part_Suppliers!$K$2:$K$300,0))),"")</f>
        <v>https://www.digikey.de/de/products/filter/chipwiderstand-oberfl%C3%A4chenmontage/71-5-kohms/52</v>
      </c>
      <c r="L54" s="31">
        <f>IFERROR(VLOOKUP($A54,Stock!$A$5:$K$200,10,FALSE()),0)</f>
        <v>0</v>
      </c>
      <c r="M54" s="31">
        <f>IFERROR(VLOOKUP($A54,Stock!$A$5:$K$200,11,FALSE()),0)</f>
        <v>0</v>
      </c>
      <c r="N54" s="31">
        <f t="shared" si="8"/>
        <v>0</v>
      </c>
      <c r="O54" s="31">
        <f t="shared" si="9"/>
        <v>0</v>
      </c>
      <c r="P54" s="50">
        <v>0</v>
      </c>
    </row>
    <row r="55" spans="1:16" ht="14" customHeight="1" x14ac:dyDescent="0.2">
      <c r="A55" t="s">
        <v>532</v>
      </c>
      <c r="B55" s="48" t="str">
        <f>IFERROR(VLOOKUP($A55,Parts!$A$2:$M$200,3,FALSE()),"")</f>
        <v>Widerstand 220 kΩ SMD</v>
      </c>
      <c r="C55" t="str">
        <f>IFERROR(VLOOKUP($A55,Stock!$A$5:$I$200,8,FALSE()),"")</f>
        <v>TME</v>
      </c>
      <c r="D55" t="str">
        <f>IFERROR(VLOOKUP($A55,Stock!$A$5:$I$200,9,FALSE()),"")</f>
        <v>WR12X2203FTL</v>
      </c>
      <c r="E55" s="31">
        <f>SUMIFS(Kit_BOM!$F$2:$F$204,Kit_BOM!$E$2:$E$204,$A55,Kit_BOM!$A$2:$A$204,$A$5,Kit_BOM!$G$2:$G$204,"Bestücken")*$C$5+SUMIFS(Kit_BOM!$F$2:$F$204,Kit_BOM!$E$2:$E$204,$A55,Kit_BOM!$A$2:$A$204,$A$5,Kit_BOM!$G$2:$G$204,"Mechanical")*$C$5+IF($F$5="Ja",SUMIFS(Kit_BOM!$F$2:$F$204,Kit_BOM!$E$2:$E$204,$A55,Kit_BOM!$A$2:$A$204,$A$5,Kit_BOM!$G$2:$G$204,"Optional")*$C$5,0)+IF($F$6="Ja",SUMIFS(Kit_BOM!$F$2:$F$204,Kit_BOM!$E$2:$E$204,$A55,Kit_BOM!$A$2:$A$204,$A$5,Kit_BOM!$G$2:$G$204,"DNP")*$C$5,0)+SUMIFS(Kit_BOM!$F$2:$F$204,Kit_BOM!$E$2:$E$204,$A55,Kit_BOM!$A$2:$A$204,$A$6,Kit_BOM!$G$2:$G$204,"Bestücken")*$C$6+SUMIFS(Kit_BOM!$F$2:$F$204,Kit_BOM!$E$2:$E$204,$A55,Kit_BOM!$A$2:$A$204,$A$6,Kit_BOM!$G$2:$G$204,"Mechanical")*$C$6+IF($F$5="Ja",SUMIFS(Kit_BOM!$F$2:$F$204,Kit_BOM!$E$2:$E$204,$A55,Kit_BOM!$A$2:$A$204,$A$6,Kit_BOM!$G$2:$G$204,"Optional")*$C$6,0)+IF($F$6="Ja",SUMIFS(Kit_BOM!$F$2:$F$204,Kit_BOM!$E$2:$E$204,$A55,Kit_BOM!$A$2:$A$204,$A$6,Kit_BOM!$G$2:$G$204,"DNP")*$C$6,0)+SUMIFS(Kit_BOM!$F$2:$F$204,Kit_BOM!$E$2:$E$204,$A55,Kit_BOM!$A$2:$A$204,$A$7,Kit_BOM!$G$2:$G$204,"Bestücken")*$C$7+SUMIFS(Kit_BOM!$F$2:$F$204,Kit_BOM!$E$2:$E$204,$A55,Kit_BOM!$A$2:$A$204,$A$7,Kit_BOM!$G$2:$G$204,"Mechanical")*$C$7+IF($F$5="Ja",SUMIFS(Kit_BOM!$F$2:$F$204,Kit_BOM!$E$2:$E$204,$A55,Kit_BOM!$A$2:$A$204,$A$7,Kit_BOM!$G$2:$G$204,"Optional")*$C$7,0)+IF($F$6="Ja",SUMIFS(Kit_BOM!$F$2:$F$204,Kit_BOM!$E$2:$E$204,$A55,Kit_BOM!$A$2:$A$204,$A$7,Kit_BOM!$G$2:$G$204,"DNP")*$C$7,0)+SUMIFS(Kit_BOM!$F$2:$F$204,Kit_BOM!$E$2:$E$204,$A55,Kit_BOM!$A$2:$A$204,$A$8,Kit_BOM!$G$2:$G$204,"Bestücken")*$C$8+SUMIFS(Kit_BOM!$F$2:$F$204,Kit_BOM!$E$2:$E$204,$A55,Kit_BOM!$A$2:$A$204,$A$8,Kit_BOM!$G$2:$G$204,"Mechanical")*$C$8+IF($F$5="Ja",SUMIFS(Kit_BOM!$F$2:$F$204,Kit_BOM!$E$2:$E$204,$A55,Kit_BOM!$A$2:$A$204,$A$8,Kit_BOM!$G$2:$G$204,"Optional")*$C$8,0)+IF($F$6="Ja",SUMIFS(Kit_BOM!$F$2:$F$204,Kit_BOM!$E$2:$E$204,$A55,Kit_BOM!$A$2:$A$204,$A$8,Kit_BOM!$G$2:$G$204,"DNP")*$C$8,0)</f>
        <v>0</v>
      </c>
      <c r="F55" s="31" t="str">
        <f>IFERROR(IF(INDEX(Part_Suppliers!$G$2:$G$300,MATCH($A55&amp;"|"&amp;$C55,Part_Suppliers!$K$2:$K$300,0))=0,"",INDEX(Part_Suppliers!$G$2:$G$300,MATCH($A55&amp;"|"&amp;$C55,Part_Suppliers!$K$2:$K$300,0))),"")</f>
        <v/>
      </c>
      <c r="G55" s="31">
        <f t="shared" si="5"/>
        <v>0</v>
      </c>
      <c r="H55" s="49">
        <f>SUMIFS(Part_Suppliers!$E$2:$E$300,Part_Suppliers!$A$2:$A$300,$A55,Part_Suppliers!$B$2:$B$300,$C55)</f>
        <v>7.0000000000000007E-2</v>
      </c>
      <c r="I55" s="49">
        <f t="shared" si="6"/>
        <v>0</v>
      </c>
      <c r="J55" t="str">
        <f t="shared" si="7"/>
        <v>Nicht benötigt</v>
      </c>
      <c r="K55" t="str">
        <f>IFERROR(IF(INDEX(Part_Suppliers!$D$2:$D$300,MATCH($A55&amp;"|"&amp;$C55,Part_Suppliers!$K$2:$K$300,0))=0,"",INDEX(Part_Suppliers!$D$2:$D$300,MATCH($A55&amp;"|"&amp;$C55,Part_Suppliers!$K$2:$K$300,0))),"")</f>
        <v>https://www.tme.eu/de/details/wr12x2203ftl/smd-widerstaende/walsin/</v>
      </c>
      <c r="L55" s="31">
        <f>IFERROR(VLOOKUP($A55,Stock!$A$5:$K$200,10,FALSE()),0)</f>
        <v>0</v>
      </c>
      <c r="M55" s="31">
        <f>IFERROR(VLOOKUP($A55,Stock!$A$5:$K$200,11,FALSE()),0)</f>
        <v>0</v>
      </c>
      <c r="N55" s="31">
        <f t="shared" si="8"/>
        <v>0</v>
      </c>
      <c r="O55" s="31">
        <f t="shared" si="9"/>
        <v>0</v>
      </c>
      <c r="P55" s="50">
        <v>0</v>
      </c>
    </row>
    <row r="56" spans="1:16" ht="14" customHeight="1" x14ac:dyDescent="0.2">
      <c r="A56" t="s">
        <v>541</v>
      </c>
      <c r="B56" s="48" t="str">
        <f>IFERROR(VLOOKUP($A56,Parts!$A$2:$M$200,3,FALSE()),"")</f>
        <v>Schiebeschalter DPDT</v>
      </c>
      <c r="C56" t="str">
        <f>IFERROR(VLOOKUP($A56,Stock!$A$5:$I$200,8,FALSE()),"")</f>
        <v>Mouser</v>
      </c>
      <c r="D56" t="str">
        <f>IFERROR(VLOOKUP($A56,Stock!$A$5:$I$200,9,FALSE()),"")</f>
        <v>611-OS202011MS2QS1</v>
      </c>
      <c r="E56" s="31">
        <f>SUMIFS(Kit_BOM!$F$2:$F$204,Kit_BOM!$E$2:$E$204,$A56,Kit_BOM!$A$2:$A$204,$A$5,Kit_BOM!$G$2:$G$204,"Bestücken")*$C$5+SUMIFS(Kit_BOM!$F$2:$F$204,Kit_BOM!$E$2:$E$204,$A56,Kit_BOM!$A$2:$A$204,$A$5,Kit_BOM!$G$2:$G$204,"Mechanical")*$C$5+IF($F$5="Ja",SUMIFS(Kit_BOM!$F$2:$F$204,Kit_BOM!$E$2:$E$204,$A56,Kit_BOM!$A$2:$A$204,$A$5,Kit_BOM!$G$2:$G$204,"Optional")*$C$5,0)+IF($F$6="Ja",SUMIFS(Kit_BOM!$F$2:$F$204,Kit_BOM!$E$2:$E$204,$A56,Kit_BOM!$A$2:$A$204,$A$5,Kit_BOM!$G$2:$G$204,"DNP")*$C$5,0)+SUMIFS(Kit_BOM!$F$2:$F$204,Kit_BOM!$E$2:$E$204,$A56,Kit_BOM!$A$2:$A$204,$A$6,Kit_BOM!$G$2:$G$204,"Bestücken")*$C$6+SUMIFS(Kit_BOM!$F$2:$F$204,Kit_BOM!$E$2:$E$204,$A56,Kit_BOM!$A$2:$A$204,$A$6,Kit_BOM!$G$2:$G$204,"Mechanical")*$C$6+IF($F$5="Ja",SUMIFS(Kit_BOM!$F$2:$F$204,Kit_BOM!$E$2:$E$204,$A56,Kit_BOM!$A$2:$A$204,$A$6,Kit_BOM!$G$2:$G$204,"Optional")*$C$6,0)+IF($F$6="Ja",SUMIFS(Kit_BOM!$F$2:$F$204,Kit_BOM!$E$2:$E$204,$A56,Kit_BOM!$A$2:$A$204,$A$6,Kit_BOM!$G$2:$G$204,"DNP")*$C$6,0)+SUMIFS(Kit_BOM!$F$2:$F$204,Kit_BOM!$E$2:$E$204,$A56,Kit_BOM!$A$2:$A$204,$A$7,Kit_BOM!$G$2:$G$204,"Bestücken")*$C$7+SUMIFS(Kit_BOM!$F$2:$F$204,Kit_BOM!$E$2:$E$204,$A56,Kit_BOM!$A$2:$A$204,$A$7,Kit_BOM!$G$2:$G$204,"Mechanical")*$C$7+IF($F$5="Ja",SUMIFS(Kit_BOM!$F$2:$F$204,Kit_BOM!$E$2:$E$204,$A56,Kit_BOM!$A$2:$A$204,$A$7,Kit_BOM!$G$2:$G$204,"Optional")*$C$7,0)+IF($F$6="Ja",SUMIFS(Kit_BOM!$F$2:$F$204,Kit_BOM!$E$2:$E$204,$A56,Kit_BOM!$A$2:$A$204,$A$7,Kit_BOM!$G$2:$G$204,"DNP")*$C$7,0)+SUMIFS(Kit_BOM!$F$2:$F$204,Kit_BOM!$E$2:$E$204,$A56,Kit_BOM!$A$2:$A$204,$A$8,Kit_BOM!$G$2:$G$204,"Bestücken")*$C$8+SUMIFS(Kit_BOM!$F$2:$F$204,Kit_BOM!$E$2:$E$204,$A56,Kit_BOM!$A$2:$A$204,$A$8,Kit_BOM!$G$2:$G$204,"Mechanical")*$C$8+IF($F$5="Ja",SUMIFS(Kit_BOM!$F$2:$F$204,Kit_BOM!$E$2:$E$204,$A56,Kit_BOM!$A$2:$A$204,$A$8,Kit_BOM!$G$2:$G$204,"Optional")*$C$8,0)+IF($F$6="Ja",SUMIFS(Kit_BOM!$F$2:$F$204,Kit_BOM!$E$2:$E$204,$A56,Kit_BOM!$A$2:$A$204,$A$8,Kit_BOM!$G$2:$G$204,"DNP")*$C$8,0)</f>
        <v>0</v>
      </c>
      <c r="F56" s="31" t="str">
        <f>IFERROR(IF(INDEX(Part_Suppliers!$G$2:$G$300,MATCH($A56&amp;"|"&amp;$C56,Part_Suppliers!$K$2:$K$300,0))=0,"",INDEX(Part_Suppliers!$G$2:$G$300,MATCH($A56&amp;"|"&amp;$C56,Part_Suppliers!$K$2:$K$300,0))),"")</f>
        <v/>
      </c>
      <c r="G56" s="31">
        <f t="shared" si="5"/>
        <v>0</v>
      </c>
      <c r="H56" s="49">
        <f>SUMIFS(Part_Suppliers!$E$2:$E$300,Part_Suppliers!$A$2:$A$300,$A56,Part_Suppliers!$B$2:$B$300,$C56)</f>
        <v>0.92</v>
      </c>
      <c r="I56" s="49">
        <f t="shared" si="6"/>
        <v>0</v>
      </c>
      <c r="J56" t="str">
        <f t="shared" si="7"/>
        <v>Nicht benötigt</v>
      </c>
      <c r="K56" t="str">
        <f>IFERROR(IF(INDEX(Part_Suppliers!$D$2:$D$300,MATCH($A56&amp;"|"&amp;$C56,Part_Suppliers!$K$2:$K$300,0))=0,"",INDEX(Part_Suppliers!$D$2:$D$300,MATCH($A56&amp;"|"&amp;$C56,Part_Suppliers!$K$2:$K$300,0))),"")</f>
        <v>https://www.mouser.de/de/c/electromechanical/switches/slide-switches/?q=OS202011MS2QS1</v>
      </c>
      <c r="L56" s="31">
        <f>IFERROR(VLOOKUP($A56,Stock!$A$5:$K$200,10,FALSE()),0)</f>
        <v>0</v>
      </c>
      <c r="M56" s="31">
        <f>IFERROR(VLOOKUP($A56,Stock!$A$5:$K$200,11,FALSE()),0)</f>
        <v>0</v>
      </c>
      <c r="N56" s="31">
        <f t="shared" si="8"/>
        <v>0</v>
      </c>
      <c r="O56" s="31">
        <f t="shared" si="9"/>
        <v>0</v>
      </c>
      <c r="P56" s="50">
        <v>0</v>
      </c>
    </row>
    <row r="57" spans="1:16" ht="14" customHeight="1" x14ac:dyDescent="0.2">
      <c r="A57" t="s">
        <v>551</v>
      </c>
      <c r="B57" s="48" t="str">
        <f>IFERROR(VLOOKUP($A57,Parts!$A$2:$M$200,3,FALSE()),"")</f>
        <v>Boost-Regler LT8330</v>
      </c>
      <c r="C57" t="str">
        <f>IFERROR(VLOOKUP($A57,Stock!$A$5:$I$200,8,FALSE()),"")</f>
        <v>Mouser</v>
      </c>
      <c r="D57" t="str">
        <f>IFERROR(VLOOKUP($A57,Stock!$A$5:$I$200,9,FALSE()),"")</f>
        <v>584-LT8330ES6#TRMPBF</v>
      </c>
      <c r="E57" s="31">
        <f>SUMIFS(Kit_BOM!$F$2:$F$204,Kit_BOM!$E$2:$E$204,$A57,Kit_BOM!$A$2:$A$204,$A$5,Kit_BOM!$G$2:$G$204,"Bestücken")*$C$5+SUMIFS(Kit_BOM!$F$2:$F$204,Kit_BOM!$E$2:$E$204,$A57,Kit_BOM!$A$2:$A$204,$A$5,Kit_BOM!$G$2:$G$204,"Mechanical")*$C$5+IF($F$5="Ja",SUMIFS(Kit_BOM!$F$2:$F$204,Kit_BOM!$E$2:$E$204,$A57,Kit_BOM!$A$2:$A$204,$A$5,Kit_BOM!$G$2:$G$204,"Optional")*$C$5,0)+IF($F$6="Ja",SUMIFS(Kit_BOM!$F$2:$F$204,Kit_BOM!$E$2:$E$204,$A57,Kit_BOM!$A$2:$A$204,$A$5,Kit_BOM!$G$2:$G$204,"DNP")*$C$5,0)+SUMIFS(Kit_BOM!$F$2:$F$204,Kit_BOM!$E$2:$E$204,$A57,Kit_BOM!$A$2:$A$204,$A$6,Kit_BOM!$G$2:$G$204,"Bestücken")*$C$6+SUMIFS(Kit_BOM!$F$2:$F$204,Kit_BOM!$E$2:$E$204,$A57,Kit_BOM!$A$2:$A$204,$A$6,Kit_BOM!$G$2:$G$204,"Mechanical")*$C$6+IF($F$5="Ja",SUMIFS(Kit_BOM!$F$2:$F$204,Kit_BOM!$E$2:$E$204,$A57,Kit_BOM!$A$2:$A$204,$A$6,Kit_BOM!$G$2:$G$204,"Optional")*$C$6,0)+IF($F$6="Ja",SUMIFS(Kit_BOM!$F$2:$F$204,Kit_BOM!$E$2:$E$204,$A57,Kit_BOM!$A$2:$A$204,$A$6,Kit_BOM!$G$2:$G$204,"DNP")*$C$6,0)+SUMIFS(Kit_BOM!$F$2:$F$204,Kit_BOM!$E$2:$E$204,$A57,Kit_BOM!$A$2:$A$204,$A$7,Kit_BOM!$G$2:$G$204,"Bestücken")*$C$7+SUMIFS(Kit_BOM!$F$2:$F$204,Kit_BOM!$E$2:$E$204,$A57,Kit_BOM!$A$2:$A$204,$A$7,Kit_BOM!$G$2:$G$204,"Mechanical")*$C$7+IF($F$5="Ja",SUMIFS(Kit_BOM!$F$2:$F$204,Kit_BOM!$E$2:$E$204,$A57,Kit_BOM!$A$2:$A$204,$A$7,Kit_BOM!$G$2:$G$204,"Optional")*$C$7,0)+IF($F$6="Ja",SUMIFS(Kit_BOM!$F$2:$F$204,Kit_BOM!$E$2:$E$204,$A57,Kit_BOM!$A$2:$A$204,$A$7,Kit_BOM!$G$2:$G$204,"DNP")*$C$7,0)+SUMIFS(Kit_BOM!$F$2:$F$204,Kit_BOM!$E$2:$E$204,$A57,Kit_BOM!$A$2:$A$204,$A$8,Kit_BOM!$G$2:$G$204,"Bestücken")*$C$8+SUMIFS(Kit_BOM!$F$2:$F$204,Kit_BOM!$E$2:$E$204,$A57,Kit_BOM!$A$2:$A$204,$A$8,Kit_BOM!$G$2:$G$204,"Mechanical")*$C$8+IF($F$5="Ja",SUMIFS(Kit_BOM!$F$2:$F$204,Kit_BOM!$E$2:$E$204,$A57,Kit_BOM!$A$2:$A$204,$A$8,Kit_BOM!$G$2:$G$204,"Optional")*$C$8,0)+IF($F$6="Ja",SUMIFS(Kit_BOM!$F$2:$F$204,Kit_BOM!$E$2:$E$204,$A57,Kit_BOM!$A$2:$A$204,$A$8,Kit_BOM!$G$2:$G$204,"DNP")*$C$8,0)</f>
        <v>0</v>
      </c>
      <c r="F57" s="31" t="str">
        <f>IFERROR(IF(INDEX(Part_Suppliers!$G$2:$G$300,MATCH($A57&amp;"|"&amp;$C57,Part_Suppliers!$K$2:$K$300,0))=0,"",INDEX(Part_Suppliers!$G$2:$G$300,MATCH($A57&amp;"|"&amp;$C57,Part_Suppliers!$K$2:$K$300,0))),"")</f>
        <v/>
      </c>
      <c r="G57" s="31">
        <f t="shared" si="5"/>
        <v>0</v>
      </c>
      <c r="H57" s="49">
        <f>SUMIFS(Part_Suppliers!$E$2:$E$300,Part_Suppliers!$A$2:$A$300,$A57,Part_Suppliers!$B$2:$B$300,$C57)</f>
        <v>7.11</v>
      </c>
      <c r="I57" s="49">
        <f t="shared" si="6"/>
        <v>0</v>
      </c>
      <c r="J57" t="str">
        <f t="shared" si="7"/>
        <v>Nicht benötigt</v>
      </c>
      <c r="K57" t="str">
        <f>IFERROR(IF(INDEX(Part_Suppliers!$D$2:$D$300,MATCH($A57&amp;"|"&amp;$C57,Part_Suppliers!$K$2:$K$300,0))=0,"",INDEX(Part_Suppliers!$D$2:$D$300,MATCH($A57&amp;"|"&amp;$C57,Part_Suppliers!$K$2:$K$300,0))),"")</f>
        <v>https://www.mouser.de/ProductDetail/Analog-Devices/LT8330ES6TRMPBF</v>
      </c>
      <c r="L57" s="31">
        <f>IFERROR(VLOOKUP($A57,Stock!$A$5:$K$200,10,FALSE()),0)</f>
        <v>0</v>
      </c>
      <c r="M57" s="31">
        <f>IFERROR(VLOOKUP($A57,Stock!$A$5:$K$200,11,FALSE()),0)</f>
        <v>0</v>
      </c>
      <c r="N57" s="31">
        <f t="shared" si="8"/>
        <v>0</v>
      </c>
      <c r="O57" s="31">
        <f t="shared" si="9"/>
        <v>0</v>
      </c>
      <c r="P57" s="50">
        <v>0</v>
      </c>
    </row>
    <row r="58" spans="1:16" ht="14" customHeight="1" x14ac:dyDescent="0.2">
      <c r="A58" t="s">
        <v>560</v>
      </c>
      <c r="B58" s="48" t="str">
        <f>IFERROR(VLOOKUP($A58,Parts!$A$2:$M$200,3,FALSE()),"")</f>
        <v>AnalogHydroPressure FullSize PCB Rev 0.2</v>
      </c>
      <c r="C58" t="str">
        <f>IFERROR(VLOOKUP($A58,Stock!$A$5:$I$200,8,FALSE()),"")</f>
        <v>JLCPCB</v>
      </c>
      <c r="D58" t="str">
        <f>IFERROR(VLOOKUP($A58,Stock!$A$5:$I$200,9,FALSE()),"")</f>
        <v/>
      </c>
      <c r="E58" s="31">
        <f>SUMIFS(Kit_BOM!$F$2:$F$204,Kit_BOM!$E$2:$E$204,$A58,Kit_BOM!$A$2:$A$204,$A$5,Kit_BOM!$G$2:$G$204,"Bestücken")*$C$5+SUMIFS(Kit_BOM!$F$2:$F$204,Kit_BOM!$E$2:$E$204,$A58,Kit_BOM!$A$2:$A$204,$A$5,Kit_BOM!$G$2:$G$204,"Mechanical")*$C$5+IF($F$5="Ja",SUMIFS(Kit_BOM!$F$2:$F$204,Kit_BOM!$E$2:$E$204,$A58,Kit_BOM!$A$2:$A$204,$A$5,Kit_BOM!$G$2:$G$204,"Optional")*$C$5,0)+IF($F$6="Ja",SUMIFS(Kit_BOM!$F$2:$F$204,Kit_BOM!$E$2:$E$204,$A58,Kit_BOM!$A$2:$A$204,$A$5,Kit_BOM!$G$2:$G$204,"DNP")*$C$5,0)+SUMIFS(Kit_BOM!$F$2:$F$204,Kit_BOM!$E$2:$E$204,$A58,Kit_BOM!$A$2:$A$204,$A$6,Kit_BOM!$G$2:$G$204,"Bestücken")*$C$6+SUMIFS(Kit_BOM!$F$2:$F$204,Kit_BOM!$E$2:$E$204,$A58,Kit_BOM!$A$2:$A$204,$A$6,Kit_BOM!$G$2:$G$204,"Mechanical")*$C$6+IF($F$5="Ja",SUMIFS(Kit_BOM!$F$2:$F$204,Kit_BOM!$E$2:$E$204,$A58,Kit_BOM!$A$2:$A$204,$A$6,Kit_BOM!$G$2:$G$204,"Optional")*$C$6,0)+IF($F$6="Ja",SUMIFS(Kit_BOM!$F$2:$F$204,Kit_BOM!$E$2:$E$204,$A58,Kit_BOM!$A$2:$A$204,$A$6,Kit_BOM!$G$2:$G$204,"DNP")*$C$6,0)+SUMIFS(Kit_BOM!$F$2:$F$204,Kit_BOM!$E$2:$E$204,$A58,Kit_BOM!$A$2:$A$204,$A$7,Kit_BOM!$G$2:$G$204,"Bestücken")*$C$7+SUMIFS(Kit_BOM!$F$2:$F$204,Kit_BOM!$E$2:$E$204,$A58,Kit_BOM!$A$2:$A$204,$A$7,Kit_BOM!$G$2:$G$204,"Mechanical")*$C$7+IF($F$5="Ja",SUMIFS(Kit_BOM!$F$2:$F$204,Kit_BOM!$E$2:$E$204,$A58,Kit_BOM!$A$2:$A$204,$A$7,Kit_BOM!$G$2:$G$204,"Optional")*$C$7,0)+IF($F$6="Ja",SUMIFS(Kit_BOM!$F$2:$F$204,Kit_BOM!$E$2:$E$204,$A58,Kit_BOM!$A$2:$A$204,$A$7,Kit_BOM!$G$2:$G$204,"DNP")*$C$7,0)+SUMIFS(Kit_BOM!$F$2:$F$204,Kit_BOM!$E$2:$E$204,$A58,Kit_BOM!$A$2:$A$204,$A$8,Kit_BOM!$G$2:$G$204,"Bestücken")*$C$8+SUMIFS(Kit_BOM!$F$2:$F$204,Kit_BOM!$E$2:$E$204,$A58,Kit_BOM!$A$2:$A$204,$A$8,Kit_BOM!$G$2:$G$204,"Mechanical")*$C$8+IF($F$5="Ja",SUMIFS(Kit_BOM!$F$2:$F$204,Kit_BOM!$E$2:$E$204,$A58,Kit_BOM!$A$2:$A$204,$A$8,Kit_BOM!$G$2:$G$204,"Optional")*$C$8,0)+IF($F$6="Ja",SUMIFS(Kit_BOM!$F$2:$F$204,Kit_BOM!$E$2:$E$204,$A58,Kit_BOM!$A$2:$A$204,$A$8,Kit_BOM!$G$2:$G$204,"DNP")*$C$8,0)</f>
        <v>0</v>
      </c>
      <c r="F58" s="31">
        <f>IFERROR(IF(INDEX(Part_Suppliers!$G$2:$G$300,MATCH($A58&amp;"|"&amp;$C58,Part_Suppliers!$K$2:$K$300,0))=0,"",INDEX(Part_Suppliers!$G$2:$G$300,MATCH($A58&amp;"|"&amp;$C58,Part_Suppliers!$K$2:$K$300,0))),"")</f>
        <v>5</v>
      </c>
      <c r="G58" s="31">
        <f t="shared" si="5"/>
        <v>0</v>
      </c>
      <c r="H58" s="49">
        <f>SUMIFS(Part_Suppliers!$E$2:$E$300,Part_Suppliers!$A$2:$A$300,$A58,Part_Suppliers!$B$2:$B$300,$C58)</f>
        <v>0</v>
      </c>
      <c r="I58" s="49">
        <f t="shared" si="6"/>
        <v>0</v>
      </c>
      <c r="J58" t="str">
        <f t="shared" si="7"/>
        <v>Nicht benötigt</v>
      </c>
      <c r="K58" t="str">
        <f>IFERROR(IF(INDEX(Part_Suppliers!$D$2:$D$300,MATCH($A58&amp;"|"&amp;$C58,Part_Suppliers!$K$2:$K$300,0))=0,"",INDEX(Part_Suppliers!$D$2:$D$300,MATCH($A58&amp;"|"&amp;$C58,Part_Suppliers!$K$2:$K$300,0))),"")</f>
        <v/>
      </c>
      <c r="L58" s="31">
        <f>IFERROR(VLOOKUP($A58,Stock!$A$5:$K$200,10,FALSE()),0)</f>
        <v>0</v>
      </c>
      <c r="M58" s="31">
        <f>IFERROR(VLOOKUP($A58,Stock!$A$5:$K$200,11,FALSE()),0)</f>
        <v>0</v>
      </c>
      <c r="N58" s="31">
        <f t="shared" si="8"/>
        <v>0</v>
      </c>
      <c r="O58" s="31">
        <f t="shared" si="9"/>
        <v>0</v>
      </c>
      <c r="P58" s="50">
        <v>0</v>
      </c>
    </row>
    <row r="59" spans="1:16" ht="14" customHeight="1" x14ac:dyDescent="0.2">
      <c r="A59" t="s">
        <v>585</v>
      </c>
      <c r="B59" t="str">
        <f>IFERROR(VLOOKUP($A59,Parts!$A$2:$M$200,3,FALSE()),"")</f>
        <v>WEIPU SP13 Gehäusebuchse, 2-polig</v>
      </c>
      <c r="C59" t="str">
        <f>IFERROR(VLOOKUP($A59,Stock!$A$5:$I$200,8,FALSE()),"")</f>
        <v>Noch festlegen</v>
      </c>
      <c r="D59" t="str">
        <f>IFERROR(VLOOKUP($A59,Stock!$A$5:$I$200,9,FALSE()),"")</f>
        <v/>
      </c>
      <c r="E59">
        <f>SUMIFS(Kit_BOM!$F$2:$F$204,Kit_BOM!$E$2:$E$204,$A59,Kit_BOM!$A$2:$A$204,$A$5,Kit_BOM!$G$2:$G$204,"Bestücken")*$C$5+SUMIFS(Kit_BOM!$F$2:$F$204,Kit_BOM!$E$2:$E$204,$A59,Kit_BOM!$A$2:$A$204,$A$5,Kit_BOM!$G$2:$G$204,"Mechanical")*$C$5+IF($F$5="Ja",SUMIFS(Kit_BOM!$F$2:$F$204,Kit_BOM!$E$2:$E$204,$A59,Kit_BOM!$A$2:$A$204,$A$5,Kit_BOM!$G$2:$G$204,"Optional")*$C$5,0)+IF($F$6="Ja",SUMIFS(Kit_BOM!$F$2:$F$204,Kit_BOM!$E$2:$E$204,$A59,Kit_BOM!$A$2:$A$204,$A$5,Kit_BOM!$G$2:$G$204,"DNP")*$C$5,0)+SUMIFS(Kit_BOM!$F$2:$F$204,Kit_BOM!$E$2:$E$204,$A59,Kit_BOM!$A$2:$A$204,$A$6,Kit_BOM!$G$2:$G$204,"Bestücken")*$C$6+SUMIFS(Kit_BOM!$F$2:$F$204,Kit_BOM!$E$2:$E$204,$A59,Kit_BOM!$A$2:$A$204,$A$6,Kit_BOM!$G$2:$G$204,"Mechanical")*$C$6+IF($F$5="Ja",SUMIFS(Kit_BOM!$F$2:$F$204,Kit_BOM!$E$2:$E$204,$A59,Kit_BOM!$A$2:$A$204,$A$6,Kit_BOM!$G$2:$G$204,"Optional")*$C$6,0)+IF($F$6="Ja",SUMIFS(Kit_BOM!$F$2:$F$204,Kit_BOM!$E$2:$E$204,$A59,Kit_BOM!$A$2:$A$204,$A$6,Kit_BOM!$G$2:$G$204,"DNP")*$C$6,0)+SUMIFS(Kit_BOM!$F$2:$F$204,Kit_BOM!$E$2:$E$204,$A59,Kit_BOM!$A$2:$A$204,$A$7,Kit_BOM!$G$2:$G$204,"Bestücken")*$C$7+SUMIFS(Kit_BOM!$F$2:$F$204,Kit_BOM!$E$2:$E$204,$A59,Kit_BOM!$A$2:$A$204,$A$7,Kit_BOM!$G$2:$G$204,"Mechanical")*$C$7+IF($F$5="Ja",SUMIFS(Kit_BOM!$F$2:$F$204,Kit_BOM!$E$2:$E$204,$A59,Kit_BOM!$A$2:$A$204,$A$7,Kit_BOM!$G$2:$G$204,"Optional")*$C$7,0)+IF($F$6="Ja",SUMIFS(Kit_BOM!$F$2:$F$204,Kit_BOM!$E$2:$E$204,$A59,Kit_BOM!$A$2:$A$204,$A$7,Kit_BOM!$G$2:$G$204,"DNP")*$C$7,0)+SUMIFS(Kit_BOM!$F$2:$F$204,Kit_BOM!$E$2:$E$204,$A59,Kit_BOM!$A$2:$A$204,$A$8,Kit_BOM!$G$2:$G$204,"Bestücken")*$C$8+SUMIFS(Kit_BOM!$F$2:$F$204,Kit_BOM!$E$2:$E$204,$A59,Kit_BOM!$A$2:$A$204,$A$8,Kit_BOM!$G$2:$G$204,"Mechanical")*$C$8+IF($F$5="Ja",SUMIFS(Kit_BOM!$F$2:$F$204,Kit_BOM!$E$2:$E$204,$A59,Kit_BOM!$A$2:$A$204,$A$8,Kit_BOM!$G$2:$G$204,"Optional")*$C$8,0)+IF($F$6="Ja",SUMIFS(Kit_BOM!$F$2:$F$204,Kit_BOM!$E$2:$E$204,$A59,Kit_BOM!$A$2:$A$204,$A$8,Kit_BOM!$G$2:$G$204,"DNP")*$C$8,0)</f>
        <v>1</v>
      </c>
      <c r="F59" t="str">
        <f>IFERROR(IF(INDEX(Part_Suppliers!$G$2:$G$300,MATCH($A59&amp;"|"&amp;$C59,Part_Suppliers!$K$2:$K$300,0))=0,"",INDEX(Part_Suppliers!$G$2:$G$300,MATCH($A59&amp;"|"&amp;$C59,Part_Suppliers!$K$2:$K$300,0))),"")</f>
        <v/>
      </c>
      <c r="G59">
        <f t="shared" si="5"/>
        <v>1</v>
      </c>
      <c r="H59">
        <f>SUMIFS(Part_Suppliers!$E$2:$E$300,Part_Suppliers!$A$2:$A$300,$A59,Part_Suppliers!$B$2:$B$300,$C59)</f>
        <v>0</v>
      </c>
      <c r="I59" s="49">
        <f t="shared" si="6"/>
        <v>0</v>
      </c>
      <c r="J59" t="str">
        <f t="shared" si="7"/>
        <v>Anderer Lieferant</v>
      </c>
      <c r="K59" t="str">
        <f>IFERROR(IF(INDEX(Part_Suppliers!$D$2:$D$300,MATCH($A59&amp;"|"&amp;$C59,Part_Suppliers!$K$2:$K$300,0))=0,"",INDEX(Part_Suppliers!$D$2:$D$300,MATCH($A59&amp;"|"&amp;$C59,Part_Suppliers!$K$2:$K$300,0))),"")</f>
        <v>https://www.weipuconnector.com/products/sp13/</v>
      </c>
      <c r="L59" s="51">
        <f>IFERROR(VLOOKUP($A59,Stock!$A$5:$K$200,10,FALSE()),0)</f>
        <v>0</v>
      </c>
      <c r="M59" s="51">
        <f>IFERROR(VLOOKUP($A59,Stock!$A$5:$K$200,11,FALSE()),0)</f>
        <v>0</v>
      </c>
      <c r="N59" s="51">
        <f t="shared" si="8"/>
        <v>-1</v>
      </c>
      <c r="O59" s="51">
        <f t="shared" si="9"/>
        <v>1</v>
      </c>
      <c r="P59" s="51">
        <v>0</v>
      </c>
    </row>
    <row r="60" spans="1:16" ht="14" customHeight="1" x14ac:dyDescent="0.15">
      <c r="A60" t="s">
        <v>593</v>
      </c>
      <c r="B60" t="str">
        <f>IFERROR(VLOOKUP($A60,Parts!$A$2:$M$200,3,FALSE()),"")</f>
        <v>WEIPU SP13 Kabelstecker, 2-polig</v>
      </c>
      <c r="C60" t="str">
        <f>IFERROR(VLOOKUP($A60,Stock!$A$5:$I$200,8,FALSE()),"")</f>
        <v>Noch festlegen</v>
      </c>
      <c r="D60" t="str">
        <f>IFERROR(VLOOKUP($A60,Stock!$A$5:$I$200,9,FALSE()),"")</f>
        <v/>
      </c>
      <c r="E60">
        <f>SUMIFS(Kit_BOM!$F$2:$F$204,Kit_BOM!$E$2:$E$204,$A60,Kit_BOM!$A$2:$A$204,$A$5,Kit_BOM!$G$2:$G$204,"Bestücken")*$C$5+SUMIFS(Kit_BOM!$F$2:$F$204,Kit_BOM!$E$2:$E$204,$A60,Kit_BOM!$A$2:$A$204,$A$5,Kit_BOM!$G$2:$G$204,"Mechanical")*$C$5+IF($F$5="Ja",SUMIFS(Kit_BOM!$F$2:$F$204,Kit_BOM!$E$2:$E$204,$A60,Kit_BOM!$A$2:$A$204,$A$5,Kit_BOM!$G$2:$G$204,"Optional")*$C$5,0)+IF($F$6="Ja",SUMIFS(Kit_BOM!$F$2:$F$204,Kit_BOM!$E$2:$E$204,$A60,Kit_BOM!$A$2:$A$204,$A$5,Kit_BOM!$G$2:$G$204,"DNP")*$C$5,0)+SUMIFS(Kit_BOM!$F$2:$F$204,Kit_BOM!$E$2:$E$204,$A60,Kit_BOM!$A$2:$A$204,$A$6,Kit_BOM!$G$2:$G$204,"Bestücken")*$C$6+SUMIFS(Kit_BOM!$F$2:$F$204,Kit_BOM!$E$2:$E$204,$A60,Kit_BOM!$A$2:$A$204,$A$6,Kit_BOM!$G$2:$G$204,"Mechanical")*$C$6+IF($F$5="Ja",SUMIFS(Kit_BOM!$F$2:$F$204,Kit_BOM!$E$2:$E$204,$A60,Kit_BOM!$A$2:$A$204,$A$6,Kit_BOM!$G$2:$G$204,"Optional")*$C$6,0)+IF($F$6="Ja",SUMIFS(Kit_BOM!$F$2:$F$204,Kit_BOM!$E$2:$E$204,$A60,Kit_BOM!$A$2:$A$204,$A$6,Kit_BOM!$G$2:$G$204,"DNP")*$C$6,0)+SUMIFS(Kit_BOM!$F$2:$F$204,Kit_BOM!$E$2:$E$204,$A60,Kit_BOM!$A$2:$A$204,$A$7,Kit_BOM!$G$2:$G$204,"Bestücken")*$C$7+SUMIFS(Kit_BOM!$F$2:$F$204,Kit_BOM!$E$2:$E$204,$A60,Kit_BOM!$A$2:$A$204,$A$7,Kit_BOM!$G$2:$G$204,"Mechanical")*$C$7+IF($F$5="Ja",SUMIFS(Kit_BOM!$F$2:$F$204,Kit_BOM!$E$2:$E$204,$A60,Kit_BOM!$A$2:$A$204,$A$7,Kit_BOM!$G$2:$G$204,"Optional")*$C$7,0)+IF($F$6="Ja",SUMIFS(Kit_BOM!$F$2:$F$204,Kit_BOM!$E$2:$E$204,$A60,Kit_BOM!$A$2:$A$204,$A$7,Kit_BOM!$G$2:$G$204,"DNP")*$C$7,0)+SUMIFS(Kit_BOM!$F$2:$F$204,Kit_BOM!$E$2:$E$204,$A60,Kit_BOM!$A$2:$A$204,$A$8,Kit_BOM!$G$2:$G$204,"Bestücken")*$C$8+SUMIFS(Kit_BOM!$F$2:$F$204,Kit_BOM!$E$2:$E$204,$A60,Kit_BOM!$A$2:$A$204,$A$8,Kit_BOM!$G$2:$G$204,"Mechanical")*$C$8+IF($F$5="Ja",SUMIFS(Kit_BOM!$F$2:$F$204,Kit_BOM!$E$2:$E$204,$A60,Kit_BOM!$A$2:$A$204,$A$8,Kit_BOM!$G$2:$G$204,"Optional")*$C$8,0)+IF($F$6="Ja",SUMIFS(Kit_BOM!$F$2:$F$204,Kit_BOM!$E$2:$E$204,$A60,Kit_BOM!$A$2:$A$204,$A$8,Kit_BOM!$G$2:$G$204,"DNP")*$C$8,0)</f>
        <v>1</v>
      </c>
      <c r="F60" t="str">
        <f>IFERROR(IF(INDEX(Part_Suppliers!$G$2:$G$300,MATCH($A60&amp;"|"&amp;$C60,Part_Suppliers!$K$2:$K$300,0))=0,"",INDEX(Part_Suppliers!$G$2:$G$300,MATCH($A60&amp;"|"&amp;$C60,Part_Suppliers!$K$2:$K$300,0))),"")</f>
        <v/>
      </c>
      <c r="G60">
        <f t="shared" si="5"/>
        <v>1</v>
      </c>
      <c r="H60">
        <f>SUMIFS(Part_Suppliers!$E$2:$E$300,Part_Suppliers!$A$2:$A$300,$A60,Part_Suppliers!$B$2:$B$300,$C60)</f>
        <v>0</v>
      </c>
      <c r="I60">
        <f t="shared" si="6"/>
        <v>0</v>
      </c>
      <c r="J60" t="str">
        <f t="shared" si="7"/>
        <v>Anderer Lieferant</v>
      </c>
      <c r="K60" t="str">
        <f>IFERROR(IF(INDEX(Part_Suppliers!$D$2:$D$300,MATCH($A60&amp;"|"&amp;$C60,Part_Suppliers!$K$2:$K$300,0))=0,"",INDEX(Part_Suppliers!$D$2:$D$300,MATCH($A60&amp;"|"&amp;$C60,Part_Suppliers!$K$2:$K$300,0))),"")</f>
        <v>https://www.weipuconnector.com/products/sp13/</v>
      </c>
      <c r="L60">
        <f>IFERROR(VLOOKUP($A60,Stock!$A$5:$K$200,10,FALSE()),0)</f>
        <v>0</v>
      </c>
      <c r="M60">
        <f>IFERROR(VLOOKUP($A60,Stock!$A$5:$K$200,11,FALSE()),0)</f>
        <v>0</v>
      </c>
      <c r="N60">
        <f t="shared" si="8"/>
        <v>-1</v>
      </c>
      <c r="O60">
        <f t="shared" si="9"/>
        <v>1</v>
      </c>
      <c r="P60">
        <v>0</v>
      </c>
    </row>
    <row r="61" spans="1:16" ht="14" customHeight="1" x14ac:dyDescent="0.15">
      <c r="A61" t="s">
        <v>608</v>
      </c>
      <c r="B61" t="str">
        <f>IFERROR(VLOOKUP($A61,Parts!$A$2:$M$200,3,FALSE()),"")</f>
        <v>WEIPU SP13 Gehäusebuchse, 4-polig</v>
      </c>
      <c r="C61" t="str">
        <f>IFERROR(VLOOKUP($A61,Stock!$A$5:$I$200,8,FALSE()),"")</f>
        <v>Noch festlegen</v>
      </c>
      <c r="D61" t="str">
        <f>IFERROR(VLOOKUP($A61,Stock!$A$5:$I$200,9,FALSE()),"")</f>
        <v/>
      </c>
      <c r="E61">
        <f>SUMIFS(Kit_BOM!$F$2:$F$204,Kit_BOM!$E$2:$E$204,$A61,Kit_BOM!$A$2:$A$204,$A$5,Kit_BOM!$G$2:$G$204,"Bestücken")*$C$5+SUMIFS(Kit_BOM!$F$2:$F$204,Kit_BOM!$E$2:$E$204,$A61,Kit_BOM!$A$2:$A$204,$A$5,Kit_BOM!$G$2:$G$204,"Mechanical")*$C$5+IF($F$5="Ja",SUMIFS(Kit_BOM!$F$2:$F$204,Kit_BOM!$E$2:$E$204,$A61,Kit_BOM!$A$2:$A$204,$A$5,Kit_BOM!$G$2:$G$204,"Optional")*$C$5,0)+IF($F$6="Ja",SUMIFS(Kit_BOM!$F$2:$F$204,Kit_BOM!$E$2:$E$204,$A61,Kit_BOM!$A$2:$A$204,$A$5,Kit_BOM!$G$2:$G$204,"DNP")*$C$5,0)+SUMIFS(Kit_BOM!$F$2:$F$204,Kit_BOM!$E$2:$E$204,$A61,Kit_BOM!$A$2:$A$204,$A$6,Kit_BOM!$G$2:$G$204,"Bestücken")*$C$6+SUMIFS(Kit_BOM!$F$2:$F$204,Kit_BOM!$E$2:$E$204,$A61,Kit_BOM!$A$2:$A$204,$A$6,Kit_BOM!$G$2:$G$204,"Mechanical")*$C$6+IF($F$5="Ja",SUMIFS(Kit_BOM!$F$2:$F$204,Kit_BOM!$E$2:$E$204,$A61,Kit_BOM!$A$2:$A$204,$A$6,Kit_BOM!$G$2:$G$204,"Optional")*$C$6,0)+IF($F$6="Ja",SUMIFS(Kit_BOM!$F$2:$F$204,Kit_BOM!$E$2:$E$204,$A61,Kit_BOM!$A$2:$A$204,$A$6,Kit_BOM!$G$2:$G$204,"DNP")*$C$6,0)+SUMIFS(Kit_BOM!$F$2:$F$204,Kit_BOM!$E$2:$E$204,$A61,Kit_BOM!$A$2:$A$204,$A$7,Kit_BOM!$G$2:$G$204,"Bestücken")*$C$7+SUMIFS(Kit_BOM!$F$2:$F$204,Kit_BOM!$E$2:$E$204,$A61,Kit_BOM!$A$2:$A$204,$A$7,Kit_BOM!$G$2:$G$204,"Mechanical")*$C$7+IF($F$5="Ja",SUMIFS(Kit_BOM!$F$2:$F$204,Kit_BOM!$E$2:$E$204,$A61,Kit_BOM!$A$2:$A$204,$A$7,Kit_BOM!$G$2:$G$204,"Optional")*$C$7,0)+IF($F$6="Ja",SUMIFS(Kit_BOM!$F$2:$F$204,Kit_BOM!$E$2:$E$204,$A61,Kit_BOM!$A$2:$A$204,$A$7,Kit_BOM!$G$2:$G$204,"DNP")*$C$7,0)+SUMIFS(Kit_BOM!$F$2:$F$204,Kit_BOM!$E$2:$E$204,$A61,Kit_BOM!$A$2:$A$204,$A$8,Kit_BOM!$G$2:$G$204,"Bestücken")*$C$8+SUMIFS(Kit_BOM!$F$2:$F$204,Kit_BOM!$E$2:$E$204,$A61,Kit_BOM!$A$2:$A$204,$A$8,Kit_BOM!$G$2:$G$204,"Mechanical")*$C$8+IF($F$5="Ja",SUMIFS(Kit_BOM!$F$2:$F$204,Kit_BOM!$E$2:$E$204,$A61,Kit_BOM!$A$2:$A$204,$A$8,Kit_BOM!$G$2:$G$204,"Optional")*$C$8,0)+IF($F$6="Ja",SUMIFS(Kit_BOM!$F$2:$F$204,Kit_BOM!$E$2:$E$204,$A61,Kit_BOM!$A$2:$A$204,$A$8,Kit_BOM!$G$2:$G$204,"DNP")*$C$8,0)</f>
        <v>1</v>
      </c>
      <c r="F61" t="str">
        <f>IFERROR(IF(INDEX(Part_Suppliers!$G$2:$G$300,MATCH($A61&amp;"|"&amp;$C61,Part_Suppliers!$K$2:$K$300,0))=0,"",INDEX(Part_Suppliers!$G$2:$G$300,MATCH($A61&amp;"|"&amp;$C61,Part_Suppliers!$K$2:$K$300,0))),"")</f>
        <v/>
      </c>
      <c r="G61">
        <f t="shared" si="5"/>
        <v>1</v>
      </c>
      <c r="H61">
        <f>SUMIFS(Part_Suppliers!$E$2:$E$300,Part_Suppliers!$A$2:$A$300,$A61,Part_Suppliers!$B$2:$B$300,$C61)</f>
        <v>0</v>
      </c>
      <c r="I61">
        <f t="shared" si="6"/>
        <v>0</v>
      </c>
      <c r="J61" t="str">
        <f t="shared" si="7"/>
        <v>Anderer Lieferant</v>
      </c>
      <c r="K61" t="str">
        <f>IFERROR(IF(INDEX(Part_Suppliers!$D$2:$D$300,MATCH($A61&amp;"|"&amp;$C61,Part_Suppliers!$K$2:$K$300,0))=0,"",INDEX(Part_Suppliers!$D$2:$D$300,MATCH($A61&amp;"|"&amp;$C61,Part_Suppliers!$K$2:$K$300,0))),"")</f>
        <v>https://www.weipuconnector.com/products/sp13/</v>
      </c>
      <c r="L61">
        <f>IFERROR(VLOOKUP($A61,Stock!$A$5:$K$200,10,FALSE()),0)</f>
        <v>0</v>
      </c>
      <c r="M61">
        <f>IFERROR(VLOOKUP($A61,Stock!$A$5:$K$200,11,FALSE()),0)</f>
        <v>0</v>
      </c>
      <c r="N61">
        <f t="shared" si="8"/>
        <v>-1</v>
      </c>
      <c r="O61">
        <f t="shared" si="9"/>
        <v>1</v>
      </c>
      <c r="P61">
        <v>0</v>
      </c>
    </row>
    <row r="62" spans="1:16" ht="14" customHeight="1" x14ac:dyDescent="0.15">
      <c r="A62" t="s">
        <v>613</v>
      </c>
      <c r="B62" t="str">
        <f>IFERROR(VLOOKUP($A62,Parts!$A$2:$M$200,3,FALSE()),"")</f>
        <v>WEIPU SP13 Kabelstecker, 4-polig</v>
      </c>
      <c r="C62" t="str">
        <f>IFERROR(VLOOKUP($A62,Stock!$A$5:$I$200,8,FALSE()),"")</f>
        <v>Noch festlegen</v>
      </c>
      <c r="D62" t="str">
        <f>IFERROR(VLOOKUP($A62,Stock!$A$5:$I$200,9,FALSE()),"")</f>
        <v/>
      </c>
      <c r="E62">
        <f>SUMIFS(Kit_BOM!$F$2:$F$204,Kit_BOM!$E$2:$E$204,$A62,Kit_BOM!$A$2:$A$204,$A$5,Kit_BOM!$G$2:$G$204,"Bestücken")*$C$5+SUMIFS(Kit_BOM!$F$2:$F$204,Kit_BOM!$E$2:$E$204,$A62,Kit_BOM!$A$2:$A$204,$A$5,Kit_BOM!$G$2:$G$204,"Mechanical")*$C$5+IF($F$5="Ja",SUMIFS(Kit_BOM!$F$2:$F$204,Kit_BOM!$E$2:$E$204,$A62,Kit_BOM!$A$2:$A$204,$A$5,Kit_BOM!$G$2:$G$204,"Optional")*$C$5,0)+IF($F$6="Ja",SUMIFS(Kit_BOM!$F$2:$F$204,Kit_BOM!$E$2:$E$204,$A62,Kit_BOM!$A$2:$A$204,$A$5,Kit_BOM!$G$2:$G$204,"DNP")*$C$5,0)+SUMIFS(Kit_BOM!$F$2:$F$204,Kit_BOM!$E$2:$E$204,$A62,Kit_BOM!$A$2:$A$204,$A$6,Kit_BOM!$G$2:$G$204,"Bestücken")*$C$6+SUMIFS(Kit_BOM!$F$2:$F$204,Kit_BOM!$E$2:$E$204,$A62,Kit_BOM!$A$2:$A$204,$A$6,Kit_BOM!$G$2:$G$204,"Mechanical")*$C$6+IF($F$5="Ja",SUMIFS(Kit_BOM!$F$2:$F$204,Kit_BOM!$E$2:$E$204,$A62,Kit_BOM!$A$2:$A$204,$A$6,Kit_BOM!$G$2:$G$204,"Optional")*$C$6,0)+IF($F$6="Ja",SUMIFS(Kit_BOM!$F$2:$F$204,Kit_BOM!$E$2:$E$204,$A62,Kit_BOM!$A$2:$A$204,$A$6,Kit_BOM!$G$2:$G$204,"DNP")*$C$6,0)+SUMIFS(Kit_BOM!$F$2:$F$204,Kit_BOM!$E$2:$E$204,$A62,Kit_BOM!$A$2:$A$204,$A$7,Kit_BOM!$G$2:$G$204,"Bestücken")*$C$7+SUMIFS(Kit_BOM!$F$2:$F$204,Kit_BOM!$E$2:$E$204,$A62,Kit_BOM!$A$2:$A$204,$A$7,Kit_BOM!$G$2:$G$204,"Mechanical")*$C$7+IF($F$5="Ja",SUMIFS(Kit_BOM!$F$2:$F$204,Kit_BOM!$E$2:$E$204,$A62,Kit_BOM!$A$2:$A$204,$A$7,Kit_BOM!$G$2:$G$204,"Optional")*$C$7,0)+IF($F$6="Ja",SUMIFS(Kit_BOM!$F$2:$F$204,Kit_BOM!$E$2:$E$204,$A62,Kit_BOM!$A$2:$A$204,$A$7,Kit_BOM!$G$2:$G$204,"DNP")*$C$7,0)+SUMIFS(Kit_BOM!$F$2:$F$204,Kit_BOM!$E$2:$E$204,$A62,Kit_BOM!$A$2:$A$204,$A$8,Kit_BOM!$G$2:$G$204,"Bestücken")*$C$8+SUMIFS(Kit_BOM!$F$2:$F$204,Kit_BOM!$E$2:$E$204,$A62,Kit_BOM!$A$2:$A$204,$A$8,Kit_BOM!$G$2:$G$204,"Mechanical")*$C$8+IF($F$5="Ja",SUMIFS(Kit_BOM!$F$2:$F$204,Kit_BOM!$E$2:$E$204,$A62,Kit_BOM!$A$2:$A$204,$A$8,Kit_BOM!$G$2:$G$204,"Optional")*$C$8,0)+IF($F$6="Ja",SUMIFS(Kit_BOM!$F$2:$F$204,Kit_BOM!$E$2:$E$204,$A62,Kit_BOM!$A$2:$A$204,$A$8,Kit_BOM!$G$2:$G$204,"DNP")*$C$8,0)</f>
        <v>1</v>
      </c>
      <c r="F62" t="str">
        <f>IFERROR(IF(INDEX(Part_Suppliers!$G$2:$G$300,MATCH($A62&amp;"|"&amp;$C62,Part_Suppliers!$K$2:$K$300,0))=0,"",INDEX(Part_Suppliers!$G$2:$G$300,MATCH($A62&amp;"|"&amp;$C62,Part_Suppliers!$K$2:$K$300,0))),"")</f>
        <v/>
      </c>
      <c r="G62">
        <f t="shared" si="5"/>
        <v>1</v>
      </c>
      <c r="H62">
        <f>SUMIFS(Part_Suppliers!$E$2:$E$300,Part_Suppliers!$A$2:$A$300,$A62,Part_Suppliers!$B$2:$B$300,$C62)</f>
        <v>0</v>
      </c>
      <c r="I62">
        <f t="shared" si="6"/>
        <v>0</v>
      </c>
      <c r="J62" t="str">
        <f t="shared" si="7"/>
        <v>Anderer Lieferant</v>
      </c>
      <c r="K62" t="str">
        <f>IFERROR(IF(INDEX(Part_Suppliers!$D$2:$D$300,MATCH($A62&amp;"|"&amp;$C62,Part_Suppliers!$K$2:$K$300,0))=0,"",INDEX(Part_Suppliers!$D$2:$D$300,MATCH($A62&amp;"|"&amp;$C62,Part_Suppliers!$K$2:$K$300,0))),"")</f>
        <v>https://www.weipuconnector.com/products/sp13/</v>
      </c>
      <c r="L62">
        <f>IFERROR(VLOOKUP($A62,Stock!$A$5:$K$200,10,FALSE()),0)</f>
        <v>0</v>
      </c>
      <c r="M62">
        <f>IFERROR(VLOOKUP($A62,Stock!$A$5:$K$200,11,FALSE()),0)</f>
        <v>0</v>
      </c>
      <c r="N62">
        <f t="shared" si="8"/>
        <v>-1</v>
      </c>
      <c r="O62">
        <f t="shared" si="9"/>
        <v>1</v>
      </c>
      <c r="P62">
        <v>0</v>
      </c>
    </row>
    <row r="63" spans="1:16" ht="14" customHeight="1" x14ac:dyDescent="0.15">
      <c r="A63" t="s">
        <v>628</v>
      </c>
      <c r="B63" t="str">
        <f>IFERROR(VLOOKUP($A63,Parts!$A$2:$M$200,3,FALSE()),"")</f>
        <v>DC-Einbaubuchse 5,5/2,1 mm – EnvNode 5-V-Versorgung</v>
      </c>
      <c r="C63" t="str">
        <f>IFERROR(VLOOKUP($A63,Stock!$A$5:$I$200,8,FALSE()),"")</f>
        <v>Reichelt</v>
      </c>
      <c r="D63" t="str">
        <f>IFERROR(VLOOKUP($A63,Stock!$A$5:$I$200,9,FALSE()),"")</f>
        <v>DELOCK 90174</v>
      </c>
      <c r="E63">
        <f>SUMIFS(Kit_BOM!$F$2:$F$204,Kit_BOM!$E$2:$E$204,$A63,Kit_BOM!$A$2:$A$204,$A$5,Kit_BOM!$G$2:$G$204,"Bestücken")*$C$5+SUMIFS(Kit_BOM!$F$2:$F$204,Kit_BOM!$E$2:$E$204,$A63,Kit_BOM!$A$2:$A$204,$A$5,Kit_BOM!$G$2:$G$204,"Mechanical")*$C$5+IF($F$5="Ja",SUMIFS(Kit_BOM!$F$2:$F$204,Kit_BOM!$E$2:$E$204,$A63,Kit_BOM!$A$2:$A$204,$A$5,Kit_BOM!$G$2:$G$204,"Optional")*$C$5,0)+IF($F$6="Ja",SUMIFS(Kit_BOM!$F$2:$F$204,Kit_BOM!$E$2:$E$204,$A63,Kit_BOM!$A$2:$A$204,$A$5,Kit_BOM!$G$2:$G$204,"DNP")*$C$5,0)+SUMIFS(Kit_BOM!$F$2:$F$204,Kit_BOM!$E$2:$E$204,$A63,Kit_BOM!$A$2:$A$204,$A$6,Kit_BOM!$G$2:$G$204,"Bestücken")*$C$6+SUMIFS(Kit_BOM!$F$2:$F$204,Kit_BOM!$E$2:$E$204,$A63,Kit_BOM!$A$2:$A$204,$A$6,Kit_BOM!$G$2:$G$204,"Mechanical")*$C$6+IF($F$5="Ja",SUMIFS(Kit_BOM!$F$2:$F$204,Kit_BOM!$E$2:$E$204,$A63,Kit_BOM!$A$2:$A$204,$A$6,Kit_BOM!$G$2:$G$204,"Optional")*$C$6,0)+IF($F$6="Ja",SUMIFS(Kit_BOM!$F$2:$F$204,Kit_BOM!$E$2:$E$204,$A63,Kit_BOM!$A$2:$A$204,$A$6,Kit_BOM!$G$2:$G$204,"DNP")*$C$6,0)+SUMIFS(Kit_BOM!$F$2:$F$204,Kit_BOM!$E$2:$E$204,$A63,Kit_BOM!$A$2:$A$204,$A$7,Kit_BOM!$G$2:$G$204,"Bestücken")*$C$7+SUMIFS(Kit_BOM!$F$2:$F$204,Kit_BOM!$E$2:$E$204,$A63,Kit_BOM!$A$2:$A$204,$A$7,Kit_BOM!$G$2:$G$204,"Mechanical")*$C$7+IF($F$5="Ja",SUMIFS(Kit_BOM!$F$2:$F$204,Kit_BOM!$E$2:$E$204,$A63,Kit_BOM!$A$2:$A$204,$A$7,Kit_BOM!$G$2:$G$204,"Optional")*$C$7,0)+IF($F$6="Ja",SUMIFS(Kit_BOM!$F$2:$F$204,Kit_BOM!$E$2:$E$204,$A63,Kit_BOM!$A$2:$A$204,$A$7,Kit_BOM!$G$2:$G$204,"DNP")*$C$7,0)+SUMIFS(Kit_BOM!$F$2:$F$204,Kit_BOM!$E$2:$E$204,$A63,Kit_BOM!$A$2:$A$204,$A$8,Kit_BOM!$G$2:$G$204,"Bestücken")*$C$8+SUMIFS(Kit_BOM!$F$2:$F$204,Kit_BOM!$E$2:$E$204,$A63,Kit_BOM!$A$2:$A$204,$A$8,Kit_BOM!$G$2:$G$204,"Mechanical")*$C$8+IF($F$5="Ja",SUMIFS(Kit_BOM!$F$2:$F$204,Kit_BOM!$E$2:$E$204,$A63,Kit_BOM!$A$2:$A$204,$A$8,Kit_BOM!$G$2:$G$204,"Optional")*$C$8,0)+IF($F$6="Ja",SUMIFS(Kit_BOM!$F$2:$F$204,Kit_BOM!$E$2:$E$204,$A63,Kit_BOM!$A$2:$A$204,$A$8,Kit_BOM!$G$2:$G$204,"DNP")*$C$8,0)</f>
        <v>1</v>
      </c>
      <c r="F63" t="str">
        <f>IFERROR(IF(INDEX(Part_Suppliers!$G$2:$G$300,MATCH($A63&amp;"|"&amp;$C63,Part_Suppliers!$K$2:$K$300,0))=0,"",INDEX(Part_Suppliers!$G$2:$G$300,MATCH($A63&amp;"|"&amp;$C63,Part_Suppliers!$K$2:$K$300,0))),"")</f>
        <v/>
      </c>
      <c r="G63">
        <f t="shared" si="5"/>
        <v>1</v>
      </c>
      <c r="H63">
        <f>SUMIFS(Part_Suppliers!$E$2:$E$300,Part_Suppliers!$A$2:$A$300,$A63,Part_Suppliers!$B$2:$B$300,$C63)</f>
        <v>5.75</v>
      </c>
      <c r="I63">
        <f t="shared" si="6"/>
        <v>5.75</v>
      </c>
      <c r="J63" t="str">
        <f t="shared" si="7"/>
        <v>Reichelt bereit</v>
      </c>
      <c r="K63" t="str">
        <f>IFERROR(IF(INDEX(Part_Suppliers!$D$2:$D$300,MATCH($A63&amp;"|"&amp;$C63,Part_Suppliers!$K$2:$K$300,0))=0,"",INDEX(Part_Suppliers!$D$2:$D$300,MATCH($A63&amp;"|"&amp;$C63,Part_Suppliers!$K$2:$K$300,0))),"")</f>
        <v>https://www.reichelt.de/de/de/shop/produkt/steckverbinder_dc_5_5_x_2_1_mm_buchse_zum_einbau_loetversion-371063</v>
      </c>
      <c r="L63">
        <f>IFERROR(VLOOKUP($A63,Stock!$A$5:$K$200,10,FALSE()),0)</f>
        <v>0</v>
      </c>
      <c r="M63">
        <f>IFERROR(VLOOKUP($A63,Stock!$A$5:$K$200,11,FALSE()),0)</f>
        <v>0</v>
      </c>
      <c r="N63">
        <f t="shared" si="8"/>
        <v>-1</v>
      </c>
      <c r="O63">
        <f t="shared" si="9"/>
        <v>1</v>
      </c>
      <c r="P63">
        <v>0</v>
      </c>
    </row>
    <row r="64" spans="1:16" ht="14" customHeight="1" x14ac:dyDescent="0.15">
      <c r="A64" t="s">
        <v>635</v>
      </c>
      <c r="B64" t="str">
        <f>IFERROR(VLOOKUP($A64,Parts!$A$2:$M$200,3,FALSE()),"")</f>
        <v>USB-C-Buchse, 16-polig, USB 2.0, Top-Mount</v>
      </c>
      <c r="C64" t="str">
        <f>IFERROR(VLOOKUP($A64,Stock!$A$5:$I$200,8,FALSE()),"")</f>
        <v>DigiKey</v>
      </c>
      <c r="D64" t="str">
        <f>IFERROR(VLOOKUP($A64,Stock!$A$5:$I$200,9,FALSE()),"")</f>
        <v>2073-USB4105-GF-ACT-ND</v>
      </c>
      <c r="E64">
        <f>SUMIFS(Kit_BOM!$F$2:$F$204,Kit_BOM!$E$2:$E$204,$A64,Kit_BOM!$A$2:$A$204,$A$5,Kit_BOM!$G$2:$G$204,"Bestücken")*$C$5+SUMIFS(Kit_BOM!$F$2:$F$204,Kit_BOM!$E$2:$E$204,$A64,Kit_BOM!$A$2:$A$204,$A$5,Kit_BOM!$G$2:$G$204,"Mechanical")*$C$5+IF($F$5="Ja",SUMIFS(Kit_BOM!$F$2:$F$204,Kit_BOM!$E$2:$E$204,$A64,Kit_BOM!$A$2:$A$204,$A$5,Kit_BOM!$G$2:$G$204,"Optional")*$C$5,0)+IF($F$6="Ja",SUMIFS(Kit_BOM!$F$2:$F$204,Kit_BOM!$E$2:$E$204,$A64,Kit_BOM!$A$2:$A$204,$A$5,Kit_BOM!$G$2:$G$204,"DNP")*$C$5,0)+SUMIFS(Kit_BOM!$F$2:$F$204,Kit_BOM!$E$2:$E$204,$A64,Kit_BOM!$A$2:$A$204,$A$6,Kit_BOM!$G$2:$G$204,"Bestücken")*$C$6+SUMIFS(Kit_BOM!$F$2:$F$204,Kit_BOM!$E$2:$E$204,$A64,Kit_BOM!$A$2:$A$204,$A$6,Kit_BOM!$G$2:$G$204,"Mechanical")*$C$6+IF($F$5="Ja",SUMIFS(Kit_BOM!$F$2:$F$204,Kit_BOM!$E$2:$E$204,$A64,Kit_BOM!$A$2:$A$204,$A$6,Kit_BOM!$G$2:$G$204,"Optional")*$C$6,0)+IF($F$6="Ja",SUMIFS(Kit_BOM!$F$2:$F$204,Kit_BOM!$E$2:$E$204,$A64,Kit_BOM!$A$2:$A$204,$A$6,Kit_BOM!$G$2:$G$204,"DNP")*$C$6,0)+SUMIFS(Kit_BOM!$F$2:$F$204,Kit_BOM!$E$2:$E$204,$A64,Kit_BOM!$A$2:$A$204,$A$7,Kit_BOM!$G$2:$G$204,"Bestücken")*$C$7+SUMIFS(Kit_BOM!$F$2:$F$204,Kit_BOM!$E$2:$E$204,$A64,Kit_BOM!$A$2:$A$204,$A$7,Kit_BOM!$G$2:$G$204,"Mechanical")*$C$7+IF($F$5="Ja",SUMIFS(Kit_BOM!$F$2:$F$204,Kit_BOM!$E$2:$E$204,$A64,Kit_BOM!$A$2:$A$204,$A$7,Kit_BOM!$G$2:$G$204,"Optional")*$C$7,0)+IF($F$6="Ja",SUMIFS(Kit_BOM!$F$2:$F$204,Kit_BOM!$E$2:$E$204,$A64,Kit_BOM!$A$2:$A$204,$A$7,Kit_BOM!$G$2:$G$204,"DNP")*$C$7,0)+SUMIFS(Kit_BOM!$F$2:$F$204,Kit_BOM!$E$2:$E$204,$A64,Kit_BOM!$A$2:$A$204,$A$8,Kit_BOM!$G$2:$G$204,"Bestücken")*$C$8+SUMIFS(Kit_BOM!$F$2:$F$204,Kit_BOM!$E$2:$E$204,$A64,Kit_BOM!$A$2:$A$204,$A$8,Kit_BOM!$G$2:$G$204,"Mechanical")*$C$8+IF($F$5="Ja",SUMIFS(Kit_BOM!$F$2:$F$204,Kit_BOM!$E$2:$E$204,$A64,Kit_BOM!$A$2:$A$204,$A$8,Kit_BOM!$G$2:$G$204,"Optional")*$C$8,0)+IF($F$6="Ja",SUMIFS(Kit_BOM!$F$2:$F$204,Kit_BOM!$E$2:$E$204,$A64,Kit_BOM!$A$2:$A$204,$A$8,Kit_BOM!$G$2:$G$204,"DNP")*$C$8,0)</f>
        <v>1</v>
      </c>
      <c r="F64" t="str">
        <f>IFERROR(IF(INDEX(Part_Suppliers!$G$2:$G$300,MATCH($A64&amp;"|"&amp;$C64,Part_Suppliers!$K$2:$K$300,0))=0,"",INDEX(Part_Suppliers!$G$2:$G$300,MATCH($A64&amp;"|"&amp;$C64,Part_Suppliers!$K$2:$K$300,0))),"")</f>
        <v/>
      </c>
      <c r="G64">
        <f t="shared" si="5"/>
        <v>1</v>
      </c>
      <c r="H64">
        <f>SUMIFS(Part_Suppliers!$E$2:$E$300,Part_Suppliers!$A$2:$A$300,$A64,Part_Suppliers!$B$2:$B$300,$C64)</f>
        <v>0</v>
      </c>
      <c r="I64">
        <f t="shared" si="6"/>
        <v>0</v>
      </c>
      <c r="J64" t="str">
        <f t="shared" si="7"/>
        <v>Anderer Lieferant</v>
      </c>
      <c r="K64" t="str">
        <f>IFERROR(IF(INDEX(Part_Suppliers!$D$2:$D$300,MATCH($A64&amp;"|"&amp;$C64,Part_Suppliers!$K$2:$K$300,0))=0,"",INDEX(Part_Suppliers!$D$2:$D$300,MATCH($A64&amp;"|"&amp;$C64,Part_Suppliers!$K$2:$K$300,0))),"")</f>
        <v>https://www.digikey.com/en/products/detail/gct/USB4105-GF-A/11198510</v>
      </c>
      <c r="L64">
        <f>IFERROR(VLOOKUP($A64,Stock!$A$5:$K$200,10,FALSE()),0)</f>
        <v>0</v>
      </c>
      <c r="M64">
        <f>IFERROR(VLOOKUP($A64,Stock!$A$5:$K$200,11,FALSE()),0)</f>
        <v>0</v>
      </c>
      <c r="N64">
        <f t="shared" si="8"/>
        <v>-1</v>
      </c>
      <c r="O64">
        <f t="shared" si="9"/>
        <v>1</v>
      </c>
      <c r="P64">
        <v>0</v>
      </c>
    </row>
    <row r="65" spans="1:16" ht="14" customHeight="1" x14ac:dyDescent="0.15">
      <c r="A65" t="s">
        <v>645</v>
      </c>
      <c r="B65" t="str">
        <f>IFERROR(VLOOKUP($A65,Parts!$A$2:$M$200,3,FALSE()),"")</f>
        <v>SMD-Widerstand 5,1 kOhm, 1 %, 1206</v>
      </c>
      <c r="C65" t="str">
        <f>IFERROR(VLOOKUP($A65,Stock!$A$5:$I$200,8,FALSE()),"")</f>
        <v>DigiKey</v>
      </c>
      <c r="D65" t="str">
        <f>IFERROR(VLOOKUP($A65,Stock!$A$5:$I$200,9,FALSE()),"")</f>
        <v>541-5.10KFCT-ND</v>
      </c>
      <c r="E65">
        <f>SUMIFS(Kit_BOM!$F$2:$F$204,Kit_BOM!$E$2:$E$204,$A65,Kit_BOM!$A$2:$A$204,$A$5,Kit_BOM!$G$2:$G$204,"Bestücken")*$C$5+SUMIFS(Kit_BOM!$F$2:$F$204,Kit_BOM!$E$2:$E$204,$A65,Kit_BOM!$A$2:$A$204,$A$5,Kit_BOM!$G$2:$G$204,"Mechanical")*$C$5+IF($F$5="Ja",SUMIFS(Kit_BOM!$F$2:$F$204,Kit_BOM!$E$2:$E$204,$A65,Kit_BOM!$A$2:$A$204,$A$5,Kit_BOM!$G$2:$G$204,"Optional")*$C$5,0)+IF($F$6="Ja",SUMIFS(Kit_BOM!$F$2:$F$204,Kit_BOM!$E$2:$E$204,$A65,Kit_BOM!$A$2:$A$204,$A$5,Kit_BOM!$G$2:$G$204,"DNP")*$C$5,0)+SUMIFS(Kit_BOM!$F$2:$F$204,Kit_BOM!$E$2:$E$204,$A65,Kit_BOM!$A$2:$A$204,$A$6,Kit_BOM!$G$2:$G$204,"Bestücken")*$C$6+SUMIFS(Kit_BOM!$F$2:$F$204,Kit_BOM!$E$2:$E$204,$A65,Kit_BOM!$A$2:$A$204,$A$6,Kit_BOM!$G$2:$G$204,"Mechanical")*$C$6+IF($F$5="Ja",SUMIFS(Kit_BOM!$F$2:$F$204,Kit_BOM!$E$2:$E$204,$A65,Kit_BOM!$A$2:$A$204,$A$6,Kit_BOM!$G$2:$G$204,"Optional")*$C$6,0)+IF($F$6="Ja",SUMIFS(Kit_BOM!$F$2:$F$204,Kit_BOM!$E$2:$E$204,$A65,Kit_BOM!$A$2:$A$204,$A$6,Kit_BOM!$G$2:$G$204,"DNP")*$C$6,0)+SUMIFS(Kit_BOM!$F$2:$F$204,Kit_BOM!$E$2:$E$204,$A65,Kit_BOM!$A$2:$A$204,$A$7,Kit_BOM!$G$2:$G$204,"Bestücken")*$C$7+SUMIFS(Kit_BOM!$F$2:$F$204,Kit_BOM!$E$2:$E$204,$A65,Kit_BOM!$A$2:$A$204,$A$7,Kit_BOM!$G$2:$G$204,"Mechanical")*$C$7+IF($F$5="Ja",SUMIFS(Kit_BOM!$F$2:$F$204,Kit_BOM!$E$2:$E$204,$A65,Kit_BOM!$A$2:$A$204,$A$7,Kit_BOM!$G$2:$G$204,"Optional")*$C$7,0)+IF($F$6="Ja",SUMIFS(Kit_BOM!$F$2:$F$204,Kit_BOM!$E$2:$E$204,$A65,Kit_BOM!$A$2:$A$204,$A$7,Kit_BOM!$G$2:$G$204,"DNP")*$C$7,0)+SUMIFS(Kit_BOM!$F$2:$F$204,Kit_BOM!$E$2:$E$204,$A65,Kit_BOM!$A$2:$A$204,$A$8,Kit_BOM!$G$2:$G$204,"Bestücken")*$C$8+SUMIFS(Kit_BOM!$F$2:$F$204,Kit_BOM!$E$2:$E$204,$A65,Kit_BOM!$A$2:$A$204,$A$8,Kit_BOM!$G$2:$G$204,"Mechanical")*$C$8+IF($F$5="Ja",SUMIFS(Kit_BOM!$F$2:$F$204,Kit_BOM!$E$2:$E$204,$A65,Kit_BOM!$A$2:$A$204,$A$8,Kit_BOM!$G$2:$G$204,"Optional")*$C$8,0)+IF($F$6="Ja",SUMIFS(Kit_BOM!$F$2:$F$204,Kit_BOM!$E$2:$E$204,$A65,Kit_BOM!$A$2:$A$204,$A$8,Kit_BOM!$G$2:$G$204,"DNP")*$C$8,0)</f>
        <v>2</v>
      </c>
      <c r="F65" t="str">
        <f>IFERROR(IF(INDEX(Part_Suppliers!$G$2:$G$300,MATCH($A65&amp;"|"&amp;$C65,Part_Suppliers!$K$2:$K$300,0))=0,"",INDEX(Part_Suppliers!$G$2:$G$300,MATCH($A65&amp;"|"&amp;$C65,Part_Suppliers!$K$2:$K$300,0))),"")</f>
        <v/>
      </c>
      <c r="G65">
        <f t="shared" si="5"/>
        <v>2</v>
      </c>
      <c r="H65">
        <f>SUMIFS(Part_Suppliers!$E$2:$E$300,Part_Suppliers!$A$2:$A$300,$A65,Part_Suppliers!$B$2:$B$300,$C65)</f>
        <v>0.09</v>
      </c>
      <c r="I65">
        <f t="shared" si="6"/>
        <v>0.18</v>
      </c>
      <c r="J65" t="str">
        <f t="shared" si="7"/>
        <v>Anderer Lieferant</v>
      </c>
      <c r="K65" t="str">
        <f>IFERROR(IF(INDEX(Part_Suppliers!$D$2:$D$300,MATCH($A65&amp;"|"&amp;$C65,Part_Suppliers!$K$2:$K$300,0))=0,"",INDEX(Part_Suppliers!$D$2:$D$300,MATCH($A65&amp;"|"&amp;$C65,Part_Suppliers!$K$2:$K$300,0))),"")</f>
        <v>https://www.digikey.com/en/products/detail/vishay-dale/CRCW12065K10FKEA/1176724</v>
      </c>
      <c r="L65">
        <f>IFERROR(VLOOKUP($A65,Stock!$A$5:$K$200,10,FALSE()),0)</f>
        <v>0</v>
      </c>
      <c r="M65">
        <f>IFERROR(VLOOKUP($A65,Stock!$A$5:$K$200,11,FALSE()),0)</f>
        <v>0</v>
      </c>
      <c r="N65">
        <f t="shared" si="8"/>
        <v>-2</v>
      </c>
      <c r="O65">
        <f t="shared" si="9"/>
        <v>2</v>
      </c>
      <c r="P65">
        <v>0</v>
      </c>
    </row>
    <row r="66" spans="1:16" ht="14" customHeight="1" x14ac:dyDescent="0.15">
      <c r="N66">
        <f>SUM(N14:N65)</f>
        <v>89</v>
      </c>
      <c r="O66">
        <f>SUM(O14:O65)</f>
        <v>31</v>
      </c>
      <c r="P66">
        <f>SUM(P14:P65)</f>
        <v>0</v>
      </c>
    </row>
  </sheetData>
  <mergeCells count="3">
    <mergeCell ref="A1:K1"/>
    <mergeCell ref="A2:K2"/>
    <mergeCell ref="F8:K9"/>
  </mergeCells>
  <conditionalFormatting sqref="A14:K51">
    <cfRule type="expression" dxfId="6" priority="5">
      <formula>$E14=0</formula>
    </cfRule>
  </conditionalFormatting>
  <conditionalFormatting sqref="J14:J51">
    <cfRule type="containsText" dxfId="5" priority="2" operator="containsText" text="Reichelt bereit">
      <formula>NOT(ISERROR(SEARCH("Reichelt bereit",J14)))</formula>
    </cfRule>
    <cfRule type="containsText" dxfId="4" priority="3" operator="containsText" text="Anderer Lieferant">
      <formula>NOT(ISERROR(SEARCH("Anderer Lieferant",J14)))</formula>
    </cfRule>
    <cfRule type="containsText" dxfId="3" priority="4" operator="containsText" text="Supplier-PN fehlt">
      <formula>NOT(ISERROR(SEARCH("Supplier-PN fehlt",J14)))</formula>
    </cfRule>
  </conditionalFormatting>
  <conditionalFormatting sqref="N14:N58">
    <cfRule type="cellIs" dxfId="2" priority="6" operator="lessThan">
      <formula>0</formula>
    </cfRule>
    <cfRule type="cellIs" dxfId="1" priority="7" operator="greaterThanOrEqual">
      <formula>0</formula>
    </cfRule>
  </conditionalFormatting>
  <conditionalFormatting sqref="O14:O58">
    <cfRule type="cellIs" dxfId="0" priority="8" operator="greaterThan">
      <formula>0</formula>
    </cfRule>
  </conditionalFormatting>
  <dataValidations count="3">
    <dataValidation type="whole" sqref="C5:C8" xr:uid="{00000000-0002-0000-0300-000000000000}">
      <formula1>0</formula1>
      <formula2>999</formula2>
    </dataValidation>
    <dataValidation type="list" sqref="F5:F6" xr:uid="{00000000-0002-0000-0300-000001000000}">
      <formula1>"Nein,Ja"</formula1>
      <formula2>0</formula2>
    </dataValidation>
    <dataValidation type="whole" sqref="P14:P65" xr:uid="{00000000-0002-0000-0300-000002000000}">
      <formula1>0</formula1>
      <formula2>999999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00"/>
  <sheetViews>
    <sheetView showGridLines="0" topLeftCell="L1" zoomScaleNormal="100" workbookViewId="0">
      <selection activeCell="S2" sqref="S2"/>
    </sheetView>
  </sheetViews>
  <sheetFormatPr baseColWidth="10" defaultColWidth="8.83203125" defaultRowHeight="13" x14ac:dyDescent="0.15"/>
  <cols>
    <col min="1" max="1" width="14" customWidth="1"/>
    <col min="2" max="2" width="16" customWidth="1"/>
    <col min="3" max="3" width="32" customWidth="1"/>
    <col min="4" max="4" width="22" customWidth="1"/>
    <col min="5" max="5" width="42" customWidth="1"/>
    <col min="6" max="6" width="22" customWidth="1"/>
    <col min="7" max="7" width="24" customWidth="1"/>
    <col min="8" max="8" width="16" customWidth="1"/>
    <col min="9" max="9" width="22" customWidth="1"/>
    <col min="10" max="11" width="11" customWidth="1"/>
    <col min="12" max="12" width="30" customWidth="1"/>
    <col min="13" max="13" width="48" customWidth="1"/>
    <col min="14" max="14" width="22" customWidth="1"/>
    <col min="15" max="15" width="15" customWidth="1"/>
    <col min="17" max="17" width="18" customWidth="1"/>
    <col min="18" max="18" width="24" customWidth="1"/>
    <col min="19" max="19" width="2" customWidth="1"/>
  </cols>
  <sheetData>
    <row r="1" spans="1:19" ht="26" customHeight="1" x14ac:dyDescent="0.15">
      <c r="A1" s="2" t="s">
        <v>808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Q1" s="1" t="s">
        <v>809</v>
      </c>
      <c r="R1" s="1"/>
    </row>
    <row r="2" spans="1:19" ht="26" customHeight="1" x14ac:dyDescent="0.2">
      <c r="A2" s="4" t="s">
        <v>810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Q2" s="52" t="s">
        <v>811</v>
      </c>
      <c r="R2" s="53">
        <v>13</v>
      </c>
    </row>
    <row r="3" spans="1:19" ht="15" x14ac:dyDescent="0.2">
      <c r="Q3" s="52" t="s">
        <v>812</v>
      </c>
      <c r="R3" s="54">
        <f>INT((R2-1)/3)+1</f>
        <v>5</v>
      </c>
    </row>
    <row r="4" spans="1:19" ht="15" customHeight="1" x14ac:dyDescent="0.2">
      <c r="A4" s="29" t="s">
        <v>750</v>
      </c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55" t="s">
        <v>795</v>
      </c>
      <c r="I4" s="55" t="s">
        <v>796</v>
      </c>
      <c r="J4" s="29" t="s">
        <v>803</v>
      </c>
      <c r="K4" s="29" t="s">
        <v>804</v>
      </c>
      <c r="L4" s="29" t="s">
        <v>7</v>
      </c>
      <c r="M4" s="29" t="s">
        <v>11</v>
      </c>
      <c r="N4" s="47" t="s">
        <v>813</v>
      </c>
      <c r="O4" s="56" t="s">
        <v>814</v>
      </c>
      <c r="Q4" s="52" t="s">
        <v>815</v>
      </c>
      <c r="R4" s="54">
        <f>MOD(R2-1,3)+1</f>
        <v>1</v>
      </c>
      <c r="S4" s="57" t="s">
        <v>816</v>
      </c>
    </row>
    <row r="5" spans="1:19" ht="39.5" customHeight="1" x14ac:dyDescent="0.2">
      <c r="A5" t="s">
        <v>13</v>
      </c>
      <c r="B5" t="str">
        <f>IFERROR(IF(VLOOKUP($A5,Parts!$A$2:$M$200,2,FALSE())=0,"",VLOOKUP($A5,Parts!$A$2:$M$200,2,FALSE())),"")</f>
        <v>Kabelsatz</v>
      </c>
      <c r="C5" s="48" t="str">
        <f>IFERROR(IF(VLOOKUP($A5,Parts!$A$2:$M$200,3,FALSE())=0,"",VLOOKUP($A5,Parts!$A$2:$M$200,3,FALSE())),"")</f>
        <v>Set, SET JST-PH 4-polig 2.00mm vertikaler PCB-Stecker, Buchse THT</v>
      </c>
      <c r="D5" s="48" t="str">
        <f>IFERROR(IF(VLOOKUP($A5,Parts!$A$2:$M$200,4,FALSE())=0,"",VLOOKUP($A5,Parts!$A$2:$M$200,4,FALSE())),"")</f>
        <v>JST-PH, 4-polig, Set</v>
      </c>
      <c r="E5" s="48" t="str">
        <f>IFERROR(IF(VLOOKUP($A5,Parts!$A$2:$M$200,5,FALSE())=0,"",VLOOKUP($A5,Parts!$A$2:$M$200,5,FALSE())),"")</f>
        <v/>
      </c>
      <c r="F5" t="str">
        <f>IFERROR(IF(VLOOKUP($A5,Parts!$A$2:$M$200,6,FALSE())=0,"",VLOOKUP($A5,Parts!$A$2:$M$200,6,FALSE())),"")</f>
        <v>JST</v>
      </c>
      <c r="G5" t="str">
        <f>IFERROR(IF(VLOOKUP($A5,Parts!$A$2:$M$200,7,FALSE())=0,"",VLOOKUP($A5,Parts!$A$2:$M$200,7,FALSE())),"")</f>
        <v/>
      </c>
      <c r="H5" s="58" t="s">
        <v>817</v>
      </c>
      <c r="I5" t="str">
        <f>IF(OR($A5="",$H5=""),"",IFERROR(IF(INDEX(Part_Suppliers!$C$2:$C$300,MATCH($A5&amp;"|"&amp;$H5,Part_Suppliers!$K$2:$K$300,0))=0,"",INDEX(Part_Suppliers!$C$2:$C$300,MATCH($A5&amp;"|"&amp;$H5,Part_Suppliers!$K$2:$K$300,0))),""))</f>
        <v/>
      </c>
      <c r="J5" s="50">
        <v>10</v>
      </c>
      <c r="K5" s="50">
        <v>0</v>
      </c>
      <c r="L5" s="48" t="str">
        <f>IFERROR(IF(VLOOKUP($A5,Parts!$A$2:$M$200,8,FALSE())=0,"",VLOOKUP($A5,Parts!$A$2:$M$200,8,FALSE())),"")</f>
        <v>EnvNode</v>
      </c>
      <c r="M5" s="48" t="str">
        <f>IFERROR(IF(VLOOKUP($A5,Parts!$A$2:$M$200,12,FALSE())=0,"",VLOOKUP($A5,Parts!$A$2:$M$200,12,FALSE())),"")</f>
        <v>GPIO-Anschlüsse; exakte Herstellerartikelnummer vor Bestellung gegen Footprint und Orientierung prüfen Set-Inhalt gegenüber dem separat aus KiCad abgeleiteten PCB-Header prüfen.</v>
      </c>
      <c r="N5" s="59"/>
      <c r="O5" s="60" t="s">
        <v>818</v>
      </c>
      <c r="Q5" s="52" t="s">
        <v>819</v>
      </c>
      <c r="R5" s="54" t="s">
        <v>820</v>
      </c>
      <c r="S5" t="str">
        <f>IF(O5="drucken",COUNTIF($O$5:O5,"drucken"),"")</f>
        <v/>
      </c>
    </row>
    <row r="6" spans="1:19" ht="39.5" customHeight="1" x14ac:dyDescent="0.2">
      <c r="A6" t="s">
        <v>24</v>
      </c>
      <c r="B6" t="str">
        <f>IFERROR(IF(VLOOKUP($A6,Parts!$A$2:$M$200,2,FALSE())=0,"",VLOOKUP($A6,Parts!$A$2:$M$200,2,FALSE())),"")</f>
        <v>Kabelsatz</v>
      </c>
      <c r="C6" s="48" t="str">
        <f>IFERROR(IF(VLOOKUP($A6,Parts!$A$2:$M$200,3,FALSE())=0,"",VLOOKUP($A6,Parts!$A$2:$M$200,3,FALSE())),"")</f>
        <v>Qwiic/JST-SH, 4-poliges Pigtail JST</v>
      </c>
      <c r="D6" s="48" t="str">
        <f>IFERROR(IF(VLOOKUP($A6,Parts!$A$2:$M$200,4,FALSE())=0,"",VLOOKUP($A6,Parts!$A$2:$M$200,4,FALSE())),"")</f>
        <v>JST-SH/Qwiic, 4-polig</v>
      </c>
      <c r="E6" s="48" t="str">
        <f>IFERROR(IF(VLOOKUP($A6,Parts!$A$2:$M$200,5,FALSE())=0,"",VLOOKUP($A6,Parts!$A$2:$M$200,5,FALSE())),"")</f>
        <v/>
      </c>
      <c r="F6" t="str">
        <f>IFERROR(IF(VLOOKUP($A6,Parts!$A$2:$M$200,6,FALSE())=0,"",VLOOKUP($A6,Parts!$A$2:$M$200,6,FALSE())),"")</f>
        <v>JST</v>
      </c>
      <c r="G6" t="str">
        <f>IFERROR(IF(VLOOKUP($A6,Parts!$A$2:$M$200,7,FALSE())=0,"",VLOOKUP($A6,Parts!$A$2:$M$200,7,FALSE())),"")</f>
        <v/>
      </c>
      <c r="H6" s="58" t="s">
        <v>817</v>
      </c>
      <c r="I6" t="str">
        <f>IF(OR($A6="",$H6=""),"",IFERROR(IF(INDEX(Part_Suppliers!$C$2:$C$300,MATCH($A6&amp;"|"&amp;$H6,Part_Suppliers!$K$2:$K$300,0))=0,"",INDEX(Part_Suppliers!$C$2:$C$300,MATCH($A6&amp;"|"&amp;$H6,Part_Suppliers!$K$2:$K$300,0))),""))</f>
        <v/>
      </c>
      <c r="J6" s="50">
        <v>10</v>
      </c>
      <c r="K6" s="50">
        <v>0</v>
      </c>
      <c r="L6" s="48" t="str">
        <f>IFERROR(IF(VLOOKUP($A6,Parts!$A$2:$M$200,8,FALSE())=0,"",VLOOKUP($A6,Parts!$A$2:$M$200,8,FALSE())),"")</f>
        <v>EnvNode</v>
      </c>
      <c r="M6" s="48" t="str">
        <f>IFERROR(IF(VLOOKUP($A6,Parts!$A$2:$M$200,12,FALSE())=0,"",VLOOKUP($A6,Parts!$A$2:$M$200,12,FALSE())),"")</f>
        <v>Qwiic-Konvention: GND=schwarz, 3V3=rot, SDA=blau, SCL=gelb; Kabelbelegung vor Anschluss prüfen Pigtail ist ein Beschaffungsartikel und nicht der PCB-Steckverbinder.</v>
      </c>
      <c r="N6" s="59"/>
      <c r="O6" s="60" t="s">
        <v>818</v>
      </c>
      <c r="Q6" s="52" t="s">
        <v>788</v>
      </c>
      <c r="R6" s="54" t="s">
        <v>821</v>
      </c>
      <c r="S6" t="str">
        <f>IF(O6="drucken",COUNTIF($O$5:O6,"drucken"),"")</f>
        <v/>
      </c>
    </row>
    <row r="7" spans="1:19" ht="26.25" customHeight="1" x14ac:dyDescent="0.2">
      <c r="A7" t="s">
        <v>30</v>
      </c>
      <c r="B7" t="str">
        <f>IFERROR(IF(VLOOKUP($A7,Parts!$A$2:$M$200,2,FALSE())=0,"",VLOOKUP($A7,Parts!$A$2:$M$200,2,FALSE())),"")</f>
        <v>Steckverbinder</v>
      </c>
      <c r="C7" s="48" t="str">
        <f>IFERROR(IF(VLOOKUP($A7,Parts!$A$2:$M$200,3,FALSE())=0,"",VLOOKUP($A7,Parts!$A$2:$M$200,3,FALSE())),"")</f>
        <v>PinSocket 1x4, 2.54 mm</v>
      </c>
      <c r="D7" s="48" t="str">
        <f>IFERROR(IF(VLOOKUP($A7,Parts!$A$2:$M$200,4,FALSE())=0,"",VLOOKUP($A7,Parts!$A$2:$M$200,4,FALSE())),"")</f>
        <v>1x4, 2,54 mm</v>
      </c>
      <c r="E7" s="48" t="str">
        <f>IFERROR(IF(VLOOKUP($A7,Parts!$A$2:$M$200,5,FALSE())=0,"",VLOOKUP($A7,Parts!$A$2:$M$200,5,FALSE())),"")</f>
        <v>PinSocket_1x04_P2.54mm_Vertical</v>
      </c>
      <c r="F7" t="str">
        <f>IFERROR(IF(VLOOKUP($A7,Parts!$A$2:$M$200,6,FALSE())=0,"",VLOOKUP($A7,Parts!$A$2:$M$200,6,FALSE())),"")</f>
        <v>fischer Elektronik</v>
      </c>
      <c r="G7">
        <f>IFERROR(IF(VLOOKUP($A7,Parts!$A$2:$M$200,7,FALSE())=0,"",VLOOKUP($A7,Parts!$A$2:$M$200,7,FALSE())),"")</f>
        <v>10120946</v>
      </c>
      <c r="H7" s="58" t="s">
        <v>822</v>
      </c>
      <c r="I7" t="str">
        <f>IF(OR($A7="",$H7=""),"",IFERROR(IF(INDEX(Part_Suppliers!$C$2:$C$300,MATCH($A7&amp;"|"&amp;$H7,Part_Suppliers!$K$2:$K$300,0))=0,"",INDEX(Part_Suppliers!$C$2:$C$300,MATCH($A7&amp;"|"&amp;$H7,Part_Suppliers!$K$2:$K$300,0))),""))</f>
        <v>BKL 10120946</v>
      </c>
      <c r="J7" s="50">
        <v>4</v>
      </c>
      <c r="K7" s="50">
        <v>0</v>
      </c>
      <c r="L7" s="48" t="str">
        <f>IFERROR(IF(VLOOKUP($A7,Parts!$A$2:$M$200,8,FALSE())=0,"",VLOOKUP($A7,Parts!$A$2:$M$200,8,FALSE())),"")</f>
        <v>EnvNode; RainDetector</v>
      </c>
      <c r="M7" s="48" t="str">
        <f>IFERROR(IF(VLOOKUP($A7,Parts!$A$2:$M$200,12,FALSE())=0,"",VLOOKUP($A7,Parts!$A$2:$M$200,12,FALSE())),"")</f>
        <v>Für interne Qwiic-Breakouts; Bauhöhe und Ausführung passend zur Mechanik wählen</v>
      </c>
      <c r="N7" s="59"/>
      <c r="O7" s="60" t="s">
        <v>818</v>
      </c>
      <c r="Q7" s="61" t="s">
        <v>823</v>
      </c>
      <c r="R7" s="62" t="s">
        <v>824</v>
      </c>
      <c r="S7" t="str">
        <f>IF(O7="drucken",COUNTIF($O$5:O7,"drucken"),"")</f>
        <v/>
      </c>
    </row>
    <row r="8" spans="1:19" ht="26.25" customHeight="1" x14ac:dyDescent="0.2">
      <c r="A8" t="s">
        <v>40</v>
      </c>
      <c r="B8" t="str">
        <f>IFERROR(IF(VLOOKUP($A8,Parts!$A$2:$M$200,2,FALSE())=0,"",VLOOKUP($A8,Parts!$A$2:$M$200,2,FALSE())),"")</f>
        <v>Steckverbinder</v>
      </c>
      <c r="C8" s="48" t="str">
        <f>IFERROR(IF(VLOOKUP($A8,Parts!$A$2:$M$200,3,FALSE())=0,"",VLOOKUP($A8,Parts!$A$2:$M$200,3,FALSE())),"")</f>
        <v>PinSocket 1x20, 2.54mm, cut to 19 Pins</v>
      </c>
      <c r="D8" s="48" t="str">
        <f>IFERROR(IF(VLOOKUP($A8,Parts!$A$2:$M$200,4,FALSE())=0,"",VLOOKUP($A8,Parts!$A$2:$M$200,4,FALSE())),"")</f>
        <v>1x20, 2,54 mm, trennbar</v>
      </c>
      <c r="E8" s="48" t="str">
        <f>IFERROR(IF(VLOOKUP($A8,Parts!$A$2:$M$200,5,FALSE())=0,"",VLOOKUP($A8,Parts!$A$2:$M$200,5,FALSE())),"")</f>
        <v/>
      </c>
      <c r="F8" t="str">
        <f>IFERROR(IF(VLOOKUP($A8,Parts!$A$2:$M$200,6,FALSE())=0,"",VLOOKUP($A8,Parts!$A$2:$M$200,6,FALSE())),"")</f>
        <v>fischer Elektronik</v>
      </c>
      <c r="G8" t="str">
        <f>IFERROR(IF(VLOOKUP($A8,Parts!$A$2:$M$200,7,FALSE())=0,"",VLOOKUP($A8,Parts!$A$2:$M$200,7,FALSE())),"")</f>
        <v>BL1.20 G</v>
      </c>
      <c r="H8" s="58" t="s">
        <v>822</v>
      </c>
      <c r="I8" t="str">
        <f>IF(OR($A8="",$H8=""),"",IFERROR(IF(INDEX(Part_Suppliers!$C$2:$C$300,MATCH($A8&amp;"|"&amp;$H8,Part_Suppliers!$K$2:$K$300,0))=0,"",INDEX(Part_Suppliers!$C$2:$C$300,MATCH($A8&amp;"|"&amp;$H8,Part_Suppliers!$K$2:$K$300,0))),""))</f>
        <v>FIS BL1 20 G</v>
      </c>
      <c r="J8" s="50">
        <v>0</v>
      </c>
      <c r="K8" s="50">
        <v>0</v>
      </c>
      <c r="L8" s="48" t="str">
        <f>IFERROR(IF(VLOOKUP($A8,Parts!$A$2:$M$200,8,FALSE())=0,"",VLOOKUP($A8,Parts!$A$2:$M$200,8,FALSE())),"")</f>
        <v>EnvNode</v>
      </c>
      <c r="M8" s="48" t="str">
        <f>IFERROR(IF(VLOOKUP($A8,Parts!$A$2:$M$200,12,FALSE())=0,"",VLOOKUP($A8,Parts!$A$2:$M$200,12,FALSE())),"")</f>
        <v>Für ESP32-DevKitC mit 38 Pins; alternativ eine geeignete 38-Pin-ESP32-Fassung verwenden</v>
      </c>
      <c r="N8" s="59"/>
      <c r="O8" s="60" t="s">
        <v>818</v>
      </c>
      <c r="S8" t="str">
        <f>IF(O8="drucken",COUNTIF($O$5:O8,"drucken"),"")</f>
        <v/>
      </c>
    </row>
    <row r="9" spans="1:19" ht="39.5" customHeight="1" x14ac:dyDescent="0.2">
      <c r="A9" t="s">
        <v>46</v>
      </c>
      <c r="B9" t="str">
        <f>IFERROR(IF(VLOOKUP($A9,Parts!$A$2:$M$200,2,FALSE())=0,"",VLOOKUP($A9,Parts!$A$2:$M$200,2,FALSE())),"")</f>
        <v>Widerstand</v>
      </c>
      <c r="C9" s="48" t="str">
        <f>IFERROR(IF(VLOOKUP($A9,Parts!$A$2:$M$200,3,FALSE())=0,"",VLOOKUP($A9,Parts!$A$2:$M$200,3,FALSE())),"")</f>
        <v>4.7 kOhm 1% SMD 1206</v>
      </c>
      <c r="D9" s="48" t="str">
        <f>IFERROR(IF(VLOOKUP($A9,Parts!$A$2:$M$200,4,FALSE())=0,"",VLOOKUP($A9,Parts!$A$2:$M$200,4,FALSE())),"")</f>
        <v>4,7 kΩ, 1 %, 250 mW</v>
      </c>
      <c r="E9" s="48" t="str">
        <f>IFERROR(IF(VLOOKUP($A9,Parts!$A$2:$M$200,5,FALSE())=0,"",VLOOKUP($A9,Parts!$A$2:$M$200,5,FALSE())),"")</f>
        <v>Resistor_SMD:R_1206_3216Metric_Pad1.30x1.75mm_HandSolder</v>
      </c>
      <c r="F9" t="str">
        <f>IFERROR(IF(VLOOKUP($A9,Parts!$A$2:$M$200,6,FALSE())=0,"",VLOOKUP($A9,Parts!$A$2:$M$200,6,FALSE())),"")</f>
        <v>Vishay</v>
      </c>
      <c r="G9" t="str">
        <f>IFERROR(IF(VLOOKUP($A9,Parts!$A$2:$M$200,7,FALSE())=0,"",VLOOKUP($A9,Parts!$A$2:$M$200,7,FALSE())),"")</f>
        <v>CRCW12064K70FKEA</v>
      </c>
      <c r="H9" s="58" t="s">
        <v>822</v>
      </c>
      <c r="I9" t="str">
        <f>IF(OR($A9="",$H9=""),"",IFERROR(IF(INDEX(Part_Suppliers!$C$2:$C$300,MATCH($A9&amp;"|"&amp;$H9,Part_Suppliers!$K$2:$K$300,0))=0,"",INDEX(Part_Suppliers!$C$2:$C$300,MATCH($A9&amp;"|"&amp;$H9,Part_Suppliers!$K$2:$K$300,0))),""))</f>
        <v>VIS CRCW12064K7</v>
      </c>
      <c r="J9" s="50">
        <v>12</v>
      </c>
      <c r="K9" s="50">
        <v>0</v>
      </c>
      <c r="L9" s="48" t="str">
        <f>IFERROR(IF(VLOOKUP($A9,Parts!$A$2:$M$200,8,FALSE())=0,"",VLOOKUP($A9,Parts!$A$2:$M$200,8,FALSE())),"")</f>
        <v>EnvNode; EnvNodeMini Rev 0.2; AnalogInput Rev 0.1; AnalogHydroPressure</v>
      </c>
      <c r="M9" s="48" t="str">
        <f>IFERROR(IF(VLOOKUP($A9,Parts!$A$2:$M$200,12,FALSE())=0,"",VLOOKUP($A9,Parts!$A$2:$M$200,12,FALSE())),"")</f>
        <v>I2C-Pull-ups für die beiden I2C-Busse</v>
      </c>
      <c r="N9" s="59"/>
      <c r="O9" s="60" t="s">
        <v>818</v>
      </c>
      <c r="S9" t="str">
        <f>IF(O9="drucken",COUNTIF($O$5:O9,"drucken"),"")</f>
        <v/>
      </c>
    </row>
    <row r="10" spans="1:19" ht="52.75" customHeight="1" x14ac:dyDescent="0.2">
      <c r="A10" t="s">
        <v>56</v>
      </c>
      <c r="B10" t="str">
        <f>IFERROR(IF(VLOOKUP($A10,Parts!$A$2:$M$200,2,FALSE())=0,"",VLOOKUP($A10,Parts!$A$2:$M$200,2,FALSE())),"")</f>
        <v>Kondensator</v>
      </c>
      <c r="C10" s="48" t="str">
        <f>IFERROR(IF(VLOOKUP($A10,Parts!$A$2:$M$200,3,FALSE())=0,"",VLOOKUP($A10,Parts!$A$2:$M$200,3,FALSE())),"")</f>
        <v>100 nF Keramik SMD</v>
      </c>
      <c r="D10" s="48" t="str">
        <f>IFERROR(IF(VLOOKUP($A10,Parts!$A$2:$M$200,4,FALSE())=0,"",VLOOKUP($A10,Parts!$A$2:$M$200,4,FALSE())),"")</f>
        <v>100 nF, 10 %, X7R, 100 V</v>
      </c>
      <c r="E10" s="48" t="str">
        <f>IFERROR(IF(VLOOKUP($A10,Parts!$A$2:$M$200,5,FALSE())=0,"",VLOOKUP($A10,Parts!$A$2:$M$200,5,FALSE())),"")</f>
        <v>Capacitor_SMD:C_1206_3216Metric_Pad1.33x1.80mm_HandSolder</v>
      </c>
      <c r="F10" t="str">
        <f>IFERROR(IF(VLOOKUP($A10,Parts!$A$2:$M$200,6,FALSE())=0,"",VLOOKUP($A10,Parts!$A$2:$M$200,6,FALSE())),"")</f>
        <v>Kyocera</v>
      </c>
      <c r="G10" t="str">
        <f>IFERROR(IF(VLOOKUP($A10,Parts!$A$2:$M$200,7,FALSE())=0,"",VLOOKUP($A10,Parts!$A$2:$M$200,7,FALSE())),"")</f>
        <v>C1206F104K1RACTU</v>
      </c>
      <c r="H10" s="58" t="s">
        <v>822</v>
      </c>
      <c r="I10" t="str">
        <f>IF(OR($A10="",$H10=""),"",IFERROR(IF(INDEX(Part_Suppliers!$C$2:$C$300,MATCH($A10&amp;"|"&amp;$H10,Part_Suppliers!$K$2:$K$300,0))=0,"",INDEX(Part_Suppliers!$C$2:$C$300,MATCH($A10&amp;"|"&amp;$H10,Part_Suppliers!$K$2:$K$300,0))),""))</f>
        <v>KEM X7R1206A100N</v>
      </c>
      <c r="J10" s="50">
        <v>0</v>
      </c>
      <c r="K10" s="50">
        <v>10</v>
      </c>
      <c r="L10" s="48" t="str">
        <f>IFERROR(IF(VLOOKUP($A10,Parts!$A$2:$M$200,8,FALSE())=0,"",VLOOKUP($A10,Parts!$A$2:$M$200,8,FALSE())),"")</f>
        <v>EnvNode; EnvNodeMini Rev 0.2; AnalogHydroPressure; RainDetector; SolarRadiation; Empty FullSize/HalfSize SMD/THT; DuoRelay Rev 0.2</v>
      </c>
      <c r="M10" s="48" t="str">
        <f>IFERROR(IF(VLOOKUP($A10,Parts!$A$2:$M$200,12,FALSE())=0,"",VLOOKUP($A10,Parts!$A$2:$M$200,12,FALSE())),"")</f>
        <v>Spannungsfestigkeit, Dielektrikum und Bauform vor Bestellung gegen Schaltplan und Footprint prüfen; C1 ist in allen vier aktuellen Empty-Schemata derzeit DNP; C1 ist im aktuellen DuoRelay-Schema derzeit DNP</v>
      </c>
      <c r="N10" s="59" t="s">
        <v>825</v>
      </c>
      <c r="O10" s="60" t="s">
        <v>818</v>
      </c>
      <c r="S10" t="str">
        <f>IF(O10="drucken",COUNTIF($O$5:O10,"drucken"),"")</f>
        <v/>
      </c>
    </row>
    <row r="11" spans="1:19" ht="26.25" customHeight="1" x14ac:dyDescent="0.2">
      <c r="A11" t="s">
        <v>66</v>
      </c>
      <c r="B11" t="str">
        <f>IFERROR(IF(VLOOKUP($A11,Parts!$A$2:$M$200,2,FALSE())=0,"",VLOOKUP($A11,Parts!$A$2:$M$200,2,FALSE())),"")</f>
        <v>Kondensator</v>
      </c>
      <c r="C11" s="48" t="str">
        <f>IFERROR(IF(VLOOKUP($A11,Parts!$A$2:$M$200,3,FALSE())=0,"",VLOOKUP($A11,Parts!$A$2:$M$200,3,FALSE())),"")</f>
        <v>10 uF Keramik SMD</v>
      </c>
      <c r="D11" s="48" t="str">
        <f>IFERROR(IF(VLOOKUP($A11,Parts!$A$2:$M$200,4,FALSE())=0,"",VLOOKUP($A11,Parts!$A$2:$M$200,4,FALSE())),"")</f>
        <v>10 µF, 25 V, X7R</v>
      </c>
      <c r="E11" s="48" t="str">
        <f>IFERROR(IF(VLOOKUP($A11,Parts!$A$2:$M$200,5,FALSE())=0,"",VLOOKUP($A11,Parts!$A$2:$M$200,5,FALSE())),"")</f>
        <v>Capacitor_SMD:C_1206_3216Metric_Pad1.33x1.80mm_HandSolder</v>
      </c>
      <c r="F11" t="str">
        <f>IFERROR(IF(VLOOKUP($A11,Parts!$A$2:$M$200,6,FALSE())=0,"",VLOOKUP($A11,Parts!$A$2:$M$200,6,FALSE())),"")</f>
        <v>Kyocera AVX</v>
      </c>
      <c r="G11" t="str">
        <f>IFERROR(IF(VLOOKUP($A11,Parts!$A$2:$M$200,7,FALSE())=0,"",VLOOKUP($A11,Parts!$A$2:$M$200,7,FALSE())),"")</f>
        <v>12063C106KAT2A</v>
      </c>
      <c r="H11" s="58" t="s">
        <v>822</v>
      </c>
      <c r="I11" t="str">
        <f>IF(OR($A11="",$H11=""),"",IFERROR(IF(INDEX(Part_Suppliers!$C$2:$C$300,MATCH($A11&amp;"|"&amp;$H11,Part_Suppliers!$K$2:$K$300,0))=0,"",INDEX(Part_Suppliers!$C$2:$C$300,MATCH($A11&amp;"|"&amp;$H11,Part_Suppliers!$K$2:$K$300,0))),""))</f>
        <v>12063C106KAT2A</v>
      </c>
      <c r="J11" s="50">
        <v>0</v>
      </c>
      <c r="K11" s="50">
        <v>10</v>
      </c>
      <c r="L11" s="48" t="str">
        <f>IFERROR(IF(VLOOKUP($A11,Parts!$A$2:$M$200,8,FALSE())=0,"",VLOOKUP($A11,Parts!$A$2:$M$200,8,FALSE())),"")</f>
        <v>EnvNode; EnvNodeMini Rev 0.2</v>
      </c>
      <c r="M11" s="48" t="str">
        <f>IFERROR(IF(VLOOKUP($A11,Parts!$A$2:$M$200,12,FALSE())=0,"",VLOOKUP($A11,Parts!$A$2:$M$200,12,FALSE())),"")</f>
        <v>Spannungsfestigkeit, Dielektrikum und Bauform vor Bestellung gegen Schaltplan und Footprint prüfen</v>
      </c>
      <c r="N11" s="59" t="s">
        <v>825</v>
      </c>
      <c r="O11" s="60" t="s">
        <v>818</v>
      </c>
      <c r="S11" t="str">
        <f>IF(O11="drucken",COUNTIF($O$5:O11,"drucken"),"")</f>
        <v/>
      </c>
    </row>
    <row r="12" spans="1:19" ht="15" customHeight="1" x14ac:dyDescent="0.2">
      <c r="A12" t="s">
        <v>74</v>
      </c>
      <c r="B12" t="str">
        <f>IFERROR(IF(VLOOKUP($A12,Parts!$A$2:$M$200,2,FALSE())=0,"",VLOOKUP($A12,Parts!$A$2:$M$200,2,FALSE())),"")</f>
        <v>Kondensator</v>
      </c>
      <c r="C12" s="48" t="str">
        <f>IFERROR(IF(VLOOKUP($A12,Parts!$A$2:$M$200,3,FALSE())=0,"",VLOOKUP($A12,Parts!$A$2:$M$200,3,FALSE())),"")</f>
        <v>47 uF 10V Tantal</v>
      </c>
      <c r="D12" s="48" t="str">
        <f>IFERROR(IF(VLOOKUP($A12,Parts!$A$2:$M$200,4,FALSE())=0,"",VLOOKUP($A12,Parts!$A$2:$M$200,4,FALSE())),"")</f>
        <v>47 µF, 10 V</v>
      </c>
      <c r="E12" s="48" t="str">
        <f>IFERROR(IF(VLOOKUP($A12,Parts!$A$2:$M$200,5,FALSE())=0,"",VLOOKUP($A12,Parts!$A$2:$M$200,5,FALSE())),"")</f>
        <v>Capacitor_Tantalum_SMD:CP_EIA-3528-21_Kemet-B</v>
      </c>
      <c r="F12" t="str">
        <f>IFERROR(IF(VLOOKUP($A12,Parts!$A$2:$M$200,6,FALSE())=0,"",VLOOKUP($A12,Parts!$A$2:$M$200,6,FALSE())),"")</f>
        <v>Kyocera AVX</v>
      </c>
      <c r="G12" t="str">
        <f>IFERROR(IF(VLOOKUP($A12,Parts!$A$2:$M$200,7,FALSE())=0,"",VLOOKUP($A12,Parts!$A$2:$M$200,7,FALSE())),"")</f>
        <v>TAJB476K010RNJ</v>
      </c>
      <c r="H12" s="58" t="s">
        <v>822</v>
      </c>
      <c r="I12" t="str">
        <f>IF(OR($A12="",$H12=""),"",IFERROR(IF(INDEX(Part_Suppliers!$C$2:$C$300,MATCH($A12&amp;"|"&amp;$H12,Part_Suppliers!$K$2:$K$300,0))=0,"",INDEX(Part_Suppliers!$C$2:$C$300,MATCH($A12&amp;"|"&amp;$H12,Part_Suppliers!$K$2:$K$300,0))),""))</f>
        <v>TAJ 3528 47/10</v>
      </c>
      <c r="J12" s="50">
        <v>0</v>
      </c>
      <c r="K12" s="50">
        <v>0</v>
      </c>
      <c r="L12" s="48" t="str">
        <f>IFERROR(IF(VLOOKUP($A12,Parts!$A$2:$M$200,8,FALSE())=0,"",VLOOKUP($A12,Parts!$A$2:$M$200,8,FALSE())),"")</f>
        <v>EnvNode; EnvNodeMini Rev 0.2</v>
      </c>
      <c r="M12" s="48" t="str">
        <f>IFERROR(IF(VLOOKUP($A12,Parts!$A$2:$M$200,12,FALSE())=0,"",VLOOKUP($A12,Parts!$A$2:$M$200,12,FALSE())),"")</f>
        <v>Polarisiert; Bauform B</v>
      </c>
      <c r="N12" s="59"/>
      <c r="O12" s="60" t="s">
        <v>818</v>
      </c>
      <c r="S12" t="str">
        <f>IF(O12="drucken",COUNTIF($O$5:O12,"drucken"),"")</f>
        <v/>
      </c>
    </row>
    <row r="13" spans="1:19" ht="15" customHeight="1" x14ac:dyDescent="0.2">
      <c r="A13" t="s">
        <v>81</v>
      </c>
      <c r="B13" t="str">
        <f>IFERROR(IF(VLOOKUP($A13,Parts!$A$2:$M$200,2,FALSE())=0,"",VLOOKUP($A13,Parts!$A$2:$M$200,2,FALSE())),"")</f>
        <v>Spannungsregler</v>
      </c>
      <c r="C13" s="48" t="str">
        <f>IFERROR(IF(VLOOKUP($A13,Parts!$A$2:$M$200,3,FALSE())=0,"",VLOOKUP($A13,Parts!$A$2:$M$200,3,FALSE())),"")</f>
        <v>LDO 3.3V SOT-223</v>
      </c>
      <c r="D13" s="48" t="str">
        <f>IFERROR(IF(VLOOKUP($A13,Parts!$A$2:$M$200,4,FALSE())=0,"",VLOOKUP($A13,Parts!$A$2:$M$200,4,FALSE())),"")</f>
        <v>3,3 V, 1 A</v>
      </c>
      <c r="E13" s="48" t="str">
        <f>IFERROR(IF(VLOOKUP($A13,Parts!$A$2:$M$200,5,FALSE())=0,"",VLOOKUP($A13,Parts!$A$2:$M$200,5,FALSE())),"")</f>
        <v>Package_TO_SOT_SMD:SOT-223-3_TabPin2</v>
      </c>
      <c r="F13" t="str">
        <f>IFERROR(IF(VLOOKUP($A13,Parts!$A$2:$M$200,6,FALSE())=0,"",VLOOKUP($A13,Parts!$A$2:$M$200,6,FALSE())),"")</f>
        <v>Texas Instruments</v>
      </c>
      <c r="G13" t="str">
        <f>IFERROR(IF(VLOOKUP($A13,Parts!$A$2:$M$200,7,FALSE())=0,"",VLOOKUP($A13,Parts!$A$2:$M$200,7,FALSE())),"")</f>
        <v>LM3940IMP-3.3/NOPB</v>
      </c>
      <c r="H13" s="58" t="s">
        <v>822</v>
      </c>
      <c r="I13" t="str">
        <f>IF(OR($A13="",$H13=""),"",IFERROR(IF(INDEX(Part_Suppliers!$C$2:$C$300,MATCH($A13&amp;"|"&amp;$H13,Part_Suppliers!$K$2:$K$300,0))=0,"",INDEX(Part_Suppliers!$C$2:$C$300,MATCH($A13&amp;"|"&amp;$H13,Part_Suppliers!$K$2:$K$300,0))),""))</f>
        <v>LM 3940 IMP-3</v>
      </c>
      <c r="J13" s="50">
        <v>0</v>
      </c>
      <c r="K13" s="50">
        <v>3</v>
      </c>
      <c r="L13" s="48" t="str">
        <f>IFERROR(IF(VLOOKUP($A13,Parts!$A$2:$M$200,8,FALSE())=0,"",VLOOKUP($A13,Parts!$A$2:$M$200,8,FALSE())),"")</f>
        <v>EnvNode; EnvNodeMini Rev 0.2</v>
      </c>
      <c r="M13" s="48" t="str">
        <f>IFERROR(IF(VLOOKUP($A13,Parts!$A$2:$M$200,12,FALSE())=0,"",VLOOKUP($A13,Parts!$A$2:$M$200,12,FALSE())),"")</f>
        <v>Footprint und thermische Auslegung vor Bestückung prüfen</v>
      </c>
      <c r="N13" s="59" t="s">
        <v>825</v>
      </c>
      <c r="O13" s="60" t="s">
        <v>818</v>
      </c>
      <c r="S13" t="str">
        <f>IF(O13="drucken",COUNTIF($O$5:O13,"drucken"),"")</f>
        <v/>
      </c>
    </row>
    <row r="14" spans="1:19" ht="39.5" customHeight="1" x14ac:dyDescent="0.2">
      <c r="A14" t="s">
        <v>90</v>
      </c>
      <c r="B14" t="str">
        <f>IFERROR(IF(VLOOKUP($A14,Parts!$A$2:$M$200,2,FALSE())=0,"",VLOOKUP($A14,Parts!$A$2:$M$200,2,FALSE())),"")</f>
        <v>Entwicklungsmodul</v>
      </c>
      <c r="C14" s="48" t="str">
        <f>IFERROR(IF(VLOOKUP($A14,Parts!$A$2:$M$200,3,FALSE())=0,"",VLOOKUP($A14,Parts!$A$2:$M$200,3,FALSE())),"")</f>
        <v>ESP32-DevKitC</v>
      </c>
      <c r="D14" s="48" t="str">
        <f>IFERROR(IF(VLOOKUP($A14,Parts!$A$2:$M$200,4,FALSE())=0,"",VLOOKUP($A14,Parts!$A$2:$M$200,4,FALSE())),"")</f>
        <v>38 Pin</v>
      </c>
      <c r="E14" s="48" t="str">
        <f>IFERROR(IF(VLOOKUP($A14,Parts!$A$2:$M$200,5,FALSE())=0,"",VLOOKUP($A14,Parts!$A$2:$M$200,5,FALSE())),"")</f>
        <v>PCM_Espressif:ESP32-DevKitC</v>
      </c>
      <c r="F14" t="str">
        <f>IFERROR(IF(VLOOKUP($A14,Parts!$A$2:$M$200,6,FALSE())=0,"",VLOOKUP($A14,Parts!$A$2:$M$200,6,FALSE())),"")</f>
        <v>Espressif Systems</v>
      </c>
      <c r="G14" t="str">
        <f>IFERROR(IF(VLOOKUP($A14,Parts!$A$2:$M$200,7,FALSE())=0,"",VLOOKUP($A14,Parts!$A$2:$M$200,7,FALSE())),"")</f>
        <v/>
      </c>
      <c r="H14" s="58" t="s">
        <v>826</v>
      </c>
      <c r="I14" t="str">
        <f>IF(OR($A14="",$H14=""),"",IFERROR(IF(INDEX(Part_Suppliers!$C$2:$C$300,MATCH($A14&amp;"|"&amp;$H14,Part_Suppliers!$K$2:$K$300,0))=0,"",INDEX(Part_Suppliers!$C$2:$C$300,MATCH($A14&amp;"|"&amp;$H14,Part_Suppliers!$K$2:$K$300,0))),""))</f>
        <v/>
      </c>
      <c r="J14" s="50">
        <v>3</v>
      </c>
      <c r="K14" s="50">
        <v>0</v>
      </c>
      <c r="L14" s="48" t="str">
        <f>IFERROR(IF(VLOOKUP($A14,Parts!$A$2:$M$200,8,FALSE())=0,"",VLOOKUP($A14,Parts!$A$2:$M$200,8,FALSE())),"")</f>
        <v>EnvNode; EnvNodeMini Rev 0.2</v>
      </c>
      <c r="M14" s="48" t="str">
        <f>IFERROR(IF(VLOOKUP($A14,Parts!$A$2:$M$200,12,FALSE())=0,"",VLOOKUP($A14,Parts!$A$2:$M$200,12,FALSE())),"")</f>
        <v>Exakte Modulvariante und Pinout vor Bestückung prüfen Hersteller/MPN aus verschobenen Altdaten korrigiert; genaue DevKitC-Variante fehlt.</v>
      </c>
      <c r="N14" s="59"/>
      <c r="O14" s="60" t="s">
        <v>818</v>
      </c>
      <c r="S14" t="str">
        <f>IF(O14="drucken",COUNTIF($O$5:O14,"drucken"),"")</f>
        <v/>
      </c>
    </row>
    <row r="15" spans="1:19" ht="39.5" customHeight="1" x14ac:dyDescent="0.2">
      <c r="A15" t="s">
        <v>99</v>
      </c>
      <c r="B15" t="str">
        <f>IFERROR(IF(VLOOKUP($A15,Parts!$A$2:$M$200,2,FALSE())=0,"",VLOOKUP($A15,Parts!$A$2:$M$200,2,FALSE())),"")</f>
        <v>PCB</v>
      </c>
      <c r="C15" s="48" t="str">
        <f>IFERROR(IF(VLOOKUP($A15,Parts!$A$2:$M$200,3,FALSE())=0,"",VLOOKUP($A15,Parts!$A$2:$M$200,3,FALSE())),"")</f>
        <v>EnvNode Mainboard Rev 0.1</v>
      </c>
      <c r="D15" s="48" t="str">
        <f>IFERROR(IF(VLOOKUP($A15,Parts!$A$2:$M$200,4,FALSE())=0,"",VLOOKUP($A15,Parts!$A$2:$M$200,4,FALSE())),"")</f>
        <v>Revision 0.1</v>
      </c>
      <c r="E15" s="48" t="str">
        <f>IFERROR(IF(VLOOKUP($A15,Parts!$A$2:$M$200,5,FALSE())=0,"",VLOOKUP($A15,Parts!$A$2:$M$200,5,FALSE())),"")</f>
        <v/>
      </c>
      <c r="F15" t="str">
        <f>IFERROR(IF(VLOOKUP($A15,Parts!$A$2:$M$200,6,FALSE())=0,"",VLOOKUP($A15,Parts!$A$2:$M$200,6,FALSE())),"")</f>
        <v>JLCPCB</v>
      </c>
      <c r="G15" t="str">
        <f>IFERROR(IF(VLOOKUP($A15,Parts!$A$2:$M$200,7,FALSE())=0,"",VLOOKUP($A15,Parts!$A$2:$M$200,7,FALSE())),"")</f>
        <v/>
      </c>
      <c r="H15" s="58" t="s">
        <v>103</v>
      </c>
      <c r="I15" t="str">
        <f>IF(OR($A15="",$H15=""),"",IFERROR(IF(INDEX(Part_Suppliers!$C$2:$C$300,MATCH($A15&amp;"|"&amp;$H15,Part_Suppliers!$K$2:$K$300,0))=0,"",INDEX(Part_Suppliers!$C$2:$C$300,MATCH($A15&amp;"|"&amp;$H15,Part_Suppliers!$K$2:$K$300,0))),""))</f>
        <v/>
      </c>
      <c r="J15" s="50">
        <v>5</v>
      </c>
      <c r="K15" s="50">
        <v>0</v>
      </c>
      <c r="L15" s="48" t="str">
        <f>IFERROR(IF(VLOOKUP($A15,Parts!$A$2:$M$200,8,FALSE())=0,"",VLOOKUP($A15,Parts!$A$2:$M$200,8,FALSE())),"")</f>
        <v>EnvNode</v>
      </c>
      <c r="M15" s="48" t="str">
        <f>IFERROR(IF(VLOOKUP($A15,Parts!$A$2:$M$200,12,FALSE())=0,"",VLOOKUP($A15,Parts!$A$2:$M$200,12,FALSE())),"")</f>
        <v>Unbestückte Leiterplatte; SMD-Lötjumper sind PCB-Strukturen und keine Kaufteile Historische PCB-Revision; aktueller KiCad-Stand ist Revision 0.2.</v>
      </c>
      <c r="N15" s="59"/>
      <c r="O15" s="60" t="s">
        <v>818</v>
      </c>
      <c r="S15" t="str">
        <f>IF(O15="drucken",COUNTIF($O$5:O15,"drucken"),"")</f>
        <v/>
      </c>
    </row>
    <row r="16" spans="1:19" ht="26.25" customHeight="1" x14ac:dyDescent="0.2">
      <c r="A16" t="s">
        <v>106</v>
      </c>
      <c r="B16" t="str">
        <f>IFERROR(IF(VLOOKUP($A16,Parts!$A$2:$M$200,2,FALSE())=0,"",VLOOKUP($A16,Parts!$A$2:$M$200,2,FALSE())),"")</f>
        <v>Steckverbinder</v>
      </c>
      <c r="C16" s="48" t="str">
        <f>IFERROR(IF(VLOOKUP($A16,Parts!$A$2:$M$200,3,FALSE())=0,"",VLOOKUP($A16,Parts!$A$2:$M$200,3,FALSE())),"")</f>
        <v>JST - Stiftleiste, gerade, 1x2-polig - PH</v>
      </c>
      <c r="D16" s="48" t="str">
        <f>IFERROR(IF(VLOOKUP($A16,Parts!$A$2:$M$200,4,FALSE())=0,"",VLOOKUP($A16,Parts!$A$2:$M$200,4,FALSE())),"")</f>
        <v>JST-PH, 2-polig, 2,00 mm</v>
      </c>
      <c r="E16" s="48" t="str">
        <f>IFERROR(IF(VLOOKUP($A16,Parts!$A$2:$M$200,5,FALSE())=0,"",VLOOKUP($A16,Parts!$A$2:$M$200,5,FALSE())),"")</f>
        <v>Connector_JST:JST_PH_B2B-PH-K_1x02_P2.00mm_Vertical</v>
      </c>
      <c r="F16" t="str">
        <f>IFERROR(IF(VLOOKUP($A16,Parts!$A$2:$M$200,6,FALSE())=0,"",VLOOKUP($A16,Parts!$A$2:$M$200,6,FALSE())),"")</f>
        <v>JST</v>
      </c>
      <c r="G16" t="str">
        <f>IFERROR(IF(VLOOKUP($A16,Parts!$A$2:$M$200,7,FALSE())=0,"",VLOOKUP($A16,Parts!$A$2:$M$200,7,FALSE())),"")</f>
        <v>B2B-PH-K-S</v>
      </c>
      <c r="H16" s="58" t="s">
        <v>822</v>
      </c>
      <c r="I16" t="str">
        <f>IF(OR($A16="",$H16=""),"",IFERROR(IF(INDEX(Part_Suppliers!$C$2:$C$300,MATCH($A16&amp;"|"&amp;$H16,Part_Suppliers!$K$2:$K$300,0))=0,"",INDEX(Part_Suppliers!$C$2:$C$300,MATCH($A16&amp;"|"&amp;$H16,Part_Suppliers!$K$2:$K$300,0))),""))</f>
        <v>JST PH2P ST</v>
      </c>
      <c r="J16" s="50">
        <v>0</v>
      </c>
      <c r="K16" s="50">
        <v>0</v>
      </c>
      <c r="L16" s="48" t="str">
        <f>IFERROR(IF(VLOOKUP($A16,Parts!$A$2:$M$200,8,FALSE())=0,"",VLOOKUP($A16,Parts!$A$2:$M$200,8,FALSE())),"")</f>
        <v>EnvNode; EnvNodeMini Rev 0.2</v>
      </c>
      <c r="M16" s="48" t="str">
        <f>IFERROR(IF(VLOOKUP($A16,Parts!$A$2:$M$200,12,FALSE())=0,"",VLOOKUP($A16,Parts!$A$2:$M$200,12,FALSE())),"")</f>
        <v/>
      </c>
      <c r="N16" s="59"/>
      <c r="O16" s="60" t="s">
        <v>818</v>
      </c>
      <c r="S16" t="str">
        <f>IF(O16="drucken",COUNTIF($O$5:O16,"drucken"),"")</f>
        <v/>
      </c>
    </row>
    <row r="17" spans="1:19" ht="15" customHeight="1" x14ac:dyDescent="0.2">
      <c r="A17" t="s">
        <v>112</v>
      </c>
      <c r="B17" t="str">
        <f>IFERROR(IF(VLOOKUP($A17,Parts!$A$2:$M$200,2,FALSE())=0,"",VLOOKUP($A17,Parts!$A$2:$M$200,2,FALSE())),"")</f>
        <v>MOSFET</v>
      </c>
      <c r="C17" s="48" t="str">
        <f>IFERROR(IF(VLOOKUP($A17,Parts!$A$2:$M$200,3,FALSE())=0,"",VLOOKUP($A17,Parts!$A$2:$M$200,3,FALSE())),"")</f>
        <v>MOSFET, N-Ch 30V 5,7A 0,018R, SOT-23</v>
      </c>
      <c r="D17" s="48" t="str">
        <f>IFERROR(IF(VLOOKUP($A17,Parts!$A$2:$M$200,4,FALSE())=0,"",VLOOKUP($A17,Parts!$A$2:$M$200,4,FALSE())),"")</f>
        <v>N-Kanal, 30 V, 5,7 A</v>
      </c>
      <c r="E17" s="48" t="str">
        <f>IFERROR(IF(VLOOKUP($A17,Parts!$A$2:$M$200,5,FALSE())=0,"",VLOOKUP($A17,Parts!$A$2:$M$200,5,FALSE())),"")</f>
        <v>Package_TO_SOT_SMD:SOT-23</v>
      </c>
      <c r="F17" t="str">
        <f>IFERROR(IF(VLOOKUP($A17,Parts!$A$2:$M$200,6,FALSE())=0,"",VLOOKUP($A17,Parts!$A$2:$M$200,6,FALSE())),"")</f>
        <v>Alpha&amp;Omega Semiconductor</v>
      </c>
      <c r="G17" t="str">
        <f>IFERROR(IF(VLOOKUP($A17,Parts!$A$2:$M$200,7,FALSE())=0,"",VLOOKUP($A17,Parts!$A$2:$M$200,7,FALSE())),"")</f>
        <v>AO3400A</v>
      </c>
      <c r="H17" s="58" t="s">
        <v>822</v>
      </c>
      <c r="I17" t="str">
        <f>IF(OR($A17="",$H17=""),"",IFERROR(IF(INDEX(Part_Suppliers!$C$2:$C$300,MATCH($A17&amp;"|"&amp;$H17,Part_Suppliers!$K$2:$K$300,0))=0,"",INDEX(Part_Suppliers!$C$2:$C$300,MATCH($A17&amp;"|"&amp;$H17,Part_Suppliers!$K$2:$K$300,0))),""))</f>
        <v>AO3400A</v>
      </c>
      <c r="J17" s="50">
        <v>0</v>
      </c>
      <c r="K17" s="50">
        <v>5</v>
      </c>
      <c r="L17" s="48" t="str">
        <f>IFERROR(IF(VLOOKUP($A17,Parts!$A$2:$M$200,8,FALSE())=0,"",VLOOKUP($A17,Parts!$A$2:$M$200,8,FALSE())),"")</f>
        <v>RainDetector</v>
      </c>
      <c r="M17" s="48" t="str">
        <f>IFERROR(IF(VLOOKUP($A17,Parts!$A$2:$M$200,12,FALSE())=0,"",VLOOKUP($A17,Parts!$A$2:$M$200,12,FALSE())),"")</f>
        <v/>
      </c>
      <c r="N17" s="59" t="s">
        <v>825</v>
      </c>
      <c r="O17" s="60" t="s">
        <v>818</v>
      </c>
      <c r="S17" t="str">
        <f>IF(O17="drucken",COUNTIF($O$5:O17,"drucken"),"")</f>
        <v/>
      </c>
    </row>
    <row r="18" spans="1:19" ht="26.25" customHeight="1" x14ac:dyDescent="0.2">
      <c r="A18" t="s">
        <v>121</v>
      </c>
      <c r="B18" t="str">
        <f>IFERROR(IF(VLOOKUP($A18,Parts!$A$2:$M$200,2,FALSE())=0,"",VLOOKUP($A18,Parts!$A$2:$M$200,2,FALSE())),"")</f>
        <v>Sensormodul</v>
      </c>
      <c r="C18" s="48" t="str">
        <f>IFERROR(IF(VLOOKUP($A18,Parts!$A$2:$M$200,3,FALSE())=0,"",VLOOKUP($A18,Parts!$A$2:$M$200,3,FALSE())),"")</f>
        <v>Arduino - Temperatur- &amp; Feuchtigkeitssensor, SHTC3</v>
      </c>
      <c r="D18" s="48" t="str">
        <f>IFERROR(IF(VLOOKUP($A18,Parts!$A$2:$M$200,4,FALSE())=0,"",VLOOKUP($A18,Parts!$A$2:$M$200,4,FALSE())),"")</f>
        <v>SHTC3 Breakout</v>
      </c>
      <c r="E18" s="48" t="str">
        <f>IFERROR(IF(VLOOKUP($A18,Parts!$A$2:$M$200,5,FALSE())=0,"",VLOOKUP($A18,Parts!$A$2:$M$200,5,FALSE())),"")</f>
        <v/>
      </c>
      <c r="F18" t="str">
        <f>IFERROR(IF(VLOOKUP($A18,Parts!$A$2:$M$200,6,FALSE())=0,"",VLOOKUP($A18,Parts!$A$2:$M$200,6,FALSE())),"")</f>
        <v>Soldered</v>
      </c>
      <c r="G18">
        <f>IFERROR(IF(VLOOKUP($A18,Parts!$A$2:$M$200,7,FALSE())=0,"",VLOOKUP($A18,Parts!$A$2:$M$200,7,FALSE())),"")</f>
        <v>333032</v>
      </c>
      <c r="H18" s="58" t="s">
        <v>822</v>
      </c>
      <c r="I18" t="str">
        <f>IF(OR($A18="",$H18=""),"",IFERROR(IF(INDEX(Part_Suppliers!$C$2:$C$300,MATCH($A18&amp;"|"&amp;$H18,Part_Suppliers!$K$2:$K$300,0))=0,"",INDEX(Part_Suppliers!$C$2:$C$300,MATCH($A18&amp;"|"&amp;$H18,Part_Suppliers!$K$2:$K$300,0))),""))</f>
        <v>DEBO SENS SHTC3</v>
      </c>
      <c r="J18" s="50">
        <v>0</v>
      </c>
      <c r="K18" s="50">
        <v>1</v>
      </c>
      <c r="L18" s="48" t="str">
        <f>IFERROR(IF(VLOOKUP($A18,Parts!$A$2:$M$200,8,FALSE())=0,"",VLOOKUP($A18,Parts!$A$2:$M$200,8,FALSE())),"")</f>
        <v>Sensor</v>
      </c>
      <c r="M18" s="48" t="str">
        <f>IFERROR(IF(VLOOKUP($A18,Parts!$A$2:$M$200,12,FALSE())=0,"",VLOOKUP($A18,Parts!$A$2:$M$200,12,FALSE())),"")</f>
        <v/>
      </c>
      <c r="N18" s="59" t="s">
        <v>825</v>
      </c>
      <c r="O18" s="60" t="s">
        <v>818</v>
      </c>
      <c r="S18" t="str">
        <f>IF(O18="drucken",COUNTIF($O$5:O18,"drucken"),"")</f>
        <v/>
      </c>
    </row>
    <row r="19" spans="1:19" ht="26.25" customHeight="1" x14ac:dyDescent="0.2">
      <c r="A19" t="s">
        <v>128</v>
      </c>
      <c r="B19" t="str">
        <f>IFERROR(IF(VLOOKUP($A19,Parts!$A$2:$M$200,2,FALSE())=0,"",VLOOKUP($A19,Parts!$A$2:$M$200,2,FALSE())),"")</f>
        <v>Entwicklungsmodul</v>
      </c>
      <c r="C19" s="48" t="str">
        <f>IFERROR(IF(VLOOKUP($A19,Parts!$A$2:$M$200,3,FALSE())=0,"",VLOOKUP($A19,Parts!$A$2:$M$200,3,FALSE())),"")</f>
        <v>Entwicklerboards - ADC, 4 Kanal, 16-Bit, ADS1115</v>
      </c>
      <c r="D19" s="48" t="str">
        <f>IFERROR(IF(VLOOKUP($A19,Parts!$A$2:$M$200,4,FALSE())=0,"",VLOOKUP($A19,Parts!$A$2:$M$200,4,FALSE())),"")</f>
        <v>ADS1115 Breakout, 4 Kanal, 16 Bit</v>
      </c>
      <c r="E19" s="48" t="str">
        <f>IFERROR(IF(VLOOKUP($A19,Parts!$A$2:$M$200,5,FALSE())=0,"",VLOOKUP($A19,Parts!$A$2:$M$200,5,FALSE())),"")</f>
        <v/>
      </c>
      <c r="F19" t="str">
        <f>IFERROR(IF(VLOOKUP($A19,Parts!$A$2:$M$200,6,FALSE())=0,"",VLOOKUP($A19,Parts!$A$2:$M$200,6,FALSE())),"")</f>
        <v>Soldered</v>
      </c>
      <c r="G19">
        <f>IFERROR(IF(VLOOKUP($A19,Parts!$A$2:$M$200,7,FALSE())=0,"",VLOOKUP($A19,Parts!$A$2:$M$200,7,FALSE())),"")</f>
        <v>333095</v>
      </c>
      <c r="H19" s="58" t="s">
        <v>822</v>
      </c>
      <c r="I19" t="str">
        <f>IF(OR($A19="",$H19=""),"",IFERROR(IF(INDEX(Part_Suppliers!$C$2:$C$300,MATCH($A19&amp;"|"&amp;$H19,Part_Suppliers!$K$2:$K$300,0))=0,"",INDEX(Part_Suppliers!$C$2:$C$300,MATCH($A19&amp;"|"&amp;$H19,Part_Suppliers!$K$2:$K$300,0))),""))</f>
        <v>DEBO ADC 16BIT</v>
      </c>
      <c r="J19" s="50">
        <v>0</v>
      </c>
      <c r="K19" s="50">
        <v>1</v>
      </c>
      <c r="L19" s="48" t="str">
        <f>IFERROR(IF(VLOOKUP($A19,Parts!$A$2:$M$200,8,FALSE())=0,"",VLOOKUP($A19,Parts!$A$2:$M$200,8,FALSE())),"")</f>
        <v>A/D Wandler</v>
      </c>
      <c r="M19" s="48" t="str">
        <f>IFERROR(IF(VLOOKUP($A19,Parts!$A$2:$M$200,12,FALSE())=0,"",VLOOKUP($A19,Parts!$A$2:$M$200,12,FALSE())),"")</f>
        <v/>
      </c>
      <c r="N19" s="59" t="s">
        <v>827</v>
      </c>
      <c r="O19" s="60" t="s">
        <v>818</v>
      </c>
      <c r="S19" t="str">
        <f>IF(O19="drucken",COUNTIF($O$5:O19,"drucken"),"")</f>
        <v/>
      </c>
    </row>
    <row r="20" spans="1:19" ht="26.25" customHeight="1" x14ac:dyDescent="0.2">
      <c r="A20" t="s">
        <v>133</v>
      </c>
      <c r="B20" t="str">
        <f>IFERROR(IF(VLOOKUP($A20,Parts!$A$2:$M$200,2,FALSE())=0,"",VLOOKUP($A20,Parts!$A$2:$M$200,2,FALSE())),"")</f>
        <v>Widerstand</v>
      </c>
      <c r="C20" s="48" t="str">
        <f>IFERROR(IF(VLOOKUP($A20,Parts!$A$2:$M$200,3,FALSE())=0,"",VLOOKUP($A20,Parts!$A$2:$M$200,3,FALSE())),"")</f>
        <v>SMD-Widerstand, 1206, 100 kOhm, 250 mW, 0,1%</v>
      </c>
      <c r="D20" s="48" t="str">
        <f>IFERROR(IF(VLOOKUP($A20,Parts!$A$2:$M$200,4,FALSE())=0,"",VLOOKUP($A20,Parts!$A$2:$M$200,4,FALSE())),"")</f>
        <v>100 kΩ, 0,1 %, 250 mW</v>
      </c>
      <c r="E20" s="48" t="str">
        <f>IFERROR(IF(VLOOKUP($A20,Parts!$A$2:$M$200,5,FALSE())=0,"",VLOOKUP($A20,Parts!$A$2:$M$200,5,FALSE())),"")</f>
        <v>Resistor_SMD:R_1206_3216Metric_Pad1.30x1.75mm_HandSolder</v>
      </c>
      <c r="F20" t="str">
        <f>IFERROR(IF(VLOOKUP($A20,Parts!$A$2:$M$200,6,FALSE())=0,"",VLOOKUP($A20,Parts!$A$2:$M$200,6,FALSE())),"")</f>
        <v>Panasonic</v>
      </c>
      <c r="G20" t="str">
        <f>IFERROR(IF(VLOOKUP($A20,Parts!$A$2:$M$200,7,FALSE())=0,"",VLOOKUP($A20,Parts!$A$2:$M$200,7,FALSE())),"")</f>
        <v>ERA8AEB104V</v>
      </c>
      <c r="H20" s="58" t="s">
        <v>822</v>
      </c>
      <c r="I20" t="str">
        <f>IF(OR($A20="",$H20=""),"",IFERROR(IF(INDEX(Part_Suppliers!$C$2:$C$300,MATCH($A20&amp;"|"&amp;$H20,Part_Suppliers!$K$2:$K$300,0))=0,"",INDEX(Part_Suppliers!$C$2:$C$300,MATCH($A20&amp;"|"&amp;$H20,Part_Suppliers!$K$2:$K$300,0))),""))</f>
        <v>PAN ERA8AEB104V</v>
      </c>
      <c r="J20" s="50">
        <v>4</v>
      </c>
      <c r="K20" s="50">
        <v>0</v>
      </c>
      <c r="L20" s="48" t="str">
        <f>IFERROR(IF(VLOOKUP($A20,Parts!$A$2:$M$200,8,FALSE())=0,"",VLOOKUP($A20,Parts!$A$2:$M$200,8,FALSE())),"")</f>
        <v>RainDetector; DuoRelay; AnalogHydroPressure</v>
      </c>
      <c r="M20" s="48" t="str">
        <f>IFERROR(IF(VLOOKUP($A20,Parts!$A$2:$M$200,12,FALSE())=0,"",VLOOKUP($A20,Parts!$A$2:$M$200,12,FALSE())),"")</f>
        <v>Lieferanten-Bestellnummer in der Altdatei enthält vermischte Angaben.</v>
      </c>
      <c r="N20" s="59"/>
      <c r="O20" s="60" t="s">
        <v>818</v>
      </c>
      <c r="S20" t="str">
        <f>IF(O20="drucken",COUNTIF($O$5:O20,"drucken"),"")</f>
        <v/>
      </c>
    </row>
    <row r="21" spans="1:19" ht="26.25" customHeight="1" x14ac:dyDescent="0.2">
      <c r="A21" t="s">
        <v>141</v>
      </c>
      <c r="B21" t="str">
        <f>IFERROR(IF(VLOOKUP($A21,Parts!$A$2:$M$200,2,FALSE())=0,"",VLOOKUP($A21,Parts!$A$2:$M$200,2,FALSE())),"")</f>
        <v>Widerstand</v>
      </c>
      <c r="C21" s="48" t="str">
        <f>IFERROR(IF(VLOOKUP($A21,Parts!$A$2:$M$200,3,FALSE())=0,"",VLOOKUP($A21,Parts!$A$2:$M$200,3,FALSE())),"")</f>
        <v>SMD-Widerstand, 1206, 100 Ohm, 250 mW, 5%</v>
      </c>
      <c r="D21" s="48" t="str">
        <f>IFERROR(IF(VLOOKUP($A21,Parts!$A$2:$M$200,4,FALSE())=0,"",VLOOKUP($A21,Parts!$A$2:$M$200,4,FALSE())),"")</f>
        <v>100 Ω, 5 %, 250 mW</v>
      </c>
      <c r="E21" s="48" t="str">
        <f>IFERROR(IF(VLOOKUP($A21,Parts!$A$2:$M$200,5,FALSE())=0,"",VLOOKUP($A21,Parts!$A$2:$M$200,5,FALSE())),"")</f>
        <v>Resistor_SMD:R_1206_3216Metric_Pad1.30x1.75mm_HandSolder</v>
      </c>
      <c r="F21" t="str">
        <f>IFERROR(IF(VLOOKUP($A21,Parts!$A$2:$M$200,6,FALSE())=0,"",VLOOKUP($A21,Parts!$A$2:$M$200,6,FALSE())),"")</f>
        <v>YAGEO</v>
      </c>
      <c r="G21" t="str">
        <f>IFERROR(IF(VLOOKUP($A21,Parts!$A$2:$M$200,7,FALSE())=0,"",VLOOKUP($A21,Parts!$A$2:$M$200,7,FALSE())),"")</f>
        <v>RC1206JR-07100RL</v>
      </c>
      <c r="H21" s="58" t="s">
        <v>822</v>
      </c>
      <c r="I21" t="str">
        <f>IF(OR($A21="",$H21=""),"",IFERROR(IF(INDEX(Part_Suppliers!$C$2:$C$300,MATCH($A21&amp;"|"&amp;$H21,Part_Suppliers!$K$2:$K$300,0))=0,"",INDEX(Part_Suppliers!$C$2:$C$300,MATCH($A21&amp;"|"&amp;$H21,Part_Suppliers!$K$2:$K$300,0))),""))</f>
        <v>SMD 1/4W 100</v>
      </c>
      <c r="J21" s="50">
        <v>50</v>
      </c>
      <c r="K21" s="50">
        <v>0</v>
      </c>
      <c r="L21" s="48" t="str">
        <f>IFERROR(IF(VLOOKUP($A21,Parts!$A$2:$M$200,8,FALSE())=0,"",VLOOKUP($A21,Parts!$A$2:$M$200,8,FALSE())),"")</f>
        <v>RainDetector; SolarRadiation</v>
      </c>
      <c r="M21" s="48" t="str">
        <f>IFERROR(IF(VLOOKUP($A21,Parts!$A$2:$M$200,12,FALSE())=0,"",VLOOKUP($A21,Parts!$A$2:$M$200,12,FALSE())),"")</f>
        <v/>
      </c>
      <c r="N21" s="59"/>
      <c r="O21" s="60" t="s">
        <v>818</v>
      </c>
      <c r="S21" t="str">
        <f>IF(O21="drucken",COUNTIF($O$5:O21,"drucken"),"")</f>
        <v/>
      </c>
    </row>
    <row r="22" spans="1:19" ht="26.25" customHeight="1" x14ac:dyDescent="0.2">
      <c r="A22" t="s">
        <v>148</v>
      </c>
      <c r="B22" t="str">
        <f>IFERROR(IF(VLOOKUP($A22,Parts!$A$2:$M$200,2,FALSE())=0,"",VLOOKUP($A22,Parts!$A$2:$M$200,2,FALSE())),"")</f>
        <v>Widerstand</v>
      </c>
      <c r="C22" s="48" t="str">
        <f>IFERROR(IF(VLOOKUP($A22,Parts!$A$2:$M$200,3,FALSE())=0,"",VLOOKUP($A22,Parts!$A$2:$M$200,3,FALSE())),"")</f>
        <v>SMD-Widerstand, 1206, 10 kOhm, 250 mW, 0,1%</v>
      </c>
      <c r="D22" s="48" t="str">
        <f>IFERROR(IF(VLOOKUP($A22,Parts!$A$2:$M$200,4,FALSE())=0,"",VLOOKUP($A22,Parts!$A$2:$M$200,4,FALSE())),"")</f>
        <v>10 kΩ, 0,1 %, 250 mW</v>
      </c>
      <c r="E22" s="48" t="str">
        <f>IFERROR(IF(VLOOKUP($A22,Parts!$A$2:$M$200,5,FALSE())=0,"",VLOOKUP($A22,Parts!$A$2:$M$200,5,FALSE())),"")</f>
        <v>Resistor_SMD:R_1206_3216Metric_Pad1.30x1.75mm_HandSolder</v>
      </c>
      <c r="F22" t="str">
        <f>IFERROR(IF(VLOOKUP($A22,Parts!$A$2:$M$200,6,FALSE())=0,"",VLOOKUP($A22,Parts!$A$2:$M$200,6,FALSE())),"")</f>
        <v>Panasonic</v>
      </c>
      <c r="G22" t="str">
        <f>IFERROR(IF(VLOOKUP($A22,Parts!$A$2:$M$200,7,FALSE())=0,"",VLOOKUP($A22,Parts!$A$2:$M$200,7,FALSE())),"")</f>
        <v>ERA8AEB103V</v>
      </c>
      <c r="H22" s="58" t="s">
        <v>822</v>
      </c>
      <c r="I22" t="str">
        <f>IF(OR($A22="",$H22=""),"",IFERROR(IF(INDEX(Part_Suppliers!$C$2:$C$300,MATCH($A22&amp;"|"&amp;$H22,Part_Suppliers!$K$2:$K$300,0))=0,"",INDEX(Part_Suppliers!$C$2:$C$300,MATCH($A22&amp;"|"&amp;$H22,Part_Suppliers!$K$2:$K$300,0))),""))</f>
        <v>PAN ERA8AEB103V</v>
      </c>
      <c r="J22" s="50">
        <v>9</v>
      </c>
      <c r="K22" s="50">
        <v>0</v>
      </c>
      <c r="L22" s="48" t="str">
        <f>IFERROR(IF(VLOOKUP($A22,Parts!$A$2:$M$200,8,FALSE())=0,"",VLOOKUP($A22,Parts!$A$2:$M$200,8,FALSE())),"")</f>
        <v>RainDetector</v>
      </c>
      <c r="M22" s="48" t="str">
        <f>IFERROR(IF(VLOOKUP($A22,Parts!$A$2:$M$200,12,FALSE())=0,"",VLOOKUP($A22,Parts!$A$2:$M$200,12,FALSE())),"")</f>
        <v>Offensichtlich zusammengesetzte MPN aus Altdaten normalisiert.</v>
      </c>
      <c r="N22" s="59"/>
      <c r="O22" s="60" t="s">
        <v>828</v>
      </c>
      <c r="S22">
        <f>IF(O22="drucken",COUNTIF($O$5:O22,"drucken"),"")</f>
        <v>1</v>
      </c>
    </row>
    <row r="23" spans="1:19" ht="26.25" customHeight="1" x14ac:dyDescent="0.2">
      <c r="A23" t="s">
        <v>154</v>
      </c>
      <c r="B23" t="str">
        <f>IFERROR(IF(VLOOKUP($A23,Parts!$A$2:$M$200,2,FALSE())=0,"",VLOOKUP($A23,Parts!$A$2:$M$200,2,FALSE())),"")</f>
        <v>Steckverbinder</v>
      </c>
      <c r="C23" s="48" t="str">
        <f>IFERROR(IF(VLOOKUP($A23,Parts!$A$2:$M$200,3,FALSE())=0,"",VLOOKUP($A23,Parts!$A$2:$M$200,3,FALSE())),"")</f>
        <v>Stiftleiste, 8-polig, Raster 2,54mm</v>
      </c>
      <c r="D23" s="48" t="str">
        <f>IFERROR(IF(VLOOKUP($A23,Parts!$A$2:$M$200,4,FALSE())=0,"",VLOOKUP($A23,Parts!$A$2:$M$200,4,FALSE())),"")</f>
        <v>1x8, 2,54 mm</v>
      </c>
      <c r="E23" s="48" t="str">
        <f>IFERROR(IF(VLOOKUP($A23,Parts!$A$2:$M$200,5,FALSE())=0,"",VLOOKUP($A23,Parts!$A$2:$M$200,5,FALSE())),"")</f>
        <v>Connector_PinHeader_2.54mm:PinHeader_1x08_P2.54mm_Vertical</v>
      </c>
      <c r="F23" t="str">
        <f>IFERROR(IF(VLOOKUP($A23,Parts!$A$2:$M$200,6,FALSE())=0,"",VLOOKUP($A23,Parts!$A$2:$M$200,6,FALSE())),"")</f>
        <v>BKL Electronic</v>
      </c>
      <c r="G23">
        <f>IFERROR(IF(VLOOKUP($A23,Parts!$A$2:$M$200,7,FALSE())=0,"",VLOOKUP($A23,Parts!$A$2:$M$200,7,FALSE())),"")</f>
        <v>10120505</v>
      </c>
      <c r="H23" s="58" t="s">
        <v>822</v>
      </c>
      <c r="I23" t="str">
        <f>IF(OR($A23="",$H23=""),"",IFERROR(IF(INDEX(Part_Suppliers!$C$2:$C$300,MATCH($A23&amp;"|"&amp;$H23,Part_Suppliers!$K$2:$K$300,0))=0,"",INDEX(Part_Suppliers!$C$2:$C$300,MATCH($A23&amp;"|"&amp;$H23,Part_Suppliers!$K$2:$K$300,0))),""))</f>
        <v>BKL 10120505</v>
      </c>
      <c r="J23" s="50">
        <v>0</v>
      </c>
      <c r="K23" s="50">
        <v>0</v>
      </c>
      <c r="L23" s="48" t="str">
        <f>IFERROR(IF(VLOOKUP($A23,Parts!$A$2:$M$200,8,FALSE())=0,"",VLOOKUP($A23,Parts!$A$2:$M$200,8,FALSE())),"")</f>
        <v>RainDetector</v>
      </c>
      <c r="M23" s="48" t="str">
        <f>IFERROR(IF(VLOOKUP($A23,Parts!$A$2:$M$200,12,FALSE())=0,"",VLOOKUP($A23,Parts!$A$2:$M$200,12,FALSE())),"")</f>
        <v/>
      </c>
      <c r="N23" s="59"/>
      <c r="O23" s="60" t="s">
        <v>818</v>
      </c>
      <c r="S23" t="str">
        <f>IF(O23="drucken",COUNTIF($O$5:O23,"drucken"),"")</f>
        <v/>
      </c>
    </row>
    <row r="24" spans="1:19" ht="15" customHeight="1" x14ac:dyDescent="0.2">
      <c r="A24" t="s">
        <v>161</v>
      </c>
      <c r="B24" t="str">
        <f>IFERROR(IF(VLOOKUP($A24,Parts!$A$2:$M$200,2,FALSE())=0,"",VLOOKUP($A24,Parts!$A$2:$M$200,2,FALSE())),"")</f>
        <v>IC</v>
      </c>
      <c r="C24" s="48" t="str">
        <f>IFERROR(IF(VLOOKUP($A24,Parts!$A$2:$M$200,3,FALSE())=0,"",VLOOKUP($A24,Parts!$A$2:$M$200,3,FALSE())),"")</f>
        <v>Timer-IC, Typ 555, SO-8</v>
      </c>
      <c r="D24" s="48" t="str">
        <f>IFERROR(IF(VLOOKUP($A24,Parts!$A$2:$M$200,4,FALSE())=0,"",VLOOKUP($A24,Parts!$A$2:$M$200,4,FALSE())),"")</f>
        <v>CMOS 555</v>
      </c>
      <c r="E24" s="48" t="str">
        <f>IFERROR(IF(VLOOKUP($A24,Parts!$A$2:$M$200,5,FALSE())=0,"",VLOOKUP($A24,Parts!$A$2:$M$200,5,FALSE())),"")</f>
        <v>Package_SO:SOIC-8_3.9x4.9mm_P1.27mm</v>
      </c>
      <c r="F24" t="str">
        <f>IFERROR(IF(VLOOKUP($A24,Parts!$A$2:$M$200,6,FALSE())=0,"",VLOOKUP($A24,Parts!$A$2:$M$200,6,FALSE())),"")</f>
        <v>Renesas</v>
      </c>
      <c r="G24" t="str">
        <f>IFERROR(IF(VLOOKUP($A24,Parts!$A$2:$M$200,7,FALSE())=0,"",VLOOKUP($A24,Parts!$A$2:$M$200,7,FALSE())),"")</f>
        <v>ICM7555IBAZ</v>
      </c>
      <c r="H24" s="58" t="s">
        <v>822</v>
      </c>
      <c r="I24" t="str">
        <f>IF(OR($A24="",$H24=""),"",IFERROR(IF(INDEX(Part_Suppliers!$C$2:$C$300,MATCH($A24&amp;"|"&amp;$H24,Part_Suppliers!$K$2:$K$300,0))=0,"",INDEX(Part_Suppliers!$C$2:$C$300,MATCH($A24&amp;"|"&amp;$H24,Part_Suppliers!$K$2:$K$300,0))),""))</f>
        <v>ICM 7555 IBAZ</v>
      </c>
      <c r="J24" s="50">
        <v>3</v>
      </c>
      <c r="K24" s="50">
        <v>0</v>
      </c>
      <c r="L24" s="48" t="str">
        <f>IFERROR(IF(VLOOKUP($A24,Parts!$A$2:$M$200,8,FALSE())=0,"",VLOOKUP($A24,Parts!$A$2:$M$200,8,FALSE())),"")</f>
        <v>RainDetector</v>
      </c>
      <c r="M24" s="48" t="str">
        <f>IFERROR(IF(VLOOKUP($A24,Parts!$A$2:$M$200,12,FALSE())=0,"",VLOOKUP($A24,Parts!$A$2:$M$200,12,FALSE())),"")</f>
        <v/>
      </c>
      <c r="N24" s="59"/>
      <c r="O24" s="60" t="s">
        <v>818</v>
      </c>
      <c r="S24" t="str">
        <f>IF(O24="drucken",COUNTIF($O$5:O24,"drucken"),"")</f>
        <v/>
      </c>
    </row>
    <row r="25" spans="1:19" ht="52.75" customHeight="1" x14ac:dyDescent="0.2">
      <c r="A25" t="s">
        <v>169</v>
      </c>
      <c r="B25" t="str">
        <f>IFERROR(IF(VLOOKUP($A25,Parts!$A$2:$M$200,2,FALSE())=0,"",VLOOKUP($A25,Parts!$A$2:$M$200,2,FALSE())),"")</f>
        <v>Steckverbinder</v>
      </c>
      <c r="C25" s="48" t="str">
        <f>IFERROR(IF(VLOOKUP($A25,Parts!$A$2:$M$200,3,FALSE())=0,"",VLOOKUP($A25,Parts!$A$2:$M$200,3,FALSE())),"")</f>
        <v>PinSocket 1x8, 2,54mm SMD</v>
      </c>
      <c r="D25" s="48" t="str">
        <f>IFERROR(IF(VLOOKUP($A25,Parts!$A$2:$M$200,4,FALSE())=0,"",VLOOKUP($A25,Parts!$A$2:$M$200,4,FALSE())),"")</f>
        <v>1x8, 2,54 mm, SMD</v>
      </c>
      <c r="E25" s="48" t="str">
        <f>IFERROR(IF(VLOOKUP($A25,Parts!$A$2:$M$200,5,FALSE())=0,"",VLOOKUP($A25,Parts!$A$2:$M$200,5,FALSE())),"")</f>
        <v/>
      </c>
      <c r="F25" t="str">
        <f>IFERROR(IF(VLOOKUP($A25,Parts!$A$2:$M$200,6,FALSE())=0,"",VLOOKUP($A25,Parts!$A$2:$M$200,6,FALSE())),"")</f>
        <v>fischer Elektronik</v>
      </c>
      <c r="G25" t="str">
        <f>IFERROR(IF(VLOOKUP($A25,Parts!$A$2:$M$200,7,FALSE())=0,"",VLOOKUP($A25,Parts!$A$2:$M$200,7,FALSE())),"")</f>
        <v>BL 3 8 G</v>
      </c>
      <c r="H25" s="58" t="s">
        <v>822</v>
      </c>
      <c r="I25" t="str">
        <f>IF(OR($A25="",$H25=""),"",IFERROR(IF(INDEX(Part_Suppliers!$C$2:$C$300,MATCH($A25&amp;"|"&amp;$H25,Part_Suppliers!$K$2:$K$300,0))=0,"",INDEX(Part_Suppliers!$C$2:$C$300,MATCH($A25&amp;"|"&amp;$H25,Part_Suppliers!$K$2:$K$300,0))),""))</f>
        <v>FIS BL 3 8G</v>
      </c>
      <c r="J25" s="50">
        <v>2</v>
      </c>
      <c r="K25" s="50">
        <v>0</v>
      </c>
      <c r="L25" s="48" t="str">
        <f>IFERROR(IF(VLOOKUP($A25,Parts!$A$2:$M$200,8,FALSE())=0,"",VLOOKUP($A25,Parts!$A$2:$M$200,8,FALSE())),"")</f>
        <v>Stall.biz/Weatherman-Detektorplatine</v>
      </c>
      <c r="M25" s="48" t="str">
        <f>IFERROR(IF(VLOOKUP($A25,Parts!$A$2:$M$200,12,FALSE())=0,"",VLOOKUP($A25,Parts!$A$2:$M$200,12,FALSE())),"")</f>
        <v>1×8-SMD-Buchsenleiste sitzt physisch auf der Stall.biz/Weatherman-Detektorplatine. Auf der RainDetector-Platine werden für J1/J2 die 1×8-THT-Stiftleisten ENP-00019 bestückt.</v>
      </c>
      <c r="N25" s="59"/>
      <c r="O25" s="60" t="s">
        <v>818</v>
      </c>
      <c r="S25" t="str">
        <f>IF(O25="drucken",COUNTIF($O$5:O25,"drucken"),"")</f>
        <v/>
      </c>
    </row>
    <row r="26" spans="1:19" ht="26.25" customHeight="1" x14ac:dyDescent="0.2">
      <c r="A26" t="s">
        <v>177</v>
      </c>
      <c r="B26" t="str">
        <f>IFERROR(IF(VLOOKUP($A26,Parts!$A$2:$M$200,2,FALSE())=0,"",VLOOKUP($A26,Parts!$A$2:$M$200,2,FALSE())),"")</f>
        <v>Widerstand</v>
      </c>
      <c r="C26" s="48" t="str">
        <f>IFERROR(IF(VLOOKUP($A26,Parts!$A$2:$M$200,3,FALSE())=0,"",VLOOKUP($A26,Parts!$A$2:$M$200,3,FALSE())),"")</f>
        <v>SMD-Widerstand, 1206, 47 Ohm, 250 mW, 5%</v>
      </c>
      <c r="D26" s="48" t="str">
        <f>IFERROR(IF(VLOOKUP($A26,Parts!$A$2:$M$200,4,FALSE())=0,"",VLOOKUP($A26,Parts!$A$2:$M$200,4,FALSE())),"")</f>
        <v>47 Ω</v>
      </c>
      <c r="E26" s="48" t="str">
        <f>IFERROR(IF(VLOOKUP($A26,Parts!$A$2:$M$200,5,FALSE())=0,"",VLOOKUP($A26,Parts!$A$2:$M$200,5,FALSE())),"")</f>
        <v>Resistor_SMD:R_1206_3216Metric_Pad1.30x1.75mm_HandSolder</v>
      </c>
      <c r="F26" t="str">
        <f>IFERROR(IF(VLOOKUP($A26,Parts!$A$2:$M$200,6,FALSE())=0,"",VLOOKUP($A26,Parts!$A$2:$M$200,6,FALSE())),"")</f>
        <v>RND components</v>
      </c>
      <c r="G26" t="str">
        <f>IFERROR(IF(VLOOKUP($A26,Parts!$A$2:$M$200,7,FALSE())=0,"",VLOOKUP($A26,Parts!$A$2:$M$200,7,FALSE())),"")</f>
        <v>RND 1551206S4J0470T5E</v>
      </c>
      <c r="H26" s="58" t="s">
        <v>822</v>
      </c>
      <c r="I26" t="str">
        <f>IF(OR($A26="",$H26=""),"",IFERROR(IF(INDEX(Part_Suppliers!$C$2:$C$300,MATCH($A26&amp;"|"&amp;$H26,Part_Suppliers!$K$2:$K$300,0))=0,"",INDEX(Part_Suppliers!$C$2:$C$300,MATCH($A26&amp;"|"&amp;$H26,Part_Suppliers!$K$2:$K$300,0))),""))</f>
        <v>RND 1551206 AF</v>
      </c>
      <c r="J26" s="50">
        <v>0</v>
      </c>
      <c r="K26" s="50">
        <v>0</v>
      </c>
      <c r="L26" s="48" t="str">
        <f>IFERROR(IF(VLOOKUP($A26,Parts!$A$2:$M$200,8,FALSE())=0,"",VLOOKUP($A26,Parts!$A$2:$M$200,8,FALSE())),"")</f>
        <v>Detector</v>
      </c>
      <c r="M26" s="48" t="str">
        <f>IFERROR(IF(VLOOKUP($A26,Parts!$A$2:$M$200,12,FALSE())=0,"",VLOOKUP($A26,Parts!$A$2:$M$200,12,FALSE())),"")</f>
        <v/>
      </c>
      <c r="N26" s="59"/>
      <c r="O26" s="60" t="s">
        <v>818</v>
      </c>
      <c r="S26" t="str">
        <f>IF(O26="drucken",COUNTIF($O$5:O26,"drucken"),"")</f>
        <v/>
      </c>
    </row>
    <row r="27" spans="1:19" ht="26.25" customHeight="1" x14ac:dyDescent="0.2">
      <c r="A27" t="s">
        <v>183</v>
      </c>
      <c r="B27" t="str">
        <f>IFERROR(IF(VLOOKUP($A27,Parts!$A$2:$M$200,2,FALSE())=0,"",VLOOKUP($A27,Parts!$A$2:$M$200,2,FALSE())),"")</f>
        <v>Relais</v>
      </c>
      <c r="C27" s="48" t="str">
        <f>IFERROR(IF(VLOOKUP($A27,Parts!$A$2:$M$200,3,FALSE())=0,"",VLOOKUP($A27,Parts!$A$2:$M$200,3,FALSE())),"")</f>
        <v>Steck-Printrelais, 1 CO, 6 A, 5 V DC sensitiv</v>
      </c>
      <c r="D27" s="48" t="str">
        <f>IFERROR(IF(VLOOKUP($A27,Parts!$A$2:$M$200,4,FALSE())=0,"",VLOOKUP($A27,Parts!$A$2:$M$200,4,FALSE())),"")</f>
        <v>5 V, 1 Wechsler, 6 A</v>
      </c>
      <c r="E27" s="48" t="str">
        <f>IFERROR(IF(VLOOKUP($A27,Parts!$A$2:$M$200,5,FALSE())=0,"",VLOOKUP($A27,Parts!$A$2:$M$200,5,FALSE())),"")</f>
        <v>Relay_THT:Relay_SPDT_Finder_34.51_Vertical</v>
      </c>
      <c r="F27" t="str">
        <f>IFERROR(IF(VLOOKUP($A27,Parts!$A$2:$M$200,6,FALSE())=0,"",VLOOKUP($A27,Parts!$A$2:$M$200,6,FALSE())),"")</f>
        <v>finder</v>
      </c>
      <c r="G27" t="str">
        <f>IFERROR(IF(VLOOKUP($A27,Parts!$A$2:$M$200,7,FALSE())=0,"",VLOOKUP($A27,Parts!$A$2:$M$200,7,FALSE())),"")</f>
        <v>34.51.7.005.0010</v>
      </c>
      <c r="H27" s="58" t="s">
        <v>822</v>
      </c>
      <c r="I27" t="str">
        <f>IF(OR($A27="",$H27=""),"",IFERROR(IF(INDEX(Part_Suppliers!$C$2:$C$300,MATCH($A27&amp;"|"&amp;$H27,Part_Suppliers!$K$2:$K$300,0))=0,"",INDEX(Part_Suppliers!$C$2:$C$300,MATCH($A27&amp;"|"&amp;$H27,Part_Suppliers!$K$2:$K$300,0))),""))</f>
        <v>FIN 34.51.7 5V</v>
      </c>
      <c r="J27" s="50">
        <v>0</v>
      </c>
      <c r="K27" s="50">
        <v>0</v>
      </c>
      <c r="L27" s="48" t="str">
        <f>IFERROR(IF(VLOOKUP($A27,Parts!$A$2:$M$200,8,FALSE())=0,"",VLOOKUP($A27,Parts!$A$2:$M$200,8,FALSE())),"")</f>
        <v>DuoRelay</v>
      </c>
      <c r="M27" s="48" t="str">
        <f>IFERROR(IF(VLOOKUP($A27,Parts!$A$2:$M$200,12,FALSE())=0,"",VLOOKUP($A27,Parts!$A$2:$M$200,12,FALSE())),"")</f>
        <v/>
      </c>
      <c r="N27" s="59"/>
      <c r="O27" s="60" t="s">
        <v>818</v>
      </c>
      <c r="S27" t="str">
        <f>IF(O27="drucken",COUNTIF($O$5:O27,"drucken"),"")</f>
        <v/>
      </c>
    </row>
    <row r="28" spans="1:19" ht="105.5" customHeight="1" x14ac:dyDescent="0.2">
      <c r="A28" t="s">
        <v>192</v>
      </c>
      <c r="B28" t="str">
        <f>IFERROR(IF(VLOOKUP($A28,Parts!$A$2:$M$200,2,FALSE())=0,"",VLOOKUP($A28,Parts!$A$2:$M$200,2,FALSE())),"")</f>
        <v>IC</v>
      </c>
      <c r="C28" s="48" t="str">
        <f>IFERROR(IF(VLOOKUP($A28,Parts!$A$2:$M$200,3,FALSE())=0,"",VLOOKUP($A28,Parts!$A$2:$M$200,3,FALSE())),"")</f>
        <v>I²C-EEPROM 2 Kbit mit vorprogrammierter EUI-64 und zwei Adresspins</v>
      </c>
      <c r="D28" s="48" t="str">
        <f>IFERROR(IF(VLOOKUP($A28,Parts!$A$2:$M$200,4,FALSE())=0,"",VLOOKUP($A28,Parts!$A$2:$M$200,4,FALSE())),"")</f>
        <v>2 Kbit, I²C, EUI-64, A0/A1, 1,7–5,5 V</v>
      </c>
      <c r="E28" s="48" t="str">
        <f>IFERROR(IF(VLOOKUP($A28,Parts!$A$2:$M$200,5,FALSE())=0,"",VLOOKUP($A28,Parts!$A$2:$M$200,5,FALSE())),"")</f>
        <v>Package_TO_SOT_SMD:SOT-23-6</v>
      </c>
      <c r="F28" t="str">
        <f>IFERROR(IF(VLOOKUP($A28,Parts!$A$2:$M$200,6,FALSE())=0,"",VLOOKUP($A28,Parts!$A$2:$M$200,6,FALSE())),"")</f>
        <v>Microchip Technology</v>
      </c>
      <c r="G28" t="str">
        <f>IFERROR(IF(VLOOKUP($A28,Parts!$A$2:$M$200,7,FALSE())=0,"",VLOOKUP($A28,Parts!$A$2:$M$200,7,FALSE())),"")</f>
        <v>24AA025E64T-I/OT</v>
      </c>
      <c r="H28" s="58" t="s">
        <v>829</v>
      </c>
      <c r="I28" t="str">
        <f>IF(OR($A28="",$H28=""),"",IFERROR(IF(INDEX(Part_Suppliers!$C$2:$C$300,MATCH($A28&amp;"|"&amp;$H28,Part_Suppliers!$K$2:$K$300,0))=0,"",INDEX(Part_Suppliers!$C$2:$C$300,MATCH($A28&amp;"|"&amp;$H28,Part_Suppliers!$K$2:$K$300,0))),""))</f>
        <v>24AA025E64T-I/OTCT-ND</v>
      </c>
      <c r="J28" s="50">
        <v>0</v>
      </c>
      <c r="K28" s="50">
        <v>0</v>
      </c>
      <c r="L28" s="48" t="str">
        <f>IFERROR(IF(VLOOKUP($A28,Parts!$A$2:$M$200,8,FALSE())=0,"",VLOOKUP($A28,Parts!$A$2:$M$200,8,FALSE())),"")</f>
        <v>EnvNode; EnvNodeMini Rev 0.2; Empty FullSize/HalfSize SMD/THT; DuoRelay; AnalogHydroPressure</v>
      </c>
      <c r="M28" s="48" t="str">
        <f>IFERROR(IF(VLOOKUP($A28,Parts!$A$2:$M$200,12,FALSE())=0,"",VLOOKUP($A28,Parts!$A$2:$M$200,12,FALSE())),"")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 Bezug als Cut Tape bei DigiKey; keine parametrischen Ersatztypen ohne vorprogrammierte EUI-64 verwenden.</v>
      </c>
      <c r="N28" s="59"/>
      <c r="O28" s="60" t="s">
        <v>818</v>
      </c>
      <c r="S28" t="str">
        <f>IF(O28="drucken",COUNTIF($O$5:O28,"drucken"),"")</f>
        <v/>
      </c>
    </row>
    <row r="29" spans="1:19" ht="26.25" customHeight="1" x14ac:dyDescent="0.2">
      <c r="A29" t="s">
        <v>202</v>
      </c>
      <c r="B29" t="str">
        <f>IFERROR(IF(VLOOKUP($A29,Parts!$A$2:$M$200,2,FALSE())=0,"",VLOOKUP($A29,Parts!$A$2:$M$200,2,FALSE())),"")</f>
        <v>Steckverbinder</v>
      </c>
      <c r="C29" s="48" t="str">
        <f>IFERROR(IF(VLOOKUP($A29,Parts!$A$2:$M$200,3,FALSE())=0,"",VLOOKUP($A29,Parts!$A$2:$M$200,3,FALSE())),"")</f>
        <v>JST-PH Stiftleiste, 4-polig, vertikal</v>
      </c>
      <c r="D29" s="48" t="str">
        <f>IFERROR(IF(VLOOKUP($A29,Parts!$A$2:$M$200,4,FALSE())=0,"",VLOOKUP($A29,Parts!$A$2:$M$200,4,FALSE())),"")</f>
        <v>4-polig, 2,00 mm</v>
      </c>
      <c r="E29" s="48" t="str">
        <f>IFERROR(IF(VLOOKUP($A29,Parts!$A$2:$M$200,5,FALSE())=0,"",VLOOKUP($A29,Parts!$A$2:$M$200,5,FALSE())),"")</f>
        <v>Connector_JST:JST_PH_B4B-PH-K_1x04_P2.00mm_Vertical</v>
      </c>
      <c r="F29" t="str">
        <f>IFERROR(IF(VLOOKUP($A29,Parts!$A$2:$M$200,6,FALSE())=0,"",VLOOKUP($A29,Parts!$A$2:$M$200,6,FALSE())),"")</f>
        <v>JST</v>
      </c>
      <c r="G29" t="str">
        <f>IFERROR(IF(VLOOKUP($A29,Parts!$A$2:$M$200,7,FALSE())=0,"",VLOOKUP($A29,Parts!$A$2:$M$200,7,FALSE())),"")</f>
        <v>B4B-PH-K-S</v>
      </c>
      <c r="H29" s="58" t="s">
        <v>822</v>
      </c>
      <c r="I29" t="str">
        <f>IF(OR($A29="",$H29=""),"",IFERROR(IF(INDEX(Part_Suppliers!$C$2:$C$300,MATCH($A29&amp;"|"&amp;$H29,Part_Suppliers!$K$2:$K$300,0))=0,"",INDEX(Part_Suppliers!$C$2:$C$300,MATCH($A29&amp;"|"&amp;$H29,Part_Suppliers!$K$2:$K$300,0))),""))</f>
        <v>JST PH4P ST</v>
      </c>
      <c r="J29" s="50">
        <v>0</v>
      </c>
      <c r="K29" s="50">
        <v>0</v>
      </c>
      <c r="L29" s="48" t="str">
        <f>IFERROR(IF(VLOOKUP($A29,Parts!$A$2:$M$200,8,FALSE())=0,"",VLOOKUP($A29,Parts!$A$2:$M$200,8,FALSE())),"")</f>
        <v>EnvNode</v>
      </c>
      <c r="M29" s="48" t="str">
        <f>IFERROR(IF(VLOOKUP($A29,Parts!$A$2:$M$200,12,FALSE())=0,"",VLOOKUP($A29,Parts!$A$2:$M$200,12,FALSE())),"")</f>
        <v>Mögliche Überschneidung mit dem vorhandenen JST-PH-Set prüfen.</v>
      </c>
      <c r="N29" s="59"/>
      <c r="O29" s="60" t="s">
        <v>818</v>
      </c>
      <c r="S29" t="str">
        <f>IF(O29="drucken",COUNTIF($O$5:O29,"drucken"),"")</f>
        <v/>
      </c>
    </row>
    <row r="30" spans="1:19" ht="26.25" customHeight="1" x14ac:dyDescent="0.2">
      <c r="A30" t="s">
        <v>210</v>
      </c>
      <c r="B30" t="str">
        <f>IFERROR(IF(VLOOKUP($A30,Parts!$A$2:$M$200,2,FALSE())=0,"",VLOOKUP($A30,Parts!$A$2:$M$200,2,FALSE())),"")</f>
        <v>Steckverbinder</v>
      </c>
      <c r="C30" s="48" t="str">
        <f>IFERROR(IF(VLOOKUP($A30,Parts!$A$2:$M$200,3,FALSE())=0,"",VLOOKUP($A30,Parts!$A$2:$M$200,3,FALSE())),"")</f>
        <v>JST-SH Stiftleiste, 4-polig, horizontal</v>
      </c>
      <c r="D30" s="48" t="str">
        <f>IFERROR(IF(VLOOKUP($A30,Parts!$A$2:$M$200,4,FALSE())=0,"",VLOOKUP($A30,Parts!$A$2:$M$200,4,FALSE())),"")</f>
        <v>4-polig, 1,00 mm</v>
      </c>
      <c r="E30" s="48" t="str">
        <f>IFERROR(IF(VLOOKUP($A30,Parts!$A$2:$M$200,5,FALSE())=0,"",VLOOKUP($A30,Parts!$A$2:$M$200,5,FALSE())),"")</f>
        <v>Connector_JST:JST_SH_SM04B-SRSS-TB_1x04-1MP_P1.00mm_Horizontal</v>
      </c>
      <c r="F30" t="str">
        <f>IFERROR(IF(VLOOKUP($A30,Parts!$A$2:$M$200,6,FALSE())=0,"",VLOOKUP($A30,Parts!$A$2:$M$200,6,FALSE())),"")</f>
        <v>JST</v>
      </c>
      <c r="G30" t="str">
        <f>IFERROR(IF(VLOOKUP($A30,Parts!$A$2:$M$200,7,FALSE())=0,"",VLOOKUP($A30,Parts!$A$2:$M$200,7,FALSE())),"")</f>
        <v>SM04B-SRSS-TB</v>
      </c>
      <c r="H30" s="58" t="s">
        <v>830</v>
      </c>
      <c r="I30" t="str">
        <f>IF(OR($A30="",$H30=""),"",IFERROR(IF(INDEX(Part_Suppliers!$C$2:$C$300,MATCH($A30&amp;"|"&amp;$H30,Part_Suppliers!$K$2:$K$300,0))=0,"",INDEX(Part_Suppliers!$C$2:$C$300,MATCH($A30&amp;"|"&amp;$H30,Part_Suppliers!$K$2:$K$300,0))),""))</f>
        <v>515-1513</v>
      </c>
      <c r="J30" s="50">
        <v>0</v>
      </c>
      <c r="K30" s="50">
        <v>0</v>
      </c>
      <c r="L30" s="48" t="str">
        <f>IFERROR(IF(VLOOKUP($A30,Parts!$A$2:$M$200,8,FALSE())=0,"",VLOOKUP($A30,Parts!$A$2:$M$200,8,FALSE())),"")</f>
        <v>EnvNode; EnvNodeMini Rev 0.2; SolarRadiation</v>
      </c>
      <c r="M30" s="48" t="str">
        <f>IFERROR(IF(VLOOKUP($A30,Parts!$A$2:$M$200,12,FALSE())=0,"",VLOOKUP($A30,Parts!$A$2:$M$200,12,FALSE())),"")</f>
        <v>MPN-Suffix und Verpackungsform festlegen; nicht mit Qwiic-Pigtail zusammenführen.</v>
      </c>
      <c r="N30" s="59"/>
      <c r="O30" s="60" t="s">
        <v>818</v>
      </c>
      <c r="S30" t="str">
        <f>IF(O30="drucken",COUNTIF($O$5:O30,"drucken"),"")</f>
        <v/>
      </c>
    </row>
    <row r="31" spans="1:19" ht="26.25" customHeight="1" x14ac:dyDescent="0.2">
      <c r="A31" t="s">
        <v>218</v>
      </c>
      <c r="B31" t="str">
        <f>IFERROR(IF(VLOOKUP($A31,Parts!$A$2:$M$200,2,FALSE())=0,"",VLOOKUP($A31,Parts!$A$2:$M$200,2,FALSE())),"")</f>
        <v>IC</v>
      </c>
      <c r="C31" s="48" t="str">
        <f>IFERROR(IF(VLOOKUP($A31,Parts!$A$2:$M$200,3,FALSE())=0,"",VLOOKUP($A31,Parts!$A$2:$M$200,3,FALSE())),"")</f>
        <v>16-Bit ADC mit I²C</v>
      </c>
      <c r="D31" s="48" t="str">
        <f>IFERROR(IF(VLOOKUP($A31,Parts!$A$2:$M$200,4,FALSE())=0,"",VLOOKUP($A31,Parts!$A$2:$M$200,4,FALSE())),"")</f>
        <v>ADS1115IDGS</v>
      </c>
      <c r="E31" s="48" t="str">
        <f>IFERROR(IF(VLOOKUP($A31,Parts!$A$2:$M$200,5,FALSE())=0,"",VLOOKUP($A31,Parts!$A$2:$M$200,5,FALSE())),"")</f>
        <v>Package_SO:TSSOP-10_3x3mm_P0.5mm</v>
      </c>
      <c r="F31" t="str">
        <f>IFERROR(IF(VLOOKUP($A31,Parts!$A$2:$M$200,6,FALSE())=0,"",VLOOKUP($A31,Parts!$A$2:$M$200,6,FALSE())),"")</f>
        <v>Texas Instruments</v>
      </c>
      <c r="G31" t="str">
        <f>IFERROR(IF(VLOOKUP($A31,Parts!$A$2:$M$200,7,FALSE())=0,"",VLOOKUP($A31,Parts!$A$2:$M$200,7,FALSE())),"")</f>
        <v>ADS1115IDGS</v>
      </c>
      <c r="H31" s="58" t="s">
        <v>826</v>
      </c>
      <c r="I31" t="str">
        <f>IF(OR($A31="",$H31=""),"",IFERROR(IF(INDEX(Part_Suppliers!$C$2:$C$300,MATCH($A31&amp;"|"&amp;$H31,Part_Suppliers!$K$2:$K$300,0))=0,"",INDEX(Part_Suppliers!$C$2:$C$300,MATCH($A31&amp;"|"&amp;$H31,Part_Suppliers!$K$2:$K$300,0))),""))</f>
        <v/>
      </c>
      <c r="J31" s="50">
        <v>0</v>
      </c>
      <c r="K31" s="50">
        <v>0</v>
      </c>
      <c r="L31" s="48" t="str">
        <f>IFERROR(IF(VLOOKUP($A31,Parts!$A$2:$M$200,8,FALSE())=0,"",VLOOKUP($A31,Parts!$A$2:$M$200,8,FALSE())),"")</f>
        <v>AnalogInput; SolarRadiation; AnalogHydroPressure</v>
      </c>
      <c r="M31" s="48" t="str">
        <f>IFERROR(IF(VLOOKUP($A31,Parts!$A$2:$M$200,12,FALSE())=0,"",VLOOKUP($A31,Parts!$A$2:$M$200,12,FALSE())),"")</f>
        <v>Nicht mit dem vorhandenen ADS1115-Entwicklungsboard zusammenführen.</v>
      </c>
      <c r="N31" s="59"/>
      <c r="O31" s="60" t="s">
        <v>818</v>
      </c>
      <c r="S31" t="str">
        <f>IF(O31="drucken",COUNTIF($O$5:O31,"drucken"),"")</f>
        <v/>
      </c>
    </row>
    <row r="32" spans="1:19" ht="26.25" customHeight="1" x14ac:dyDescent="0.2">
      <c r="A32" t="s">
        <v>225</v>
      </c>
      <c r="B32" t="str">
        <f>IFERROR(IF(VLOOKUP($A32,Parts!$A$2:$M$200,2,FALSE())=0,"",VLOOKUP($A32,Parts!$A$2:$M$200,2,FALSE())),"")</f>
        <v>Kondensator</v>
      </c>
      <c r="C32" s="48" t="str">
        <f>IFERROR(IF(VLOOKUP($A32,Parts!$A$2:$M$200,3,FALSE())=0,"",VLOOKUP($A32,Parts!$A$2:$M$200,3,FALSE())),"")</f>
        <v>Keramikkondensator 1 µF SMD</v>
      </c>
      <c r="D32" s="48" t="str">
        <f>IFERROR(IF(VLOOKUP($A32,Parts!$A$2:$M$200,4,FALSE())=0,"",VLOOKUP($A32,Parts!$A$2:$M$200,4,FALSE())),"")</f>
        <v>1 µF</v>
      </c>
      <c r="E32" s="48" t="str">
        <f>IFERROR(IF(VLOOKUP($A32,Parts!$A$2:$M$200,5,FALSE())=0,"",VLOOKUP($A32,Parts!$A$2:$M$200,5,FALSE())),"")</f>
        <v>Capacitor_SMD:C_1206_3216Metric_Pad1.33x1.80mm_HandSolder</v>
      </c>
      <c r="F32" t="str">
        <f>IFERROR(IF(VLOOKUP($A32,Parts!$A$2:$M$200,6,FALSE())=0,"",VLOOKUP($A32,Parts!$A$2:$M$200,6,FALSE())),"")</f>
        <v>Kyocera</v>
      </c>
      <c r="G32" t="str">
        <f>IFERROR(IF(VLOOKUP($A32,Parts!$A$2:$M$200,7,FALSE())=0,"",VLOOKUP($A32,Parts!$A$2:$M$200,7,FALSE())),"")</f>
        <v>12065C105JAT2A</v>
      </c>
      <c r="H32" s="58" t="s">
        <v>822</v>
      </c>
      <c r="I32" t="str">
        <f>IF(OR($A32="",$H32=""),"",IFERROR(IF(INDEX(Part_Suppliers!$C$2:$C$300,MATCH($A32&amp;"|"&amp;$H32,Part_Suppliers!$K$2:$K$300,0))=0,"",INDEX(Part_Suppliers!$C$2:$C$300,MATCH($A32&amp;"|"&amp;$H32,Part_Suppliers!$K$2:$K$300,0))),""))</f>
        <v>12065C105JAT2A</v>
      </c>
      <c r="J32" s="50">
        <v>0</v>
      </c>
      <c r="K32" s="50">
        <v>0</v>
      </c>
      <c r="L32" s="48" t="str">
        <f>IFERROR(IF(VLOOKUP($A32,Parts!$A$2:$M$200,8,FALSE())=0,"",VLOOKUP($A32,Parts!$A$2:$M$200,8,FALSE())),"")</f>
        <v>AnalogInput; AnalogHydroPressure</v>
      </c>
      <c r="M32" s="48" t="str">
        <f>IFERROR(IF(VLOOKUP($A32,Parts!$A$2:$M$200,12,FALSE())=0,"",VLOOKUP($A32,Parts!$A$2:$M$200,12,FALSE())),"")</f>
        <v/>
      </c>
      <c r="N32" s="59"/>
      <c r="O32" s="60" t="s">
        <v>818</v>
      </c>
      <c r="S32" t="str">
        <f>IF(O32="drucken",COUNTIF($O$5:O32,"drucken"),"")</f>
        <v/>
      </c>
    </row>
    <row r="33" spans="1:19" ht="39.5" customHeight="1" x14ac:dyDescent="0.2">
      <c r="A33" t="s">
        <v>231</v>
      </c>
      <c r="B33" t="str">
        <f>IFERROR(IF(VLOOKUP($A33,Parts!$A$2:$M$200,2,FALSE())=0,"",VLOOKUP($A33,Parts!$A$2:$M$200,2,FALSE())),"")</f>
        <v>Diode</v>
      </c>
      <c r="C33" s="48" t="str">
        <f>IFERROR(IF(VLOOKUP($A33,Parts!$A$2:$M$200,3,FALSE())=0,"",VLOOKUP($A33,Parts!$A$2:$M$200,3,FALSE())),"")</f>
        <v>Dual-Schottky-Diode BAT54S</v>
      </c>
      <c r="D33" s="48" t="str">
        <f>IFERROR(IF(VLOOKUP($A33,Parts!$A$2:$M$200,4,FALSE())=0,"",VLOOKUP($A33,Parts!$A$2:$M$200,4,FALSE())),"")</f>
        <v>BAT54S</v>
      </c>
      <c r="E33" s="48" t="str">
        <f>IFERROR(IF(VLOOKUP($A33,Parts!$A$2:$M$200,5,FALSE())=0,"",VLOOKUP($A33,Parts!$A$2:$M$200,5,FALSE())),"")</f>
        <v>Package_TO_SOT_SMD:SOT-23</v>
      </c>
      <c r="F33" t="str">
        <f>IFERROR(IF(VLOOKUP($A33,Parts!$A$2:$M$200,6,FALSE())=0,"",VLOOKUP($A33,Parts!$A$2:$M$200,6,FALSE())),"")</f>
        <v>Diotec</v>
      </c>
      <c r="G33" t="str">
        <f>IFERROR(IF(VLOOKUP($A33,Parts!$A$2:$M$200,7,FALSE())=0,"",VLOOKUP($A33,Parts!$A$2:$M$200,7,FALSE())),"")</f>
        <v>BAT54S</v>
      </c>
      <c r="H33" s="58" t="s">
        <v>822</v>
      </c>
      <c r="I33" t="str">
        <f>IF(OR($A33="",$H33=""),"",IFERROR(IF(INDEX(Part_Suppliers!$C$2:$C$300,MATCH($A33&amp;"|"&amp;$H33,Part_Suppliers!$K$2:$K$300,0))=0,"",INDEX(Part_Suppliers!$C$2:$C$300,MATCH($A33&amp;"|"&amp;$H33,Part_Suppliers!$K$2:$K$300,0))),""))</f>
        <v>BAT 54S DIO</v>
      </c>
      <c r="J33" s="50">
        <v>0</v>
      </c>
      <c r="K33" s="50">
        <v>0</v>
      </c>
      <c r="L33" s="48" t="str">
        <f>IFERROR(IF(VLOOKUP($A33,Parts!$A$2:$M$200,8,FALSE())=0,"",VLOOKUP($A33,Parts!$A$2:$M$200,8,FALSE())),"")</f>
        <v>AnalogInput; AnalogHydroPressure</v>
      </c>
      <c r="M33" s="48" t="str">
        <f>IFERROR(IF(VLOOKUP($A33,Parts!$A$2:$M$200,12,FALSE())=0,"",VLOOKUP($A33,Parts!$A$2:$M$200,12,FALSE())),"")</f>
        <v>Aktuelles AnalogHydroPressure verwendet SOT-23 und stimmt damit mit dem Artikel-Footprint überein; Gehäuse der bestellten Variante dennoch prüfen.</v>
      </c>
      <c r="N33" s="59"/>
      <c r="O33" s="60" t="s">
        <v>818</v>
      </c>
      <c r="S33" t="str">
        <f>IF(O33="drucken",COUNTIF($O$5:O33,"drucken"),"")</f>
        <v/>
      </c>
    </row>
    <row r="34" spans="1:19" ht="26.25" customHeight="1" x14ac:dyDescent="0.2">
      <c r="A34" t="s">
        <v>238</v>
      </c>
      <c r="B34" t="str">
        <f>IFERROR(IF(VLOOKUP($A34,Parts!$A$2:$M$200,2,FALSE())=0,"",VLOOKUP($A34,Parts!$A$2:$M$200,2,FALSE())),"")</f>
        <v>Steckverbinder</v>
      </c>
      <c r="C34" s="48" t="str">
        <f>IFERROR(IF(VLOOKUP($A34,Parts!$A$2:$M$200,3,FALSE())=0,"",VLOOKUP($A34,Parts!$A$2:$M$200,3,FALSE())),"")</f>
        <v>Buchsenleiste 2x4, vertikal</v>
      </c>
      <c r="D34" s="48" t="str">
        <f>IFERROR(IF(VLOOKUP($A34,Parts!$A$2:$M$200,4,FALSE())=0,"",VLOOKUP($A34,Parts!$A$2:$M$200,4,FALSE())),"")</f>
        <v>2x4, 2,54 mm</v>
      </c>
      <c r="E34" s="48" t="str">
        <f>IFERROR(IF(VLOOKUP($A34,Parts!$A$2:$M$200,5,FALSE())=0,"",VLOOKUP($A34,Parts!$A$2:$M$200,5,FALSE())),"")</f>
        <v>PinSocket_2x04_P2.54mm_Vertical / EnvNode Bottom-Variante</v>
      </c>
      <c r="F34" t="str">
        <f>IFERROR(IF(VLOOKUP($A34,Parts!$A$2:$M$200,6,FALSE())=0,"",VLOOKUP($A34,Parts!$A$2:$M$200,6,FALSE())),"")</f>
        <v/>
      </c>
      <c r="G34" t="str">
        <f>IFERROR(IF(VLOOKUP($A34,Parts!$A$2:$M$200,7,FALSE())=0,"",VLOOKUP($A34,Parts!$A$2:$M$200,7,FALSE())),"")</f>
        <v/>
      </c>
      <c r="H34" s="58" t="s">
        <v>826</v>
      </c>
      <c r="I34" t="str">
        <f>IF(OR($A34="",$H34=""),"",IFERROR(IF(INDEX(Part_Suppliers!$C$2:$C$300,MATCH($A34&amp;"|"&amp;$H34,Part_Suppliers!$K$2:$K$300,0))=0,"",INDEX(Part_Suppliers!$C$2:$C$300,MATCH($A34&amp;"|"&amp;$H34,Part_Suppliers!$K$2:$K$300,0))),""))</f>
        <v/>
      </c>
      <c r="J34" s="50">
        <v>0</v>
      </c>
      <c r="K34" s="50">
        <v>0</v>
      </c>
      <c r="L34" s="48" t="str">
        <f>IFERROR(IF(VLOOKUP($A34,Parts!$A$2:$M$200,8,FALSE())=0,"",VLOOKUP($A34,Parts!$A$2:$M$200,8,FALSE())),"")</f>
        <v>Legacy Rev 0.1: EnvNodeMini; AnalogInput; DuoRelay</v>
      </c>
      <c r="M34" s="48" t="str">
        <f>IFERROR(IF(VLOOKUP($A34,Parts!$A$2:$M$200,12,FALSE())=0,"",VLOOKUP($A34,Parts!$A$2:$M$200,12,FALSE())),"")</f>
        <v>Legacy-Artikel für die Modulsteckverbindung Rev 0.1; nicht für die aktuellen 2x7-Steckplätze verwenden.</v>
      </c>
      <c r="N34" s="59"/>
      <c r="O34" s="60" t="s">
        <v>818</v>
      </c>
      <c r="S34" t="str">
        <f>IF(O34="drucken",COUNTIF($O$5:O34,"drucken"),"")</f>
        <v/>
      </c>
    </row>
    <row r="35" spans="1:19" ht="26.25" customHeight="1" x14ac:dyDescent="0.2">
      <c r="A35" t="s">
        <v>247</v>
      </c>
      <c r="B35" t="str">
        <f>IFERROR(IF(VLOOKUP($A35,Parts!$A$2:$M$200,2,FALSE())=0,"",VLOOKUP($A35,Parts!$A$2:$M$200,2,FALSE())),"")</f>
        <v>Steckverbinder</v>
      </c>
      <c r="C35" s="48" t="str">
        <f>IFERROR(IF(VLOOKUP($A35,Parts!$A$2:$M$200,3,FALSE())=0,"",VLOOKUP($A35,Parts!$A$2:$M$200,3,FALSE())),"")</f>
        <v>Buchsenleiste 1x2, vertikal</v>
      </c>
      <c r="D35" s="48" t="str">
        <f>IFERROR(IF(VLOOKUP($A35,Parts!$A$2:$M$200,4,FALSE())=0,"",VLOOKUP($A35,Parts!$A$2:$M$200,4,FALSE())),"")</f>
        <v>1x2, 2,54 mm</v>
      </c>
      <c r="E35" s="48" t="str">
        <f>IFERROR(IF(VLOOKUP($A35,Parts!$A$2:$M$200,5,FALSE())=0,"",VLOOKUP($A35,Parts!$A$2:$M$200,5,FALSE())),"")</f>
        <v>Connector_PinSocket_2.54mm:PinSocket_1x02_P2.54mm_Vertical</v>
      </c>
      <c r="F35" t="str">
        <f>IFERROR(IF(VLOOKUP($A35,Parts!$A$2:$M$200,6,FALSE())=0,"",VLOOKUP($A35,Parts!$A$2:$M$200,6,FALSE())),"")</f>
        <v/>
      </c>
      <c r="G35" t="str">
        <f>IFERROR(IF(VLOOKUP($A35,Parts!$A$2:$M$200,7,FALSE())=0,"",VLOOKUP($A35,Parts!$A$2:$M$200,7,FALSE())),"")</f>
        <v/>
      </c>
      <c r="H35" s="58" t="s">
        <v>826</v>
      </c>
      <c r="I35" t="str">
        <f>IF(OR($A35="",$H35=""),"",IFERROR(IF(INDEX(Part_Suppliers!$C$2:$C$300,MATCH($A35&amp;"|"&amp;$H35,Part_Suppliers!$K$2:$K$300,0))=0,"",INDEX(Part_Suppliers!$C$2:$C$300,MATCH($A35&amp;"|"&amp;$H35,Part_Suppliers!$K$2:$K$300,0))),""))</f>
        <v/>
      </c>
      <c r="J35" s="50">
        <v>0</v>
      </c>
      <c r="K35" s="50">
        <v>0</v>
      </c>
      <c r="L35" s="48" t="str">
        <f>IFERROR(IF(VLOOKUP($A35,Parts!$A$2:$M$200,8,FALSE())=0,"",VLOOKUP($A35,Parts!$A$2:$M$200,8,FALSE())),"")</f>
        <v>AnalogInput; AnalogHydroPressure</v>
      </c>
      <c r="M35" s="48" t="str">
        <f>IFERROR(IF(VLOOKUP($A35,Parts!$A$2:$M$200,12,FALSE())=0,"",VLOOKUP($A35,Parts!$A$2:$M$200,12,FALSE())),"")</f>
        <v/>
      </c>
      <c r="N35" s="59"/>
      <c r="O35" s="60" t="s">
        <v>818</v>
      </c>
      <c r="S35" t="str">
        <f>IF(O35="drucken",COUNTIF($O$5:O35,"drucken"),"")</f>
        <v/>
      </c>
    </row>
    <row r="36" spans="1:19" ht="26.25" customHeight="1" x14ac:dyDescent="0.2">
      <c r="A36" t="s">
        <v>253</v>
      </c>
      <c r="B36" t="str">
        <f>IFERROR(IF(VLOOKUP($A36,Parts!$A$2:$M$200,2,FALSE())=0,"",VLOOKUP($A36,Parts!$A$2:$M$200,2,FALSE())),"")</f>
        <v>Widerstand</v>
      </c>
      <c r="C36" s="48" t="str">
        <f>IFERROR(IF(VLOOKUP($A36,Parts!$A$2:$M$200,3,FALSE())=0,"",VLOOKUP($A36,Parts!$A$2:$M$200,3,FALSE())),"")</f>
        <v>Widerstand, Metallschicht, 150 Ohm, 0207, 250 mW, 0,1%</v>
      </c>
      <c r="D36" s="48" t="str">
        <f>IFERROR(IF(VLOOKUP($A36,Parts!$A$2:$M$200,4,FALSE())=0,"",VLOOKUP($A36,Parts!$A$2:$M$200,4,FALSE())),"")</f>
        <v>150 Ω, 0,1 %, ≤25 ppm/K, &gt;0,125 W</v>
      </c>
      <c r="E36" s="48" t="str">
        <f>IFERROR(IF(VLOOKUP($A36,Parts!$A$2:$M$200,5,FALSE())=0,"",VLOOKUP($A36,Parts!$A$2:$M$200,5,FALSE())),"")</f>
        <v>Resistor_THT:R_Axial_DIN0207_L6.3mm_D2.5mm_P7.62mm_Horizontal</v>
      </c>
      <c r="F36" t="str">
        <f>IFERROR(IF(VLOOKUP($A36,Parts!$A$2:$M$200,6,FALSE())=0,"",VLOOKUP($A36,Parts!$A$2:$M$200,6,FALSE())),"")</f>
        <v>Arcol</v>
      </c>
      <c r="G36" t="str">
        <f>IFERROR(IF(VLOOKUP($A36,Parts!$A$2:$M$200,7,FALSE())=0,"",VLOOKUP($A36,Parts!$A$2:$M$200,7,FALSE())),"")</f>
        <v>MRA0207 150R B 15PPM TA</v>
      </c>
      <c r="H36" s="58" t="s">
        <v>822</v>
      </c>
      <c r="I36" t="str">
        <f>IF(OR($A36="",$H36=""),"",IFERROR(IF(INDEX(Part_Suppliers!$C$2:$C$300,MATCH($A36&amp;"|"&amp;$H36,Part_Suppliers!$K$2:$K$300,0))=0,"",INDEX(Part_Suppliers!$C$2:$C$300,MATCH($A36&amp;"|"&amp;$H36,Part_Suppliers!$K$2:$K$300,0))),""))</f>
        <v>ARC MRA0207 150R</v>
      </c>
      <c r="J36" s="50">
        <v>0</v>
      </c>
      <c r="K36" s="50">
        <v>0</v>
      </c>
      <c r="L36" s="48" t="str">
        <f>IFERROR(IF(VLOOKUP($A36,Parts!$A$2:$M$200,8,FALSE())=0,"",VLOOKUP($A36,Parts!$A$2:$M$200,8,FALSE())),"")</f>
        <v>AnalogInput; AnalogHydroPressure</v>
      </c>
      <c r="M36" s="48" t="str">
        <f>IFERROR(IF(VLOOKUP($A36,Parts!$A$2:$M$200,12,FALSE())=0,"",VLOOKUP($A36,Parts!$A$2:$M$200,12,FALSE())),"")</f>
        <v/>
      </c>
      <c r="N36" s="59"/>
      <c r="O36" s="60" t="s">
        <v>818</v>
      </c>
      <c r="S36" t="str">
        <f>IF(O36="drucken",COUNTIF($O$5:O36,"drucken"),"")</f>
        <v/>
      </c>
    </row>
    <row r="37" spans="1:19" ht="15" customHeight="1" x14ac:dyDescent="0.2">
      <c r="A37" t="s">
        <v>260</v>
      </c>
      <c r="B37" t="str">
        <f>IFERROR(IF(VLOOKUP($A37,Parts!$A$2:$M$200,2,FALSE())=0,"",VLOOKUP($A37,Parts!$A$2:$M$200,2,FALSE())),"")</f>
        <v>Diode</v>
      </c>
      <c r="C37" s="48" t="str">
        <f>IFERROR(IF(VLOOKUP($A37,Parts!$A$2:$M$200,3,FALSE())=0,"",VLOOKUP($A37,Parts!$A$2:$M$200,3,FALSE())),"")</f>
        <v>Schnelle Schaltdiode 1N4148W</v>
      </c>
      <c r="D37" s="48" t="str">
        <f>IFERROR(IF(VLOOKUP($A37,Parts!$A$2:$M$200,4,FALSE())=0,"",VLOOKUP($A37,Parts!$A$2:$M$200,4,FALSE())),"")</f>
        <v>1N4148W</v>
      </c>
      <c r="E37" s="48" t="str">
        <f>IFERROR(IF(VLOOKUP($A37,Parts!$A$2:$M$200,5,FALSE())=0,"",VLOOKUP($A37,Parts!$A$2:$M$200,5,FALSE())),"")</f>
        <v>Diode_SMD:D_SOD-123</v>
      </c>
      <c r="F37" t="str">
        <f>IFERROR(IF(VLOOKUP($A37,Parts!$A$2:$M$200,6,FALSE())=0,"",VLOOKUP($A37,Parts!$A$2:$M$200,6,FALSE())),"")</f>
        <v>Diotec</v>
      </c>
      <c r="G37" t="str">
        <f>IFERROR(IF(VLOOKUP($A37,Parts!$A$2:$M$200,7,FALSE())=0,"",VLOOKUP($A37,Parts!$A$2:$M$200,7,FALSE())),"")</f>
        <v>1N4148W</v>
      </c>
      <c r="H37" s="58" t="s">
        <v>822</v>
      </c>
      <c r="I37" t="str">
        <f>IF(OR($A37="",$H37=""),"",IFERROR(IF(INDEX(Part_Suppliers!$C$2:$C$300,MATCH($A37&amp;"|"&amp;$H37,Part_Suppliers!$K$2:$K$300,0))=0,"",INDEX(Part_Suppliers!$C$2:$C$300,MATCH($A37&amp;"|"&amp;$H37,Part_Suppliers!$K$2:$K$300,0))),""))</f>
        <v>1N 4148W DIO</v>
      </c>
      <c r="J37" s="50">
        <v>0</v>
      </c>
      <c r="K37" s="50">
        <v>0</v>
      </c>
      <c r="L37" s="48" t="str">
        <f>IFERROR(IF(VLOOKUP($A37,Parts!$A$2:$M$200,8,FALSE())=0,"",VLOOKUP($A37,Parts!$A$2:$M$200,8,FALSE())),"")</f>
        <v>DuoRelay</v>
      </c>
      <c r="M37" s="48" t="str">
        <f>IFERROR(IF(VLOOKUP($A37,Parts!$A$2:$M$200,12,FALSE())=0,"",VLOOKUP($A37,Parts!$A$2:$M$200,12,FALSE())),"")</f>
        <v/>
      </c>
      <c r="N37" s="59"/>
      <c r="O37" s="60" t="s">
        <v>818</v>
      </c>
      <c r="S37" t="str">
        <f>IF(O37="drucken",COUNTIF($O$5:O37,"drucken"),"")</f>
        <v/>
      </c>
    </row>
    <row r="38" spans="1:19" ht="26.25" customHeight="1" x14ac:dyDescent="0.2">
      <c r="A38" t="s">
        <v>265</v>
      </c>
      <c r="B38" t="str">
        <f>IFERROR(IF(VLOOKUP($A38,Parts!$A$2:$M$200,2,FALSE())=0,"",VLOOKUP($A38,Parts!$A$2:$M$200,2,FALSE())),"")</f>
        <v>Steckverbinder</v>
      </c>
      <c r="C38" s="48" t="str">
        <f>IFERROR(IF(VLOOKUP($A38,Parts!$A$2:$M$200,3,FALSE())=0,"",VLOOKUP($A38,Parts!$A$2:$M$200,3,FALSE())),"")</f>
        <v>Schraubklemme 1x3, horizontal</v>
      </c>
      <c r="D38" s="48" t="str">
        <f>IFERROR(IF(VLOOKUP($A38,Parts!$A$2:$M$200,4,FALSE())=0,"",VLOOKUP($A38,Parts!$A$2:$M$200,4,FALSE())),"")</f>
        <v>3-polig, 5,08 mm</v>
      </c>
      <c r="E38" s="48" t="str">
        <f>IFERROR(IF(VLOOKUP($A38,Parts!$A$2:$M$200,5,FALSE())=0,"",VLOOKUP($A38,Parts!$A$2:$M$200,5,FALSE())),"")</f>
        <v>TerminalBlock_Phoenix:TerminalBlock_Phoenix_MKDS-3-3-5.08_1x03_P5.08mm_Horizontal</v>
      </c>
      <c r="F38" t="str">
        <f>IFERROR(IF(VLOOKUP($A38,Parts!$A$2:$M$200,6,FALSE())=0,"",VLOOKUP($A38,Parts!$A$2:$M$200,6,FALSE())),"")</f>
        <v>Phoenix Contact</v>
      </c>
      <c r="G38" t="str">
        <f>IFERROR(IF(VLOOKUP($A38,Parts!$A$2:$M$200,7,FALSE())=0,"",VLOOKUP($A38,Parts!$A$2:$M$200,7,FALSE())),"")</f>
        <v/>
      </c>
      <c r="H38" s="58" t="s">
        <v>826</v>
      </c>
      <c r="I38" t="str">
        <f>IF(OR($A38="",$H38=""),"",IFERROR(IF(INDEX(Part_Suppliers!$C$2:$C$300,MATCH($A38&amp;"|"&amp;$H38,Part_Suppliers!$K$2:$K$300,0))=0,"",INDEX(Part_Suppliers!$C$2:$C$300,MATCH($A38&amp;"|"&amp;$H38,Part_Suppliers!$K$2:$K$300,0))),""))</f>
        <v/>
      </c>
      <c r="J38" s="50">
        <v>0</v>
      </c>
      <c r="K38" s="50">
        <v>0</v>
      </c>
      <c r="L38" s="48" t="str">
        <f>IFERROR(IF(VLOOKUP($A38,Parts!$A$2:$M$200,8,FALSE())=0,"",VLOOKUP($A38,Parts!$A$2:$M$200,8,FALSE())),"")</f>
        <v>DuoRelay</v>
      </c>
      <c r="M38" s="48" t="str">
        <f>IFERROR(IF(VLOOKUP($A38,Parts!$A$2:$M$200,12,FALSE())=0,"",VLOOKUP($A38,Parts!$A$2:$M$200,12,FALSE())),"")</f>
        <v>Exakte Hersteller-MPN ergänzen.</v>
      </c>
      <c r="N38" s="59"/>
      <c r="O38" s="60" t="s">
        <v>818</v>
      </c>
      <c r="S38" t="str">
        <f>IF(O38="drucken",COUNTIF($O$5:O38,"drucken"),"")</f>
        <v/>
      </c>
    </row>
    <row r="39" spans="1:19" ht="15" customHeight="1" x14ac:dyDescent="0.2">
      <c r="A39" t="s">
        <v>273</v>
      </c>
      <c r="B39" t="str">
        <f>IFERROR(IF(VLOOKUP($A39,Parts!$A$2:$M$200,2,FALSE())=0,"",VLOOKUP($A39,Parts!$A$2:$M$200,2,FALSE())),"")</f>
        <v>Transistor</v>
      </c>
      <c r="C39" s="48" t="str">
        <f>IFERROR(IF(VLOOKUP($A39,Parts!$A$2:$M$200,3,FALSE())=0,"",VLOOKUP($A39,Parts!$A$2:$M$200,3,FALSE())),"")</f>
        <v>NPN-Transistor BC817</v>
      </c>
      <c r="D39" s="48" t="str">
        <f>IFERROR(IF(VLOOKUP($A39,Parts!$A$2:$M$200,4,FALSE())=0,"",VLOOKUP($A39,Parts!$A$2:$M$200,4,FALSE())),"")</f>
        <v>BC817</v>
      </c>
      <c r="E39" s="48" t="str">
        <f>IFERROR(IF(VLOOKUP($A39,Parts!$A$2:$M$200,5,FALSE())=0,"",VLOOKUP($A39,Parts!$A$2:$M$200,5,FALSE())),"")</f>
        <v>Package_TO_SOT_SMD:SOT-23_Handsoldering</v>
      </c>
      <c r="F39" t="str">
        <f>IFERROR(IF(VLOOKUP($A39,Parts!$A$2:$M$200,6,FALSE())=0,"",VLOOKUP($A39,Parts!$A$2:$M$200,6,FALSE())),"")</f>
        <v>Diotec</v>
      </c>
      <c r="G39" t="str">
        <f>IFERROR(IF(VLOOKUP($A39,Parts!$A$2:$M$200,7,FALSE())=0,"",VLOOKUP($A39,Parts!$A$2:$M$200,7,FALSE())),"")</f>
        <v>BC817</v>
      </c>
      <c r="H39" s="58" t="s">
        <v>822</v>
      </c>
      <c r="I39" t="str">
        <f>IF(OR($A39="",$H39=""),"",IFERROR(IF(INDEX(Part_Suppliers!$C$2:$C$300,MATCH($A39&amp;"|"&amp;$H39,Part_Suppliers!$K$2:$K$300,0))=0,"",INDEX(Part_Suppliers!$C$2:$C$300,MATCH($A39&amp;"|"&amp;$H39,Part_Suppliers!$K$2:$K$300,0))),""))</f>
        <v>BC 817-25 DIO</v>
      </c>
      <c r="J39" s="50">
        <v>0</v>
      </c>
      <c r="K39" s="50">
        <v>0</v>
      </c>
      <c r="L39" s="48" t="str">
        <f>IFERROR(IF(VLOOKUP($A39,Parts!$A$2:$M$200,8,FALSE())=0,"",VLOOKUP($A39,Parts!$A$2:$M$200,8,FALSE())),"")</f>
        <v>DuoRelay</v>
      </c>
      <c r="M39" s="48" t="str">
        <f>IFERROR(IF(VLOOKUP($A39,Parts!$A$2:$M$200,12,FALSE())=0,"",VLOOKUP($A39,Parts!$A$2:$M$200,12,FALSE())),"")</f>
        <v/>
      </c>
      <c r="N39" s="59"/>
      <c r="O39" s="60" t="s">
        <v>818</v>
      </c>
      <c r="S39" t="str">
        <f>IF(O39="drucken",COUNTIF($O$5:O39,"drucken"),"")</f>
        <v/>
      </c>
    </row>
    <row r="40" spans="1:19" ht="26.25" customHeight="1" x14ac:dyDescent="0.2">
      <c r="A40" t="s">
        <v>279</v>
      </c>
      <c r="B40" t="str">
        <f>IFERROR(IF(VLOOKUP($A40,Parts!$A$2:$M$200,2,FALSE())=0,"",VLOOKUP($A40,Parts!$A$2:$M$200,2,FALSE())),"")</f>
        <v>Widerstand</v>
      </c>
      <c r="C40" s="48" t="str">
        <f>IFERROR(IF(VLOOKUP($A40,Parts!$A$2:$M$200,3,FALSE())=0,"",VLOOKUP($A40,Parts!$A$2:$M$200,3,FALSE())),"")</f>
        <v>Widerstand 1 kΩ SMD</v>
      </c>
      <c r="D40" s="48" t="str">
        <f>IFERROR(IF(VLOOKUP($A40,Parts!$A$2:$M$200,4,FALSE())=0,"",VLOOKUP($A40,Parts!$A$2:$M$200,4,FALSE())),"")</f>
        <v>1 kΩ</v>
      </c>
      <c r="E40" s="48" t="str">
        <f>IFERROR(IF(VLOOKUP($A40,Parts!$A$2:$M$200,5,FALSE())=0,"",VLOOKUP($A40,Parts!$A$2:$M$200,5,FALSE())),"")</f>
        <v>Resistor_SMD:R_1206_3216Metric_Pad1.30x1.75mm_HandSolder</v>
      </c>
      <c r="F40" t="str">
        <f>IFERROR(IF(VLOOKUP($A40,Parts!$A$2:$M$200,6,FALSE())=0,"",VLOOKUP($A40,Parts!$A$2:$M$200,6,FALSE())),"")</f>
        <v>Vishay</v>
      </c>
      <c r="G40" t="str">
        <f>IFERROR(IF(VLOOKUP($A40,Parts!$A$2:$M$200,7,FALSE())=0,"",VLOOKUP($A40,Parts!$A$2:$M$200,7,FALSE())),"")</f>
        <v>CRCW12061K00FKEA</v>
      </c>
      <c r="H40" s="58" t="s">
        <v>822</v>
      </c>
      <c r="I40" t="str">
        <f>IF(OR($A40="",$H40=""),"",IFERROR(IF(INDEX(Part_Suppliers!$C$2:$C$300,MATCH($A40&amp;"|"&amp;$H40,Part_Suppliers!$K$2:$K$300,0))=0,"",INDEX(Part_Suppliers!$C$2:$C$300,MATCH($A40&amp;"|"&amp;$H40,Part_Suppliers!$K$2:$K$300,0))),""))</f>
        <v>VIS CRCW12061K0</v>
      </c>
      <c r="J40" s="50">
        <v>0</v>
      </c>
      <c r="K40" s="50">
        <v>0</v>
      </c>
      <c r="L40" s="48" t="str">
        <f>IFERROR(IF(VLOOKUP($A40,Parts!$A$2:$M$200,8,FALSE())=0,"",VLOOKUP($A40,Parts!$A$2:$M$200,8,FALSE())),"")</f>
        <v>DuoRelay</v>
      </c>
      <c r="M40" s="48" t="str">
        <f>IFERROR(IF(VLOOKUP($A40,Parts!$A$2:$M$200,12,FALSE())=0,"",VLOOKUP($A40,Parts!$A$2:$M$200,12,FALSE())),"")</f>
        <v/>
      </c>
      <c r="N40" s="59"/>
      <c r="O40" s="60" t="s">
        <v>818</v>
      </c>
      <c r="S40" t="str">
        <f>IF(O40="drucken",COUNTIF($O$5:O40,"drucken"),"")</f>
        <v/>
      </c>
    </row>
    <row r="41" spans="1:19" ht="15" customHeight="1" x14ac:dyDescent="0.2">
      <c r="A41" t="s">
        <v>284</v>
      </c>
      <c r="B41" t="str">
        <f>IFERROR(IF(VLOOKUP($A41,Parts!$A$2:$M$200,2,FALSE())=0,"",VLOOKUP($A41,Parts!$A$2:$M$200,2,FALSE())),"")</f>
        <v>Kondensator</v>
      </c>
      <c r="C41" s="48" t="str">
        <f>IFERROR(IF(VLOOKUP($A41,Parts!$A$2:$M$200,3,FALSE())=0,"",VLOOKUP($A41,Parts!$A$2:$M$200,3,FALSE())),"")</f>
        <v>Elektrolytkondensator 47 µF radial</v>
      </c>
      <c r="D41" s="48" t="str">
        <f>IFERROR(IF(VLOOKUP($A41,Parts!$A$2:$M$200,4,FALSE())=0,"",VLOOKUP($A41,Parts!$A$2:$M$200,4,FALSE())),"")</f>
        <v>47 µF, 50 V</v>
      </c>
      <c r="E41" s="48" t="str">
        <f>IFERROR(IF(VLOOKUP($A41,Parts!$A$2:$M$200,5,FALSE())=0,"",VLOOKUP($A41,Parts!$A$2:$M$200,5,FALSE())),"")</f>
        <v>Capacitor_SMD:CP_Elec_6.3x7.7</v>
      </c>
      <c r="F41" t="str">
        <f>IFERROR(IF(VLOOKUP($A41,Parts!$A$2:$M$200,6,FALSE())=0,"",VLOOKUP($A41,Parts!$A$2:$M$200,6,FALSE())),"")</f>
        <v>Europe ChemiCon</v>
      </c>
      <c r="G41" t="str">
        <f>IFERROR(IF(VLOOKUP($A41,Parts!$A$2:$M$200,7,FALSE())=0,"",VLOOKUP($A41,Parts!$A$2:$M$200,7,FALSE())),"")</f>
        <v>HHXC500ARA470MHA0G</v>
      </c>
      <c r="H41" s="58" t="s">
        <v>822</v>
      </c>
      <c r="I41" t="str">
        <f>IF(OR($A41="",$H41=""),"",IFERROR(IF(INDEX(Part_Suppliers!$C$2:$C$300,MATCH($A41&amp;"|"&amp;$H41,Part_Suppliers!$K$2:$K$300,0))=0,"",INDEX(Part_Suppliers!$C$2:$C$300,MATCH($A41&amp;"|"&amp;$H41,Part_Suppliers!$K$2:$K$300,0))),""))</f>
        <v>ECC HXC500ARA470</v>
      </c>
      <c r="J41" s="50">
        <v>0</v>
      </c>
      <c r="K41" s="50">
        <v>0</v>
      </c>
      <c r="L41" s="48" t="str">
        <f>IFERROR(IF(VLOOKUP($A41,Parts!$A$2:$M$200,8,FALSE())=0,"",VLOOKUP($A41,Parts!$A$2:$M$200,8,FALSE())),"")</f>
        <v>EnvNodeMini Rev 0.1</v>
      </c>
      <c r="M41" s="48" t="str">
        <f>IFERROR(IF(VLOOKUP($A41,Parts!$A$2:$M$200,12,FALSE())=0,"",VLOOKUP($A41,Parts!$A$2:$M$200,12,FALSE())),"")</f>
        <v/>
      </c>
      <c r="N41" s="59"/>
      <c r="O41" s="60" t="s">
        <v>818</v>
      </c>
      <c r="S41" t="str">
        <f>IF(O41="drucken",COUNTIF($O$5:O41,"drucken"),"")</f>
        <v/>
      </c>
    </row>
    <row r="42" spans="1:19" ht="15" customHeight="1" x14ac:dyDescent="0.2">
      <c r="A42" t="s">
        <v>292</v>
      </c>
      <c r="B42" t="str">
        <f>IFERROR(IF(VLOOKUP($A42,Parts!$A$2:$M$200,2,FALSE())=0,"",VLOOKUP($A42,Parts!$A$2:$M$200,2,FALSE())),"")</f>
        <v>Diode</v>
      </c>
      <c r="C42" s="48" t="str">
        <f>IFERROR(IF(VLOOKUP($A42,Parts!$A$2:$M$200,3,FALSE())=0,"",VLOOKUP($A42,Parts!$A$2:$M$200,3,FALSE())),"")</f>
        <v>Schottky-Diode STPS3L60S</v>
      </c>
      <c r="D42" s="48" t="str">
        <f>IFERROR(IF(VLOOKUP($A42,Parts!$A$2:$M$200,4,FALSE())=0,"",VLOOKUP($A42,Parts!$A$2:$M$200,4,FALSE())),"")</f>
        <v>B360B-13-F</v>
      </c>
      <c r="E42" s="48" t="str">
        <f>IFERROR(IF(VLOOKUP($A42,Parts!$A$2:$M$200,5,FALSE())=0,"",VLOOKUP($A42,Parts!$A$2:$M$200,5,FALSE())),"")</f>
        <v>Diode_SMD:D_SMB_Handsoldering</v>
      </c>
      <c r="F42" t="str">
        <f>IFERROR(IF(VLOOKUP($A42,Parts!$A$2:$M$200,6,FALSE())=0,"",VLOOKUP($A42,Parts!$A$2:$M$200,6,FALSE())),"")</f>
        <v>Diodes</v>
      </c>
      <c r="G42" t="str">
        <f>IFERROR(IF(VLOOKUP($A42,Parts!$A$2:$M$200,7,FALSE())=0,"",VLOOKUP($A42,Parts!$A$2:$M$200,7,FALSE())),"")</f>
        <v>STPS3L60S</v>
      </c>
      <c r="H42" s="58" t="s">
        <v>822</v>
      </c>
      <c r="I42" t="str">
        <f>IF(OR($A42="",$H42=""),"",IFERROR(IF(INDEX(Part_Suppliers!$C$2:$C$300,MATCH($A42&amp;"|"&amp;$H42,Part_Suppliers!$K$2:$K$300,0))=0,"",INDEX(Part_Suppliers!$C$2:$C$300,MATCH($A42&amp;"|"&amp;$H42,Part_Suppliers!$K$2:$K$300,0))),""))</f>
        <v>B360B-13-F DII</v>
      </c>
      <c r="J42" s="50">
        <v>0</v>
      </c>
      <c r="K42" s="50">
        <v>0</v>
      </c>
      <c r="L42" s="48" t="str">
        <f>IFERROR(IF(VLOOKUP($A42,Parts!$A$2:$M$200,8,FALSE())=0,"",VLOOKUP($A42,Parts!$A$2:$M$200,8,FALSE())),"")</f>
        <v>EnvNodeMini Rev 0.1</v>
      </c>
      <c r="M42" s="48" t="str">
        <f>IFERROR(IF(VLOOKUP($A42,Parts!$A$2:$M$200,12,FALSE())=0,"",VLOOKUP($A42,Parts!$A$2:$M$200,12,FALSE())),"")</f>
        <v/>
      </c>
      <c r="N42" s="59"/>
      <c r="O42" s="60" t="s">
        <v>818</v>
      </c>
      <c r="S42" t="str">
        <f>IF(O42="drucken",COUNTIF($O$5:O42,"drucken"),"")</f>
        <v/>
      </c>
    </row>
    <row r="43" spans="1:19" ht="15" customHeight="1" x14ac:dyDescent="0.2">
      <c r="A43" t="s">
        <v>299</v>
      </c>
      <c r="B43" t="str">
        <f>IFERROR(IF(VLOOKUP($A43,Parts!$A$2:$M$200,2,FALSE())=0,"",VLOOKUP($A43,Parts!$A$2:$M$200,2,FALSE())),"")</f>
        <v>Schutzdiode</v>
      </c>
      <c r="C43" s="48" t="str">
        <f>IFERROR(IF(VLOOKUP($A43,Parts!$A$2:$M$200,3,FALSE())=0,"",VLOOKUP($A43,Parts!$A$2:$M$200,3,FALSE())),"")</f>
        <v>TVS-Diode SMBJ24A</v>
      </c>
      <c r="D43" s="48" t="str">
        <f>IFERROR(IF(VLOOKUP($A43,Parts!$A$2:$M$200,4,FALSE())=0,"",VLOOKUP($A43,Parts!$A$2:$M$200,4,FALSE())),"")</f>
        <v>24 V</v>
      </c>
      <c r="E43" s="48" t="str">
        <f>IFERROR(IF(VLOOKUP($A43,Parts!$A$2:$M$200,5,FALSE())=0,"",VLOOKUP($A43,Parts!$A$2:$M$200,5,FALSE())),"")</f>
        <v>Diode_SMD:D_SMB_Handsoldering</v>
      </c>
      <c r="F43" t="str">
        <f>IFERROR(IF(VLOOKUP($A43,Parts!$A$2:$M$200,6,FALSE())=0,"",VLOOKUP($A43,Parts!$A$2:$M$200,6,FALSE())),"")</f>
        <v>Littelfuse</v>
      </c>
      <c r="G43" t="str">
        <f>IFERROR(IF(VLOOKUP($A43,Parts!$A$2:$M$200,7,FALSE())=0,"",VLOOKUP($A43,Parts!$A$2:$M$200,7,FALSE())),"")</f>
        <v>SMBJ24A</v>
      </c>
      <c r="H43" s="58" t="s">
        <v>822</v>
      </c>
      <c r="I43" t="str">
        <f>IF(OR($A43="",$H43=""),"",IFERROR(IF(INDEX(Part_Suppliers!$C$2:$C$300,MATCH($A43&amp;"|"&amp;$H43,Part_Suppliers!$K$2:$K$300,0))=0,"",INDEX(Part_Suppliers!$C$2:$C$300,MATCH($A43&amp;"|"&amp;$H43,Part_Suppliers!$K$2:$K$300,0))),""))</f>
        <v>P6SMB 24A SMD</v>
      </c>
      <c r="J43" s="50">
        <v>0</v>
      </c>
      <c r="K43" s="50">
        <v>0</v>
      </c>
      <c r="L43" s="48" t="str">
        <f>IFERROR(IF(VLOOKUP($A43,Parts!$A$2:$M$200,8,FALSE())=0,"",VLOOKUP($A43,Parts!$A$2:$M$200,8,FALSE())),"")</f>
        <v>EnvNodeMini Rev 0.1</v>
      </c>
      <c r="M43" s="48" t="str">
        <f>IFERROR(IF(VLOOKUP($A43,Parts!$A$2:$M$200,12,FALSE())=0,"",VLOOKUP($A43,Parts!$A$2:$M$200,12,FALSE())),"")</f>
        <v/>
      </c>
      <c r="N43" s="59"/>
      <c r="O43" s="60" t="s">
        <v>818</v>
      </c>
      <c r="S43" t="str">
        <f>IF(O43="drucken",COUNTIF($O$5:O43,"drucken"),"")</f>
        <v/>
      </c>
    </row>
    <row r="44" spans="1:19" ht="15" customHeight="1" x14ac:dyDescent="0.2">
      <c r="A44" t="s">
        <v>306</v>
      </c>
      <c r="B44" t="str">
        <f>IFERROR(IF(VLOOKUP($A44,Parts!$A$2:$M$200,2,FALSE())=0,"",VLOOKUP($A44,Parts!$A$2:$M$200,2,FALSE())),"")</f>
        <v>Sicherung</v>
      </c>
      <c r="C44" s="48" t="str">
        <f>IFERROR(IF(VLOOKUP($A44,Parts!$A$2:$M$200,3,FALSE())=0,"",VLOOKUP($A44,Parts!$A$2:$M$200,3,FALSE())),"")</f>
        <v>Sicherung 2 A</v>
      </c>
      <c r="D44" s="48" t="str">
        <f>IFERROR(IF(VLOOKUP($A44,Parts!$A$2:$M$200,4,FALSE())=0,"",VLOOKUP($A44,Parts!$A$2:$M$200,4,FALSE())),"")</f>
        <v>2 A</v>
      </c>
      <c r="E44" s="48" t="str">
        <f>IFERROR(IF(VLOOKUP($A44,Parts!$A$2:$M$200,5,FALSE())=0,"",VLOOKUP($A44,Parts!$A$2:$M$200,5,FALSE())),"")</f>
        <v>Fuse:Fuse_Littelfuse-NANO2-451_453</v>
      </c>
      <c r="F44" t="str">
        <f>IFERROR(IF(VLOOKUP($A44,Parts!$A$2:$M$200,6,FALSE())=0,"",VLOOKUP($A44,Parts!$A$2:$M$200,6,FALSE())),"")</f>
        <v>Littelfuse</v>
      </c>
      <c r="G44" t="str">
        <f>IFERROR(IF(VLOOKUP($A44,Parts!$A$2:$M$200,7,FALSE())=0,"",VLOOKUP($A44,Parts!$A$2:$M$200,7,FALSE())),"")</f>
        <v/>
      </c>
      <c r="H44" s="58" t="s">
        <v>826</v>
      </c>
      <c r="I44" t="str">
        <f>IF(OR($A44="",$H44=""),"",IFERROR(IF(INDEX(Part_Suppliers!$C$2:$C$300,MATCH($A44&amp;"|"&amp;$H44,Part_Suppliers!$K$2:$K$300,0))=0,"",INDEX(Part_Suppliers!$C$2:$C$300,MATCH($A44&amp;"|"&amp;$H44,Part_Suppliers!$K$2:$K$300,0))),""))</f>
        <v/>
      </c>
      <c r="J44" s="50">
        <v>0</v>
      </c>
      <c r="K44" s="50">
        <v>0</v>
      </c>
      <c r="L44" s="48" t="str">
        <f>IFERROR(IF(VLOOKUP($A44,Parts!$A$2:$M$200,8,FALSE())=0,"",VLOOKUP($A44,Parts!$A$2:$M$200,8,FALSE())),"")</f>
        <v>EnvNodeMini Rev 0.1</v>
      </c>
      <c r="M44" s="48" t="str">
        <f>IFERROR(IF(VLOOKUP($A44,Parts!$A$2:$M$200,12,FALSE())=0,"",VLOOKUP($A44,Parts!$A$2:$M$200,12,FALSE())),"")</f>
        <v>Exakte Serie/MPN und Auslösecharakteristik ergänzen.</v>
      </c>
      <c r="N44" s="59"/>
      <c r="O44" s="60" t="s">
        <v>818</v>
      </c>
      <c r="S44" t="str">
        <f>IF(O44="drucken",COUNTIF($O$5:O44,"drucken"),"")</f>
        <v/>
      </c>
    </row>
    <row r="45" spans="1:19" ht="26.25" customHeight="1" x14ac:dyDescent="0.2">
      <c r="A45" t="s">
        <v>314</v>
      </c>
      <c r="B45" t="str">
        <f>IFERROR(IF(VLOOKUP($A45,Parts!$A$2:$M$200,2,FALSE())=0,"",VLOOKUP($A45,Parts!$A$2:$M$200,2,FALSE())),"")</f>
        <v>Steckverbinder</v>
      </c>
      <c r="C45" s="48" t="str">
        <f>IFERROR(IF(VLOOKUP($A45,Parts!$A$2:$M$200,3,FALSE())=0,"",VLOOKUP($A45,Parts!$A$2:$M$200,3,FALSE())),"")</f>
        <v>Schraubklemme 1x2, horizontal</v>
      </c>
      <c r="D45" s="48" t="str">
        <f>IFERROR(IF(VLOOKUP($A45,Parts!$A$2:$M$200,4,FALSE())=0,"",VLOOKUP($A45,Parts!$A$2:$M$200,4,FALSE())),"")</f>
        <v>2-polig, 5,00 mm</v>
      </c>
      <c r="E45" s="48" t="str">
        <f>IFERROR(IF(VLOOKUP($A45,Parts!$A$2:$M$200,5,FALSE())=0,"",VLOOKUP($A45,Parts!$A$2:$M$200,5,FALSE())),"")</f>
        <v>TerminalBlock_RND:TerminalBlock_RND_205-00001_1x02_P5.00mm_Horizontal</v>
      </c>
      <c r="F45" t="str">
        <f>IFERROR(IF(VLOOKUP($A45,Parts!$A$2:$M$200,6,FALSE())=0,"",VLOOKUP($A45,Parts!$A$2:$M$200,6,FALSE())),"")</f>
        <v>RND</v>
      </c>
      <c r="G45" t="str">
        <f>IFERROR(IF(VLOOKUP($A45,Parts!$A$2:$M$200,7,FALSE())=0,"",VLOOKUP($A45,Parts!$A$2:$M$200,7,FALSE())),"")</f>
        <v>205-00001</v>
      </c>
      <c r="H45" s="58" t="s">
        <v>826</v>
      </c>
      <c r="I45" t="str">
        <f>IF(OR($A45="",$H45=""),"",IFERROR(IF(INDEX(Part_Suppliers!$C$2:$C$300,MATCH($A45&amp;"|"&amp;$H45,Part_Suppliers!$K$2:$K$300,0))=0,"",INDEX(Part_Suppliers!$C$2:$C$300,MATCH($A45&amp;"|"&amp;$H45,Part_Suppliers!$K$2:$K$300,0))),""))</f>
        <v/>
      </c>
      <c r="J45" s="50">
        <v>0</v>
      </c>
      <c r="K45" s="50">
        <v>0</v>
      </c>
      <c r="L45" s="48" t="str">
        <f>IFERROR(IF(VLOOKUP($A45,Parts!$A$2:$M$200,8,FALSE())=0,"",VLOOKUP($A45,Parts!$A$2:$M$200,8,FALSE())),"")</f>
        <v>EnvNodeMini Rev 0.1</v>
      </c>
      <c r="M45" s="48" t="str">
        <f>IFERROR(IF(VLOOKUP($A45,Parts!$A$2:$M$200,12,FALSE())=0,"",VLOOKUP($A45,Parts!$A$2:$M$200,12,FALSE())),"")</f>
        <v/>
      </c>
      <c r="N45" s="59"/>
      <c r="O45" s="60" t="s">
        <v>818</v>
      </c>
      <c r="S45" t="str">
        <f>IF(O45="drucken",COUNTIF($O$5:O45,"drucken"),"")</f>
        <v/>
      </c>
    </row>
    <row r="46" spans="1:19" ht="15" customHeight="1" x14ac:dyDescent="0.2">
      <c r="A46" t="s">
        <v>321</v>
      </c>
      <c r="B46" t="str">
        <f>IFERROR(IF(VLOOKUP($A46,Parts!$A$2:$M$200,2,FALSE())=0,"",VLOOKUP($A46,Parts!$A$2:$M$200,2,FALSE())),"")</f>
        <v>DC/DC-Wandler</v>
      </c>
      <c r="C46" s="48" t="str">
        <f>IFERROR(IF(VLOOKUP($A46,Parts!$A$2:$M$200,3,FALSE())=0,"",VLOOKUP($A46,Parts!$A$2:$M$200,3,FALSE())),"")</f>
        <v>Schaltreglermodul 5 V</v>
      </c>
      <c r="D46" s="48" t="str">
        <f>IFERROR(IF(VLOOKUP($A46,Parts!$A$2:$M$200,4,FALSE())=0,"",VLOOKUP($A46,Parts!$A$2:$M$200,4,FALSE())),"")</f>
        <v>TSR 1-2450</v>
      </c>
      <c r="E46" s="48" t="str">
        <f>IFERROR(IF(VLOOKUP($A46,Parts!$A$2:$M$200,5,FALSE())=0,"",VLOOKUP($A46,Parts!$A$2:$M$200,5,FALSE())),"")</f>
        <v>Converter_DCDC:Converter_DCDC_TRACO_TSR-1_THT</v>
      </c>
      <c r="F46" t="str">
        <f>IFERROR(IF(VLOOKUP($A46,Parts!$A$2:$M$200,6,FALSE())=0,"",VLOOKUP($A46,Parts!$A$2:$M$200,6,FALSE())),"")</f>
        <v>Traco Power</v>
      </c>
      <c r="G46" t="str">
        <f>IFERROR(IF(VLOOKUP($A46,Parts!$A$2:$M$200,7,FALSE())=0,"",VLOOKUP($A46,Parts!$A$2:$M$200,7,FALSE())),"")</f>
        <v>TSR 1-2450</v>
      </c>
      <c r="H46" s="58" t="s">
        <v>822</v>
      </c>
      <c r="I46" t="str">
        <f>IF(OR($A46="",$H46=""),"",IFERROR(IF(INDEX(Part_Suppliers!$C$2:$C$300,MATCH($A46&amp;"|"&amp;$H46,Part_Suppliers!$K$2:$K$300,0))=0,"",INDEX(Part_Suppliers!$C$2:$C$300,MATCH($A46&amp;"|"&amp;$H46,Part_Suppliers!$K$2:$K$300,0))),""))</f>
        <v>TSR 1-2450</v>
      </c>
      <c r="J46" s="50">
        <v>0</v>
      </c>
      <c r="K46" s="50">
        <v>0</v>
      </c>
      <c r="L46" s="48" t="str">
        <f>IFERROR(IF(VLOOKUP($A46,Parts!$A$2:$M$200,8,FALSE())=0,"",VLOOKUP($A46,Parts!$A$2:$M$200,8,FALSE())),"")</f>
        <v>EnvNodeMini Rev 0.1</v>
      </c>
      <c r="M46" s="48" t="str">
        <f>IFERROR(IF(VLOOKUP($A46,Parts!$A$2:$M$200,12,FALSE())=0,"",VLOOKUP($A46,Parts!$A$2:$M$200,12,FALSE())),"")</f>
        <v/>
      </c>
      <c r="N46" s="59"/>
      <c r="O46" s="60" t="s">
        <v>818</v>
      </c>
      <c r="S46" t="str">
        <f>IF(O46="drucken",COUNTIF($O$5:O46,"drucken"),"")</f>
        <v/>
      </c>
    </row>
    <row r="47" spans="1:19" ht="26.25" customHeight="1" x14ac:dyDescent="0.2">
      <c r="A47" t="s">
        <v>328</v>
      </c>
      <c r="B47" t="str">
        <f>IFERROR(IF(VLOOKUP($A47,Parts!$A$2:$M$200,2,FALSE())=0,"",VLOOKUP($A47,Parts!$A$2:$M$200,2,FALSE())),"")</f>
        <v>DC/DC-Wandler</v>
      </c>
      <c r="C47" s="48" t="str">
        <f>IFERROR(IF(VLOOKUP($A47,Parts!$A$2:$M$200,3,FALSE())=0,"",VLOOKUP($A47,Parts!$A$2:$M$200,3,FALSE())),"")</f>
        <v>Schaltreglermodul 3,3 V</v>
      </c>
      <c r="D47" s="48" t="str">
        <f>IFERROR(IF(VLOOKUP($A47,Parts!$A$2:$M$200,4,FALSE())=0,"",VLOOKUP($A47,Parts!$A$2:$M$200,4,FALSE())),"")</f>
        <v>TSR 1-2433</v>
      </c>
      <c r="E47" s="48" t="str">
        <f>IFERROR(IF(VLOOKUP($A47,Parts!$A$2:$M$200,5,FALSE())=0,"",VLOOKUP($A47,Parts!$A$2:$M$200,5,FALSE())),"")</f>
        <v>Converter_DCDC:Converter_DCDC_TRACO_TSR-1_THT</v>
      </c>
      <c r="F47" t="str">
        <f>IFERROR(IF(VLOOKUP($A47,Parts!$A$2:$M$200,6,FALSE())=0,"",VLOOKUP($A47,Parts!$A$2:$M$200,6,FALSE())),"")</f>
        <v>Traco Power</v>
      </c>
      <c r="G47" t="str">
        <f>IFERROR(IF(VLOOKUP($A47,Parts!$A$2:$M$200,7,FALSE())=0,"",VLOOKUP($A47,Parts!$A$2:$M$200,7,FALSE())),"")</f>
        <v>TSR 1-2433</v>
      </c>
      <c r="H47" s="58" t="s">
        <v>822</v>
      </c>
      <c r="I47" t="str">
        <f>IF(OR($A47="",$H47=""),"",IFERROR(IF(INDEX(Part_Suppliers!$C$2:$C$300,MATCH($A47&amp;"|"&amp;$H47,Part_Suppliers!$K$2:$K$300,0))=0,"",INDEX(Part_Suppliers!$C$2:$C$300,MATCH($A47&amp;"|"&amp;$H47,Part_Suppliers!$K$2:$K$300,0))),""))</f>
        <v>TSR 1-2433</v>
      </c>
      <c r="J47" s="50">
        <v>0</v>
      </c>
      <c r="K47" s="50">
        <v>0</v>
      </c>
      <c r="L47" s="48" t="str">
        <f>IFERROR(IF(VLOOKUP($A47,Parts!$A$2:$M$200,8,FALSE())=0,"",VLOOKUP($A47,Parts!$A$2:$M$200,8,FALSE())),"")</f>
        <v>EnvNodeMini Rev 0.1</v>
      </c>
      <c r="M47" s="48" t="str">
        <f>IFERROR(IF(VLOOKUP($A47,Parts!$A$2:$M$200,12,FALSE())=0,"",VLOOKUP($A47,Parts!$A$2:$M$200,12,FALSE())),"")</f>
        <v>KiCad-Library-ID basiert auf TSR_1-2450; Wert und tatsächliches Teil prüfen.</v>
      </c>
      <c r="N47" s="59"/>
      <c r="O47" s="60" t="s">
        <v>818</v>
      </c>
      <c r="S47" t="str">
        <f>IF(O47="drucken",COUNTIF($O$5:O47,"drucken"),"")</f>
        <v/>
      </c>
    </row>
    <row r="48" spans="1:19" ht="26.25" customHeight="1" x14ac:dyDescent="0.2">
      <c r="A48" t="s">
        <v>333</v>
      </c>
      <c r="B48" t="str">
        <f>IFERROR(IF(VLOOKUP($A48,Parts!$A$2:$M$200,2,FALSE())=0,"",VLOOKUP($A48,Parts!$A$2:$M$200,2,FALSE())),"")</f>
        <v>Kondensator</v>
      </c>
      <c r="C48" s="48" t="str">
        <f>IFERROR(IF(VLOOKUP($A48,Parts!$A$2:$M$200,3,FALSE())=0,"",VLOOKUP($A48,Parts!$A$2:$M$200,3,FALSE())),"")</f>
        <v>Keramikkondensator 10 nF SMD</v>
      </c>
      <c r="D48" s="48" t="str">
        <f>IFERROR(IF(VLOOKUP($A48,Parts!$A$2:$M$200,4,FALSE())=0,"",VLOOKUP($A48,Parts!$A$2:$M$200,4,FALSE())),"")</f>
        <v>10 nF</v>
      </c>
      <c r="E48" s="48" t="str">
        <f>IFERROR(IF(VLOOKUP($A48,Parts!$A$2:$M$200,5,FALSE())=0,"",VLOOKUP($A48,Parts!$A$2:$M$200,5,FALSE())),"")</f>
        <v>Capacitor_SMD:C_1206_3216Metric_Pad1.33x1.80mm_HandSolder</v>
      </c>
      <c r="F48" t="str">
        <f>IFERROR(IF(VLOOKUP($A48,Parts!$A$2:$M$200,6,FALSE())=0,"",VLOOKUP($A48,Parts!$A$2:$M$200,6,FALSE())),"")</f>
        <v>Kyocera</v>
      </c>
      <c r="G48" t="str">
        <f>IFERROR(IF(VLOOKUP($A48,Parts!$A$2:$M$200,7,FALSE())=0,"",VLOOKUP($A48,Parts!$A$2:$M$200,7,FALSE())),"")</f>
        <v>12061C103JAT2A</v>
      </c>
      <c r="H48" s="58" t="s">
        <v>822</v>
      </c>
      <c r="I48" t="str">
        <f>IF(OR($A48="",$H48=""),"",IFERROR(IF(INDEX(Part_Suppliers!$C$2:$C$300,MATCH($A48&amp;"|"&amp;$H48,Part_Suppliers!$K$2:$K$300,0))=0,"",INDEX(Part_Suppliers!$C$2:$C$300,MATCH($A48&amp;"|"&amp;$H48,Part_Suppliers!$K$2:$K$300,0))),""))</f>
        <v>12061C103JAT2A</v>
      </c>
      <c r="J48" s="50">
        <v>0</v>
      </c>
      <c r="K48" s="50">
        <v>0</v>
      </c>
      <c r="L48" s="48" t="str">
        <f>IFERROR(IF(VLOOKUP($A48,Parts!$A$2:$M$200,8,FALSE())=0,"",VLOOKUP($A48,Parts!$A$2:$M$200,8,FALSE())),"")</f>
        <v>SolarRadiation</v>
      </c>
      <c r="M48" s="48" t="str">
        <f>IFERROR(IF(VLOOKUP($A48,Parts!$A$2:$M$200,12,FALSE())=0,"",VLOOKUP($A48,Parts!$A$2:$M$200,12,FALSE())),"")</f>
        <v/>
      </c>
      <c r="N48" s="59"/>
      <c r="O48" s="60" t="s">
        <v>818</v>
      </c>
      <c r="S48" t="str">
        <f>IF(O48="drucken",COUNTIF($O$5:O48,"drucken"),"")</f>
        <v/>
      </c>
    </row>
    <row r="49" spans="1:19" ht="26.25" customHeight="1" x14ac:dyDescent="0.2">
      <c r="A49" t="s">
        <v>339</v>
      </c>
      <c r="B49" t="str">
        <f>IFERROR(IF(VLOOKUP($A49,Parts!$A$2:$M$200,2,FALSE())=0,"",VLOOKUP($A49,Parts!$A$2:$M$200,2,FALSE())),"")</f>
        <v>Widerstand</v>
      </c>
      <c r="C49" s="48" t="str">
        <f>IFERROR(IF(VLOOKUP($A49,Parts!$A$2:$M$200,3,FALSE())=0,"",VLOOKUP($A49,Parts!$A$2:$M$200,3,FALSE())),"")</f>
        <v>Widerstand, Metallschicht, 2 Ohm, 0207, 600 mW, 0,1%</v>
      </c>
      <c r="D49" s="48" t="str">
        <f>IFERROR(IF(VLOOKUP($A49,Parts!$A$2:$M$200,4,FALSE())=0,"",VLOOKUP($A49,Parts!$A$2:$M$200,4,FALSE())),"")</f>
        <v>2 Ω</v>
      </c>
      <c r="E49" s="48" t="str">
        <f>IFERROR(IF(VLOOKUP($A49,Parts!$A$2:$M$200,5,FALSE())=0,"",VLOOKUP($A49,Parts!$A$2:$M$200,5,FALSE())),"")</f>
        <v>Resistor_THT:R_Axial_DIN0207_L6.3mm_D2.5mm_P7.62mm_Horizontal</v>
      </c>
      <c r="F49" t="str">
        <f>IFERROR(IF(VLOOKUP($A49,Parts!$A$2:$M$200,6,FALSE())=0,"",VLOOKUP($A49,Parts!$A$2:$M$200,6,FALSE())),"")</f>
        <v>Yageo</v>
      </c>
      <c r="G49" t="str">
        <f>IFERROR(IF(VLOOKUP($A49,Parts!$A$2:$M$200,7,FALSE())=0,"",VLOOKUP($A49,Parts!$A$2:$M$200,7,FALSE())),"")</f>
        <v>MF0207FTE52-2R</v>
      </c>
      <c r="H49" s="58" t="s">
        <v>822</v>
      </c>
      <c r="I49" t="str">
        <f>IF(OR($A49="",$H49=""),"",IFERROR(IF(INDEX(Part_Suppliers!$C$2:$C$300,MATCH($A49&amp;"|"&amp;$H49,Part_Suppliers!$K$2:$K$300,0))=0,"",INDEX(Part_Suppliers!$C$2:$C$300,MATCH($A49&amp;"|"&amp;$H49,Part_Suppliers!$K$2:$K$300,0))),""))</f>
        <v>METALL 2,00</v>
      </c>
      <c r="J49" s="50">
        <v>0</v>
      </c>
      <c r="K49" s="50">
        <v>0</v>
      </c>
      <c r="L49" s="48" t="str">
        <f>IFERROR(IF(VLOOKUP($A49,Parts!$A$2:$M$200,8,FALSE())=0,"",VLOOKUP($A49,Parts!$A$2:$M$200,8,FALSE())),"")</f>
        <v>SolarRadiation</v>
      </c>
      <c r="M49" s="48" t="str">
        <f>IFERROR(IF(VLOOKUP($A49,Parts!$A$2:$M$200,12,FALSE())=0,"",VLOOKUP($A49,Parts!$A$2:$M$200,12,FALSE())),"")</f>
        <v/>
      </c>
      <c r="N49" s="59"/>
      <c r="O49" s="60" t="s">
        <v>818</v>
      </c>
      <c r="S49" t="str">
        <f>IF(O49="drucken",COUNTIF($O$5:O49,"drucken"),"")</f>
        <v/>
      </c>
    </row>
    <row r="50" spans="1:19" ht="15" customHeight="1" x14ac:dyDescent="0.2">
      <c r="A50" t="s">
        <v>345</v>
      </c>
      <c r="B50" t="str">
        <f>IFERROR(IF(VLOOKUP($A50,Parts!$A$2:$M$200,2,FALSE())=0,"",VLOOKUP($A50,Parts!$A$2:$M$200,2,FALSE())),"")</f>
        <v>Solarzelle</v>
      </c>
      <c r="C50" s="48" t="str">
        <f>IFERROR(IF(VLOOKUP($A50,Parts!$A$2:$M$200,3,FALSE())=0,"",VLOOKUP($A50,Parts!$A$2:$M$200,3,FALSE())),"")</f>
        <v>Solarzelle KXOB25-14X1F-TB</v>
      </c>
      <c r="D50" s="48" t="str">
        <f>IFERROR(IF(VLOOKUP($A50,Parts!$A$2:$M$200,4,FALSE())=0,"",VLOOKUP($A50,Parts!$A$2:$M$200,4,FALSE())),"")</f>
        <v>KXOB25-14X1F-TB</v>
      </c>
      <c r="E50" s="48" t="str">
        <f>IFERROR(IF(VLOOKUP($A50,Parts!$A$2:$M$200,5,FALSE())=0,"",VLOOKUP($A50,Parts!$A$2:$M$200,5,FALSE())),"")</f>
        <v>EnvNode-Footprints:KXOB25-14X1F</v>
      </c>
      <c r="F50" t="str">
        <f>IFERROR(IF(VLOOKUP($A50,Parts!$A$2:$M$200,6,FALSE())=0,"",VLOOKUP($A50,Parts!$A$2:$M$200,6,FALSE())),"")</f>
        <v/>
      </c>
      <c r="G50" t="str">
        <f>IFERROR(IF(VLOOKUP($A50,Parts!$A$2:$M$200,7,FALSE())=0,"",VLOOKUP($A50,Parts!$A$2:$M$200,7,FALSE())),"")</f>
        <v>KXOB25-14X1F-TB</v>
      </c>
      <c r="H50" s="58" t="s">
        <v>826</v>
      </c>
      <c r="I50" t="str">
        <f>IF(OR($A50="",$H50=""),"",IFERROR(IF(INDEX(Part_Suppliers!$C$2:$C$300,MATCH($A50&amp;"|"&amp;$H50,Part_Suppliers!$K$2:$K$300,0))=0,"",INDEX(Part_Suppliers!$C$2:$C$300,MATCH($A50&amp;"|"&amp;$H50,Part_Suppliers!$K$2:$K$300,0))),""))</f>
        <v/>
      </c>
      <c r="J50" s="50">
        <v>0</v>
      </c>
      <c r="K50" s="50">
        <v>0</v>
      </c>
      <c r="L50" s="48" t="str">
        <f>IFERROR(IF(VLOOKUP($A50,Parts!$A$2:$M$200,8,FALSE())=0,"",VLOOKUP($A50,Parts!$A$2:$M$200,8,FALSE())),"")</f>
        <v>SolarRadiation</v>
      </c>
      <c r="M50" s="48" t="str">
        <f>IFERROR(IF(VLOOKUP($A50,Parts!$A$2:$M$200,12,FALSE())=0,"",VLOOKUP($A50,Parts!$A$2:$M$200,12,FALSE())),"")</f>
        <v/>
      </c>
      <c r="N50" s="59"/>
      <c r="O50" s="60" t="s">
        <v>818</v>
      </c>
      <c r="S50" t="str">
        <f>IF(O50="drucken",COUNTIF($O$5:O50,"drucken"),"")</f>
        <v/>
      </c>
    </row>
    <row r="51" spans="1:19" ht="26.25" customHeight="1" x14ac:dyDescent="0.2">
      <c r="A51" t="s">
        <v>352</v>
      </c>
      <c r="B51" t="str">
        <f>IFERROR(IF(VLOOKUP($A51,Parts!$A$2:$M$200,2,FALSE())=0,"",VLOOKUP($A51,Parts!$A$2:$M$200,2,FALSE())),"")</f>
        <v>Sensor-IC</v>
      </c>
      <c r="C51" s="48" t="str">
        <f>IFERROR(IF(VLOOKUP($A51,Parts!$A$2:$M$200,3,FALSE())=0,"",VLOOKUP($A51,Parts!$A$2:$M$200,3,FALSE())),"")</f>
        <v>Temperatursensor TMP100</v>
      </c>
      <c r="D51" s="48" t="str">
        <f>IFERROR(IF(VLOOKUP($A51,Parts!$A$2:$M$200,4,FALSE())=0,"",VLOOKUP($A51,Parts!$A$2:$M$200,4,FALSE())),"")</f>
        <v>TMP100</v>
      </c>
      <c r="E51" s="48" t="str">
        <f>IFERROR(IF(VLOOKUP($A51,Parts!$A$2:$M$200,5,FALSE())=0,"",VLOOKUP($A51,Parts!$A$2:$M$200,5,FALSE())),"")</f>
        <v>Package_TO_SOT_SMD:SOT-23-6</v>
      </c>
      <c r="F51" t="str">
        <f>IFERROR(IF(VLOOKUP($A51,Parts!$A$2:$M$200,6,FALSE())=0,"",VLOOKUP($A51,Parts!$A$2:$M$200,6,FALSE())),"")</f>
        <v>Texas Instruments</v>
      </c>
      <c r="G51" t="str">
        <f>IFERROR(IF(VLOOKUP($A51,Parts!$A$2:$M$200,7,FALSE())=0,"",VLOOKUP($A51,Parts!$A$2:$M$200,7,FALSE())),"")</f>
        <v>TMP100</v>
      </c>
      <c r="H51" s="58" t="s">
        <v>826</v>
      </c>
      <c r="I51" t="str">
        <f>IF(OR($A51="",$H51=""),"",IFERROR(IF(INDEX(Part_Suppliers!$C$2:$C$300,MATCH($A51&amp;"|"&amp;$H51,Part_Suppliers!$K$2:$K$300,0))=0,"",INDEX(Part_Suppliers!$C$2:$C$300,MATCH($A51&amp;"|"&amp;$H51,Part_Suppliers!$K$2:$K$300,0))),""))</f>
        <v/>
      </c>
      <c r="J51" s="50">
        <v>0</v>
      </c>
      <c r="K51" s="50">
        <v>0</v>
      </c>
      <c r="L51" s="48" t="str">
        <f>IFERROR(IF(VLOOKUP($A51,Parts!$A$2:$M$200,8,FALSE())=0,"",VLOOKUP($A51,Parts!$A$2:$M$200,8,FALSE())),"")</f>
        <v>SolarRadiation</v>
      </c>
      <c r="M51" s="48" t="str">
        <f>IFERROR(IF(VLOOKUP($A51,Parts!$A$2:$M$200,12,FALSE())=0,"",VLOOKUP($A51,Parts!$A$2:$M$200,12,FALSE())),"")</f>
        <v>Vollständige bestellbare MPN einschließlich Genauigkeits-/Gehäusevariante ergänzen.</v>
      </c>
      <c r="N51" s="59"/>
      <c r="O51" s="60" t="s">
        <v>818</v>
      </c>
      <c r="S51" t="str">
        <f>IF(O51="drucken",COUNTIF($O$5:O51,"drucken"),"")</f>
        <v/>
      </c>
    </row>
    <row r="52" spans="1:19" ht="26.25" customHeight="1" x14ac:dyDescent="0.2">
      <c r="A52" t="s">
        <v>358</v>
      </c>
      <c r="B52" t="str">
        <f>IFERROR(IF(VLOOKUP($A52,Parts!$A$2:$M$200,2,FALSE())=0,"",VLOOKUP($A52,Parts!$A$2:$M$200,2,FALSE())),"")</f>
        <v>PCB</v>
      </c>
      <c r="C52" s="48" t="str">
        <f>IFERROR(IF(VLOOKUP($A52,Parts!$A$2:$M$200,3,FALSE())=0,"",VLOOKUP($A52,Parts!$A$2:$M$200,3,FALSE())),"")</f>
        <v>EnvNode Mainboard PCB</v>
      </c>
      <c r="D52" s="48" t="str">
        <f>IFERROR(IF(VLOOKUP($A52,Parts!$A$2:$M$200,4,FALSE())=0,"",VLOOKUP($A52,Parts!$A$2:$M$200,4,FALSE())),"")</f>
        <v>Revision 0.2</v>
      </c>
      <c r="E52" s="48" t="str">
        <f>IFERROR(IF(VLOOKUP($A52,Parts!$A$2:$M$200,5,FALSE())=0,"",VLOOKUP($A52,Parts!$A$2:$M$200,5,FALSE())),"")</f>
        <v>PCB: EnvNode.kicad_pcb</v>
      </c>
      <c r="F52" t="str">
        <f>IFERROR(IF(VLOOKUP($A52,Parts!$A$2:$M$200,6,FALSE())=0,"",VLOOKUP($A52,Parts!$A$2:$M$200,6,FALSE())),"")</f>
        <v>JLCPCB</v>
      </c>
      <c r="G52" t="str">
        <f>IFERROR(IF(VLOOKUP($A52,Parts!$A$2:$M$200,7,FALSE())=0,"",VLOOKUP($A52,Parts!$A$2:$M$200,7,FALSE())),"")</f>
        <v/>
      </c>
      <c r="H52" s="58" t="s">
        <v>103</v>
      </c>
      <c r="I52" t="str">
        <f>IF(OR($A52="",$H52=""),"",IFERROR(IF(INDEX(Part_Suppliers!$C$2:$C$300,MATCH($A52&amp;"|"&amp;$H52,Part_Suppliers!$K$2:$K$300,0))=0,"",INDEX(Part_Suppliers!$C$2:$C$300,MATCH($A52&amp;"|"&amp;$H52,Part_Suppliers!$K$2:$K$300,0))),""))</f>
        <v/>
      </c>
      <c r="J52" s="50">
        <v>0</v>
      </c>
      <c r="K52" s="50">
        <v>0</v>
      </c>
      <c r="L52" s="48" t="str">
        <f>IFERROR(IF(VLOOKUP($A52,Parts!$A$2:$M$200,8,FALSE())=0,"",VLOOKUP($A52,Parts!$A$2:$M$200,8,FALSE())),"")</f>
        <v>EnvNode</v>
      </c>
      <c r="M52" s="48" t="str">
        <f>IFERROR(IF(VLOOKUP($A52,Parts!$A$2:$M$200,12,FALSE())=0,"",VLOOKUP($A52,Parts!$A$2:$M$200,12,FALSE())),"")</f>
        <v>Aktueller KiCad-Stand; Fertiger und konkrete Fertigungsvariante festlegen.</v>
      </c>
      <c r="N52" s="59"/>
      <c r="O52" s="60" t="s">
        <v>818</v>
      </c>
      <c r="S52" t="str">
        <f>IF(O52="drucken",COUNTIF($O$5:O52,"drucken"),"")</f>
        <v/>
      </c>
    </row>
    <row r="53" spans="1:19" ht="26.25" customHeight="1" x14ac:dyDescent="0.2">
      <c r="A53" t="s">
        <v>364</v>
      </c>
      <c r="B53" t="str">
        <f>IFERROR(IF(VLOOKUP($A53,Parts!$A$2:$M$200,2,FALSE())=0,"",VLOOKUP($A53,Parts!$A$2:$M$200,2,FALSE())),"")</f>
        <v>PCB</v>
      </c>
      <c r="C53" s="48" t="str">
        <f>IFERROR(IF(VLOOKUP($A53,Parts!$A$2:$M$200,3,FALSE())=0,"",VLOOKUP($A53,Parts!$A$2:$M$200,3,FALSE())),"")</f>
        <v>EnvNode Mini PCB</v>
      </c>
      <c r="D53" s="48" t="str">
        <f>IFERROR(IF(VLOOKUP($A53,Parts!$A$2:$M$200,4,FALSE())=0,"",VLOOKUP($A53,Parts!$A$2:$M$200,4,FALSE())),"")</f>
        <v>Revision 0.1</v>
      </c>
      <c r="E53" s="48" t="str">
        <f>IFERROR(IF(VLOOKUP($A53,Parts!$A$2:$M$200,5,FALSE())=0,"",VLOOKUP($A53,Parts!$A$2:$M$200,5,FALSE())),"")</f>
        <v>PCB: EnvNodeMini.kicad_pcb</v>
      </c>
      <c r="F53" t="str">
        <f>IFERROR(IF(VLOOKUP($A53,Parts!$A$2:$M$200,6,FALSE())=0,"",VLOOKUP($A53,Parts!$A$2:$M$200,6,FALSE())),"")</f>
        <v/>
      </c>
      <c r="G53" t="str">
        <f>IFERROR(IF(VLOOKUP($A53,Parts!$A$2:$M$200,7,FALSE())=0,"",VLOOKUP($A53,Parts!$A$2:$M$200,7,FALSE())),"")</f>
        <v/>
      </c>
      <c r="H53" s="58" t="s">
        <v>826</v>
      </c>
      <c r="I53" t="str">
        <f>IF(OR($A53="",$H53=""),"",IFERROR(IF(INDEX(Part_Suppliers!$C$2:$C$300,MATCH($A53&amp;"|"&amp;$H53,Part_Suppliers!$K$2:$K$300,0))=0,"",INDEX(Part_Suppliers!$C$2:$C$300,MATCH($A53&amp;"|"&amp;$H53,Part_Suppliers!$K$2:$K$300,0))),""))</f>
        <v/>
      </c>
      <c r="J53" s="50">
        <v>0</v>
      </c>
      <c r="K53" s="50">
        <v>0</v>
      </c>
      <c r="L53" s="48" t="str">
        <f>IFERROR(IF(VLOOKUP($A53,Parts!$A$2:$M$200,8,FALSE())=0,"",VLOOKUP($A53,Parts!$A$2:$M$200,8,FALSE())),"")</f>
        <v>EnvNodeMini Rev 0.1</v>
      </c>
      <c r="M53" s="48" t="str">
        <f>IFERROR(IF(VLOOKUP($A53,Parts!$A$2:$M$200,12,FALSE())=0,"",VLOOKUP($A53,Parts!$A$2:$M$200,12,FALSE())),"")</f>
        <v>Legacy-Leiterplatte Revision 0.1; für Revision 0.2 existiert ein eigener Artikel.</v>
      </c>
      <c r="N53" s="59"/>
      <c r="O53" s="60" t="s">
        <v>818</v>
      </c>
      <c r="S53" t="str">
        <f>IF(O53="drucken",COUNTIF($O$5:O53,"drucken"),"")</f>
        <v/>
      </c>
    </row>
    <row r="54" spans="1:19" ht="15" customHeight="1" x14ac:dyDescent="0.2">
      <c r="A54" t="s">
        <v>369</v>
      </c>
      <c r="B54" t="str">
        <f>IFERROR(IF(VLOOKUP($A54,Parts!$A$2:$M$200,2,FALSE())=0,"",VLOOKUP($A54,Parts!$A$2:$M$200,2,FALSE())),"")</f>
        <v>PCB</v>
      </c>
      <c r="C54" s="48" t="str">
        <f>IFERROR(IF(VLOOKUP($A54,Parts!$A$2:$M$200,3,FALSE())=0,"",VLOOKUP($A54,Parts!$A$2:$M$200,3,FALSE())),"")</f>
        <v>AnalogInput HalfSize PCB</v>
      </c>
      <c r="D54" s="48" t="str">
        <f>IFERROR(IF(VLOOKUP($A54,Parts!$A$2:$M$200,4,FALSE())=0,"",VLOOKUP($A54,Parts!$A$2:$M$200,4,FALSE())),"")</f>
        <v>Revision 0.1</v>
      </c>
      <c r="E54" s="48" t="str">
        <f>IFERROR(IF(VLOOKUP($A54,Parts!$A$2:$M$200,5,FALSE())=0,"",VLOOKUP($A54,Parts!$A$2:$M$200,5,FALSE())),"")</f>
        <v>PCB: AnalogInput.kicad_pcb</v>
      </c>
      <c r="F54" t="str">
        <f>IFERROR(IF(VLOOKUP($A54,Parts!$A$2:$M$200,6,FALSE())=0,"",VLOOKUP($A54,Parts!$A$2:$M$200,6,FALSE())),"")</f>
        <v/>
      </c>
      <c r="G54" t="str">
        <f>IFERROR(IF(VLOOKUP($A54,Parts!$A$2:$M$200,7,FALSE())=0,"",VLOOKUP($A54,Parts!$A$2:$M$200,7,FALSE())),"")</f>
        <v/>
      </c>
      <c r="H54" s="58" t="s">
        <v>826</v>
      </c>
      <c r="I54" t="str">
        <f>IF(OR($A54="",$H54=""),"",IFERROR(IF(INDEX(Part_Suppliers!$C$2:$C$300,MATCH($A54&amp;"|"&amp;$H54,Part_Suppliers!$K$2:$K$300,0))=0,"",INDEX(Part_Suppliers!$C$2:$C$300,MATCH($A54&amp;"|"&amp;$H54,Part_Suppliers!$K$2:$K$300,0))),""))</f>
        <v/>
      </c>
      <c r="J54" s="50">
        <v>0</v>
      </c>
      <c r="K54" s="50">
        <v>0</v>
      </c>
      <c r="L54" s="48" t="str">
        <f>IFERROR(IF(VLOOKUP($A54,Parts!$A$2:$M$200,8,FALSE())=0,"",VLOOKUP($A54,Parts!$A$2:$M$200,8,FALSE())),"")</f>
        <v>AnalogInput</v>
      </c>
      <c r="M54" s="48" t="str">
        <f>IFERROR(IF(VLOOKUP($A54,Parts!$A$2:$M$200,12,FALSE())=0,"",VLOOKUP($A54,Parts!$A$2:$M$200,12,FALSE())),"")</f>
        <v>Fertiger und konkrete Fertigungsvariante festlegen.</v>
      </c>
      <c r="N54" s="59"/>
      <c r="O54" s="60" t="s">
        <v>818</v>
      </c>
      <c r="S54" t="str">
        <f>IF(O54="drucken",COUNTIF($O$5:O54,"drucken"),"")</f>
        <v/>
      </c>
    </row>
    <row r="55" spans="1:19" ht="26.25" customHeight="1" x14ac:dyDescent="0.2">
      <c r="A55" t="s">
        <v>375</v>
      </c>
      <c r="B55" t="str">
        <f>IFERROR(IF(VLOOKUP($A55,Parts!$A$2:$M$200,2,FALSE())=0,"",VLOOKUP($A55,Parts!$A$2:$M$200,2,FALSE())),"")</f>
        <v>PCB</v>
      </c>
      <c r="C55" s="48" t="str">
        <f>IFERROR(IF(VLOOKUP($A55,Parts!$A$2:$M$200,3,FALSE())=0,"",VLOOKUP($A55,Parts!$A$2:$M$200,3,FALSE())),"")</f>
        <v>DuoRelay FullSize PCB Rev 0.1</v>
      </c>
      <c r="D55" s="48" t="str">
        <f>IFERROR(IF(VLOOKUP($A55,Parts!$A$2:$M$200,4,FALSE())=0,"",VLOOKUP($A55,Parts!$A$2:$M$200,4,FALSE())),"")</f>
        <v>Revision 0.1</v>
      </c>
      <c r="E55" s="48" t="str">
        <f>IFERROR(IF(VLOOKUP($A55,Parts!$A$2:$M$200,5,FALSE())=0,"",VLOOKUP($A55,Parts!$A$2:$M$200,5,FALSE())),"")</f>
        <v>PCB: DuoRelay.kicad_pcb</v>
      </c>
      <c r="F55" t="str">
        <f>IFERROR(IF(VLOOKUP($A55,Parts!$A$2:$M$200,6,FALSE())=0,"",VLOOKUP($A55,Parts!$A$2:$M$200,6,FALSE())),"")</f>
        <v/>
      </c>
      <c r="G55" t="str">
        <f>IFERROR(IF(VLOOKUP($A55,Parts!$A$2:$M$200,7,FALSE())=0,"",VLOOKUP($A55,Parts!$A$2:$M$200,7,FALSE())),"")</f>
        <v/>
      </c>
      <c r="H55" s="58" t="s">
        <v>826</v>
      </c>
      <c r="I55" t="str">
        <f>IF(OR($A55="",$H55=""),"",IFERROR(IF(INDEX(Part_Suppliers!$C$2:$C$300,MATCH($A55&amp;"|"&amp;$H55,Part_Suppliers!$K$2:$K$300,0))=0,"",INDEX(Part_Suppliers!$C$2:$C$300,MATCH($A55&amp;"|"&amp;$H55,Part_Suppliers!$K$2:$K$300,0))),""))</f>
        <v/>
      </c>
      <c r="J55" s="50">
        <v>0</v>
      </c>
      <c r="K55" s="50">
        <v>0</v>
      </c>
      <c r="L55" s="48" t="str">
        <f>IFERROR(IF(VLOOKUP($A55,Parts!$A$2:$M$200,8,FALSE())=0,"",VLOOKUP($A55,Parts!$A$2:$M$200,8,FALSE())),"")</f>
        <v>DuoRelay Rev 0.1</v>
      </c>
      <c r="M55" s="48" t="str">
        <f>IFERROR(IF(VLOOKUP($A55,Parts!$A$2:$M$200,12,FALSE())=0,"",VLOOKUP($A55,Parts!$A$2:$M$200,12,FALSE())),"")</f>
        <v>Legacy-Leiterplatte Revision 0.1; der aktuelle KiCad-Stand ist Revision 0.2 und besitzt einen eigenen Artikel.</v>
      </c>
      <c r="N55" s="59"/>
      <c r="O55" s="60" t="s">
        <v>818</v>
      </c>
      <c r="S55" t="str">
        <f>IF(O55="drucken",COUNTIF($O$5:O55,"drucken"),"")</f>
        <v/>
      </c>
    </row>
    <row r="56" spans="1:19" ht="15" customHeight="1" x14ac:dyDescent="0.2">
      <c r="A56" t="s">
        <v>381</v>
      </c>
      <c r="B56" t="str">
        <f>IFERROR(IF(VLOOKUP($A56,Parts!$A$2:$M$200,2,FALSE())=0,"",VLOOKUP($A56,Parts!$A$2:$M$200,2,FALSE())),"")</f>
        <v>PCB</v>
      </c>
      <c r="C56" s="48" t="str">
        <f>IFERROR(IF(VLOOKUP($A56,Parts!$A$2:$M$200,3,FALSE())=0,"",VLOOKUP($A56,Parts!$A$2:$M$200,3,FALSE())),"")</f>
        <v>SolarRadiation PCB</v>
      </c>
      <c r="D56" s="48" t="str">
        <f>IFERROR(IF(VLOOKUP($A56,Parts!$A$2:$M$200,4,FALSE())=0,"",VLOOKUP($A56,Parts!$A$2:$M$200,4,FALSE())),"")</f>
        <v>Revision 0.1</v>
      </c>
      <c r="E56" s="48" t="str">
        <f>IFERROR(IF(VLOOKUP($A56,Parts!$A$2:$M$200,5,FALSE())=0,"",VLOOKUP($A56,Parts!$A$2:$M$200,5,FALSE())),"")</f>
        <v>PCB: SolarRadiation.kicad_pcb</v>
      </c>
      <c r="F56" t="str">
        <f>IFERROR(IF(VLOOKUP($A56,Parts!$A$2:$M$200,6,FALSE())=0,"",VLOOKUP($A56,Parts!$A$2:$M$200,6,FALSE())),"")</f>
        <v/>
      </c>
      <c r="G56" t="str">
        <f>IFERROR(IF(VLOOKUP($A56,Parts!$A$2:$M$200,7,FALSE())=0,"",VLOOKUP($A56,Parts!$A$2:$M$200,7,FALSE())),"")</f>
        <v/>
      </c>
      <c r="H56" s="58" t="s">
        <v>826</v>
      </c>
      <c r="I56" t="str">
        <f>IF(OR($A56="",$H56=""),"",IFERROR(IF(INDEX(Part_Suppliers!$C$2:$C$300,MATCH($A56&amp;"|"&amp;$H56,Part_Suppliers!$K$2:$K$300,0))=0,"",INDEX(Part_Suppliers!$C$2:$C$300,MATCH($A56&amp;"|"&amp;$H56,Part_Suppliers!$K$2:$K$300,0))),""))</f>
        <v/>
      </c>
      <c r="J56" s="50">
        <v>0</v>
      </c>
      <c r="K56" s="50">
        <v>0</v>
      </c>
      <c r="L56" s="48" t="str">
        <f>IFERROR(IF(VLOOKUP($A56,Parts!$A$2:$M$200,8,FALSE())=0,"",VLOOKUP($A56,Parts!$A$2:$M$200,8,FALSE())),"")</f>
        <v>SolarRadiation</v>
      </c>
      <c r="M56" s="48" t="str">
        <f>IFERROR(IF(VLOOKUP($A56,Parts!$A$2:$M$200,12,FALSE())=0,"",VLOOKUP($A56,Parts!$A$2:$M$200,12,FALSE())),"")</f>
        <v>Fertiger und konkrete Fertigungsvariante festlegen.</v>
      </c>
      <c r="N56" s="59"/>
      <c r="O56" s="60" t="s">
        <v>818</v>
      </c>
      <c r="S56" t="str">
        <f>IF(O56="drucken",COUNTIF($O$5:O56,"drucken"),"")</f>
        <v/>
      </c>
    </row>
    <row r="57" spans="1:19" ht="15" customHeight="1" x14ac:dyDescent="0.2">
      <c r="A57" t="s">
        <v>385</v>
      </c>
      <c r="B57" t="str">
        <f>IFERROR(IF(VLOOKUP($A57,Parts!$A$2:$M$200,2,FALSE())=0,"",VLOOKUP($A57,Parts!$A$2:$M$200,2,FALSE())),"")</f>
        <v>PCB</v>
      </c>
      <c r="C57" s="48" t="str">
        <f>IFERROR(IF(VLOOKUP($A57,Parts!$A$2:$M$200,3,FALSE())=0,"",VLOOKUP($A57,Parts!$A$2:$M$200,3,FALSE())),"")</f>
        <v>RainDetector PCB</v>
      </c>
      <c r="D57" s="48" t="str">
        <f>IFERROR(IF(VLOOKUP($A57,Parts!$A$2:$M$200,4,FALSE())=0,"",VLOOKUP($A57,Parts!$A$2:$M$200,4,FALSE())),"")</f>
        <v>Revision 1.0</v>
      </c>
      <c r="E57" s="48" t="str">
        <f>IFERROR(IF(VLOOKUP($A57,Parts!$A$2:$M$200,5,FALSE())=0,"",VLOOKUP($A57,Parts!$A$2:$M$200,5,FALSE())),"")</f>
        <v>PCB: Raindetector.kicad_pcb</v>
      </c>
      <c r="F57" t="str">
        <f>IFERROR(IF(VLOOKUP($A57,Parts!$A$2:$M$200,6,FALSE())=0,"",VLOOKUP($A57,Parts!$A$2:$M$200,6,FALSE())),"")</f>
        <v/>
      </c>
      <c r="G57" t="str">
        <f>IFERROR(IF(VLOOKUP($A57,Parts!$A$2:$M$200,7,FALSE())=0,"",VLOOKUP($A57,Parts!$A$2:$M$200,7,FALSE())),"")</f>
        <v/>
      </c>
      <c r="H57" s="58" t="s">
        <v>103</v>
      </c>
      <c r="I57" t="str">
        <f>IF(OR($A57="",$H57=""),"",IFERROR(IF(INDEX(Part_Suppliers!$C$2:$C$300,MATCH($A57&amp;"|"&amp;$H57,Part_Suppliers!$K$2:$K$300,0))=0,"",INDEX(Part_Suppliers!$C$2:$C$300,MATCH($A57&amp;"|"&amp;$H57,Part_Suppliers!$K$2:$K$300,0))),""))</f>
        <v/>
      </c>
      <c r="J57" s="50">
        <v>5</v>
      </c>
      <c r="K57" s="50">
        <v>0</v>
      </c>
      <c r="L57" s="48" t="str">
        <f>IFERROR(IF(VLOOKUP($A57,Parts!$A$2:$M$200,8,FALSE())=0,"",VLOOKUP($A57,Parts!$A$2:$M$200,8,FALSE())),"")</f>
        <v>RainDetector</v>
      </c>
      <c r="M57" s="48" t="str">
        <f>IFERROR(IF(VLOOKUP($A57,Parts!$A$2:$M$200,12,FALSE())=0,"",VLOOKUP($A57,Parts!$A$2:$M$200,12,FALSE())),"")</f>
        <v>Fertiger und konkrete Fertigungsvariante festlegen.</v>
      </c>
      <c r="N57" s="59"/>
      <c r="O57" s="60" t="s">
        <v>818</v>
      </c>
      <c r="S57" t="str">
        <f>IF(O57="drucken",COUNTIF($O$5:O57,"drucken"),"")</f>
        <v/>
      </c>
    </row>
    <row r="58" spans="1:19" ht="52.75" customHeight="1" x14ac:dyDescent="0.2">
      <c r="A58" t="s">
        <v>390</v>
      </c>
      <c r="B58" t="str">
        <f>IFERROR(IF(VLOOKUP($A58,Parts!$A$2:$M$200,2,FALSE())=0,"",VLOOKUP($A58,Parts!$A$2:$M$200,2,FALSE())),"")</f>
        <v>Steckverbinder</v>
      </c>
      <c r="C58" s="48" t="str">
        <f>IFERROR(IF(VLOOKUP($A58,Parts!$A$2:$M$200,3,FALSE())=0,"",VLOOKUP($A58,Parts!$A$2:$M$200,3,FALSE())),"")</f>
        <v>Buchsenleiste 2x7, 2,54 mm, vertikal</v>
      </c>
      <c r="D58" s="48" t="str">
        <f>IFERROR(IF(VLOOKUP($A58,Parts!$A$2:$M$200,4,FALSE())=0,"",VLOOKUP($A58,Parts!$A$2:$M$200,4,FALSE())),"")</f>
        <v>2x7, 2,54 mm, THT, vertikal, vergoldet, Bauhöhe 8,4 mm</v>
      </c>
      <c r="E58" s="48" t="str">
        <f>IFERROR(IF(VLOOKUP($A58,Parts!$A$2:$M$200,5,FALSE())=0,"",VLOOKUP($A58,Parts!$A$2:$M$200,5,FALSE())),"")</f>
        <v>Connector_PinSocket_2.54mm:PinSocket_2x07_P2.54mm_Vertical</v>
      </c>
      <c r="F58" t="str">
        <f>IFERROR(IF(VLOOKUP($A58,Parts!$A$2:$M$200,6,FALSE())=0,"",VLOOKUP($A58,Parts!$A$2:$M$200,6,FALSE())),"")</f>
        <v>Würth Elektronik</v>
      </c>
      <c r="G58" t="str">
        <f>IFERROR(IF(VLOOKUP($A58,Parts!$A$2:$M$200,7,FALSE())=0,"",VLOOKUP($A58,Parts!$A$2:$M$200,7,FALSE())),"")</f>
        <v>61301421821</v>
      </c>
      <c r="H58" s="58" t="s">
        <v>829</v>
      </c>
      <c r="I58" t="str">
        <f>IF(OR($A58="",$H58=""),"",IFERROR(IF(INDEX(Part_Suppliers!$C$2:$C$300,MATCH($A58&amp;"|"&amp;$H58,Part_Suppliers!$K$2:$K$300,0))=0,"",INDEX(Part_Suppliers!$C$2:$C$300,MATCH($A58&amp;"|"&amp;$H58,Part_Suppliers!$K$2:$K$300,0))),""))</f>
        <v>732-61301421821-ND</v>
      </c>
      <c r="J58" s="50">
        <v>0</v>
      </c>
      <c r="K58" s="50">
        <v>0</v>
      </c>
      <c r="L58" s="48" t="str">
        <f>IFERROR(IF(VLOOKUP($A58,Parts!$A$2:$M$200,8,FALSE())=0,"",VLOOKUP($A58,Parts!$A$2:$M$200,8,FALSE())),"")</f>
        <v>EnvNodeMini Rev 0.2</v>
      </c>
      <c r="M58" s="48" t="str">
        <f>IFERROR(IF(VLOOKUP($A58,Parts!$A$2:$M$200,12,FALSE())=0,"",VLOOKUP($A58,Parts!$A$2:$M$200,12,FALSE())),"")</f>
        <v>Würth WR-PHD Dual Socket Header, 14 Kontakte, 2,54 mm, THT, vergoldet, 3 A/250 V AC. Der generische KiCad-Footprint bildet Raster und THT-Anordnung ab; Gehäusekontur/Courtyard sind nicht herstellerspezifisch.</v>
      </c>
      <c r="N58" s="59"/>
      <c r="O58" s="60" t="s">
        <v>818</v>
      </c>
      <c r="S58" t="str">
        <f>IF(O58="drucken",COUNTIF($O$5:O58,"drucken"),"")</f>
        <v/>
      </c>
    </row>
    <row r="59" spans="1:19" ht="66" customHeight="1" x14ac:dyDescent="0.2">
      <c r="A59" t="s">
        <v>401</v>
      </c>
      <c r="B59" t="str">
        <f>IFERROR(IF(VLOOKUP($A59,Parts!$A$2:$M$200,2,FALSE())=0,"",VLOOKUP($A59,Parts!$A$2:$M$200,2,FALSE())),"")</f>
        <v>Diode</v>
      </c>
      <c r="C59" s="48" t="str">
        <f>IFERROR(IF(VLOOKUP($A59,Parts!$A$2:$M$200,3,FALSE())=0,"",VLOOKUP($A59,Parts!$A$2:$M$200,3,FALSE())),"")</f>
        <v>Schottky-Diode SS14, SMA</v>
      </c>
      <c r="D59" s="48" t="str">
        <f>IFERROR(IF(VLOOKUP($A59,Parts!$A$2:$M$200,4,FALSE())=0,"",VLOOKUP($A59,Parts!$A$2:$M$200,4,FALSE())),"")</f>
        <v>SS14, 1 A, 40 V, UF max. 0,5 V, IFSM 40 A</v>
      </c>
      <c r="E59" s="48" t="str">
        <f>IFERROR(IF(VLOOKUP($A59,Parts!$A$2:$M$200,5,FALSE())=0,"",VLOOKUP($A59,Parts!$A$2:$M$200,5,FALSE())),"")</f>
        <v>Diode_SMD:D_SMA</v>
      </c>
      <c r="F59" t="str">
        <f>IFERROR(IF(VLOOKUP($A59,Parts!$A$2:$M$200,6,FALSE())=0,"",VLOOKUP($A59,Parts!$A$2:$M$200,6,FALSE())),"")</f>
        <v>Vishay</v>
      </c>
      <c r="G59" t="str">
        <f>IFERROR(IF(VLOOKUP($A59,Parts!$A$2:$M$200,7,FALSE())=0,"",VLOOKUP($A59,Parts!$A$2:$M$200,7,FALSE())),"")</f>
        <v>SS14-E3/61T</v>
      </c>
      <c r="H59" s="58" t="s">
        <v>822</v>
      </c>
      <c r="I59" t="str">
        <f>IF(OR($A59="",$H59=""),"",IFERROR(IF(INDEX(Part_Suppliers!$C$2:$C$300,MATCH($A59&amp;"|"&amp;$H59,Part_Suppliers!$K$2:$K$300,0))=0,"",INDEX(Part_Suppliers!$C$2:$C$300,MATCH($A59&amp;"|"&amp;$H59,Part_Suppliers!$K$2:$K$300,0))),""))</f>
        <v>SS 14 VIS</v>
      </c>
      <c r="J59" s="50">
        <v>0</v>
      </c>
      <c r="K59" s="50">
        <v>0</v>
      </c>
      <c r="L59" s="48" t="str">
        <f>IFERROR(IF(VLOOKUP($A59,Parts!$A$2:$M$200,8,FALSE())=0,"",VLOOKUP($A59,Parts!$A$2:$M$200,8,FALSE())),"")</f>
        <v>EnvNodeMini Rev 0.2</v>
      </c>
      <c r="M59" s="48" t="str">
        <f>IFERROR(IF(VLOOKUP($A59,Parts!$A$2:$M$200,12,FALSE())=0,"",VLOOKUP($A59,Parts!$A$2:$M$200,12,FALSE())),"")</f>
        <v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v>
      </c>
      <c r="N59" s="59"/>
      <c r="O59" s="60" t="s">
        <v>818</v>
      </c>
      <c r="S59" t="str">
        <f>IF(O59="drucken",COUNTIF($O$5:O59,"drucken"),"")</f>
        <v/>
      </c>
    </row>
    <row r="60" spans="1:19" ht="66" customHeight="1" x14ac:dyDescent="0.2">
      <c r="A60" t="s">
        <v>408</v>
      </c>
      <c r="B60" t="str">
        <f>IFERROR(IF(VLOOKUP($A60,Parts!$A$2:$M$200,2,FALSE())=0,"",VLOOKUP($A60,Parts!$A$2:$M$200,2,FALSE())),"")</f>
        <v>Kondensator</v>
      </c>
      <c r="C60" s="48" t="str">
        <f>IFERROR(IF(VLOOKUP($A60,Parts!$A$2:$M$200,3,FALSE())=0,"",VLOOKUP($A60,Parts!$A$2:$M$200,3,FALSE())),"")</f>
        <v>Elektrolytkondensator 10 µF SMD</v>
      </c>
      <c r="D60" s="48" t="str">
        <f>IFERROR(IF(VLOOKUP($A60,Parts!$A$2:$M$200,4,FALSE())=0,"",VLOOKUP($A60,Parts!$A$2:$M$200,4,FALSE())),"")</f>
        <v>10 µF, ±20 %, 25 V, 85 °C, 2000 h</v>
      </c>
      <c r="E60" s="48" t="str">
        <f>IFERROR(IF(VLOOKUP($A60,Parts!$A$2:$M$200,5,FALSE())=0,"",VLOOKUP($A60,Parts!$A$2:$M$200,5,FALSE())),"")</f>
        <v>Capacitor_SMD:CP_Elec_5x5.4</v>
      </c>
      <c r="F60" t="str">
        <f>IFERROR(IF(VLOOKUP($A60,Parts!$A$2:$M$200,6,FALSE())=0,"",VLOOKUP($A60,Parts!$A$2:$M$200,6,FALSE())),"")</f>
        <v>Panasonic</v>
      </c>
      <c r="G60" t="str">
        <f>IFERROR(IF(VLOOKUP($A60,Parts!$A$2:$M$200,7,FALSE())=0,"",VLOOKUP($A60,Parts!$A$2:$M$200,7,FALSE())),"")</f>
        <v>EEE1EA100SR</v>
      </c>
      <c r="H60" s="58" t="s">
        <v>822</v>
      </c>
      <c r="I60" t="str">
        <f>IF(OR($A60="",$H60=""),"",IFERROR(IF(INDEX(Part_Suppliers!$C$2:$C$300,MATCH($A60&amp;"|"&amp;$H60,Part_Suppliers!$K$2:$K$300,0))=0,"",INDEX(Part_Suppliers!$C$2:$C$300,MATCH($A60&amp;"|"&amp;$H60,Part_Suppliers!$K$2:$K$300,0))),""))</f>
        <v>S-V 10U 25</v>
      </c>
      <c r="J60" s="50">
        <v>0</v>
      </c>
      <c r="K60" s="50">
        <v>0</v>
      </c>
      <c r="L60" s="48" t="str">
        <f>IFERROR(IF(VLOOKUP($A60,Parts!$A$2:$M$200,8,FALSE())=0,"",VLOOKUP($A60,Parts!$A$2:$M$200,8,FALSE())),"")</f>
        <v>EnvNodeMini Rev 0.2</v>
      </c>
      <c r="M60" s="48" t="str">
        <f>IFERROR(IF(VLOOKUP($A60,Parts!$A$2:$M$200,12,FALSE())=0,"",VLOOKUP($A60,Parts!$A$2:$M$200,12,FALSE())),"")</f>
        <v>Panasonic SMD-Aluminium-Elektrolytkondensator, 10 µF ±20 %, 25 V, 85 °C, 2000 h. Abmessungen Ø 5,0 × 5,4 mm passen exakt zum zugewiesenen KiCad-Footprint. C6 liegt zwischen +3V3_SYS und GND; 25 V bieten deutliche Spannungsreserve. Polarität beachten.</v>
      </c>
      <c r="N60" s="59"/>
      <c r="O60" s="60" t="s">
        <v>818</v>
      </c>
      <c r="S60" t="str">
        <f>IF(O60="drucken",COUNTIF($O$5:O60,"drucken"),"")</f>
        <v/>
      </c>
    </row>
    <row r="61" spans="1:19" ht="26.25" customHeight="1" x14ac:dyDescent="0.2">
      <c r="A61" t="s">
        <v>416</v>
      </c>
      <c r="B61" t="str">
        <f>IFERROR(IF(VLOOKUP($A61,Parts!$A$2:$M$200,2,FALSE())=0,"",VLOOKUP($A61,Parts!$A$2:$M$200,2,FALSE())),"")</f>
        <v>PCB</v>
      </c>
      <c r="C61" s="48" t="str">
        <f>IFERROR(IF(VLOOKUP($A61,Parts!$A$2:$M$200,3,FALSE())=0,"",VLOOKUP($A61,Parts!$A$2:$M$200,3,FALSE())),"")</f>
        <v>EnvNode Mini PCB Rev 0.2</v>
      </c>
      <c r="D61" s="48" t="str">
        <f>IFERROR(IF(VLOOKUP($A61,Parts!$A$2:$M$200,4,FALSE())=0,"",VLOOKUP($A61,Parts!$A$2:$M$200,4,FALSE())),"")</f>
        <v>Revision 0.2</v>
      </c>
      <c r="E61" s="48" t="str">
        <f>IFERROR(IF(VLOOKUP($A61,Parts!$A$2:$M$200,5,FALSE())=0,"",VLOOKUP($A61,Parts!$A$2:$M$200,5,FALSE())),"")</f>
        <v>PCB: MainBoards/EnvNode Mini/EnvNode Mini.kicad_pcb</v>
      </c>
      <c r="F61" t="str">
        <f>IFERROR(IF(VLOOKUP($A61,Parts!$A$2:$M$200,6,FALSE())=0,"",VLOOKUP($A61,Parts!$A$2:$M$200,6,FALSE())),"")</f>
        <v>JLCPCB</v>
      </c>
      <c r="G61" t="str">
        <f>IFERROR(IF(VLOOKUP($A61,Parts!$A$2:$M$200,7,FALSE())=0,"",VLOOKUP($A61,Parts!$A$2:$M$200,7,FALSE())),"")</f>
        <v/>
      </c>
      <c r="H61" s="58" t="s">
        <v>103</v>
      </c>
      <c r="I61" t="str">
        <f>IF(OR($A61="",$H61=""),"",IFERROR(IF(INDEX(Part_Suppliers!$C$2:$C$300,MATCH($A61&amp;"|"&amp;$H61,Part_Suppliers!$K$2:$K$300,0))=0,"",INDEX(Part_Suppliers!$C$2:$C$300,MATCH($A61&amp;"|"&amp;$H61,Part_Suppliers!$K$2:$K$300,0))),""))</f>
        <v/>
      </c>
      <c r="J61" s="50">
        <v>0</v>
      </c>
      <c r="K61" s="50">
        <v>0</v>
      </c>
      <c r="L61" s="48" t="str">
        <f>IFERROR(IF(VLOOKUP($A61,Parts!$A$2:$M$200,8,FALSE())=0,"",VLOOKUP($A61,Parts!$A$2:$M$200,8,FALSE())),"")</f>
        <v>EnvNodeMini Rev 0.2</v>
      </c>
      <c r="M61" s="48" t="str">
        <f>IFERROR(IF(VLOOKUP($A61,Parts!$A$2:$M$200,12,FALSE())=0,"",VLOOKUP($A61,Parts!$A$2:$M$200,12,FALSE())),"")</f>
        <v>Aktueller KiCad-Stand; Fertiger und konkrete Fertigungsvariante festlegen.</v>
      </c>
      <c r="N61" s="59"/>
      <c r="O61" s="60" t="s">
        <v>818</v>
      </c>
      <c r="S61" t="str">
        <f>IF(O61="drucken",COUNTIF($O$5:O61,"drucken"),"")</f>
        <v/>
      </c>
    </row>
    <row r="62" spans="1:19" ht="66" customHeight="1" x14ac:dyDescent="0.2">
      <c r="A62" t="s">
        <v>420</v>
      </c>
      <c r="B62" t="str">
        <f>IFERROR(IF(VLOOKUP($A62,Parts!$A$2:$M$200,2,FALSE())=0,"",VLOOKUP($A62,Parts!$A$2:$M$200,2,FALSE())),"")</f>
        <v>Steckverbinder</v>
      </c>
      <c r="C62" s="48" t="str">
        <f>IFERROR(IF(VLOOKUP($A62,Parts!$A$2:$M$200,3,FALSE())=0,"",VLOOKUP($A62,Parts!$A$2:$M$200,3,FALSE())),"")</f>
        <v>Stiftleiste 2x7, 2,54 mm, SMD</v>
      </c>
      <c r="D62" s="48" t="str">
        <f>IFERROR(IF(VLOOKUP($A62,Parts!$A$2:$M$200,4,FALSE())=0,"",VLOOKUP($A62,Parts!$A$2:$M$200,4,FALSE())),"")</f>
        <v>2x7, 2,54 mm, SMD, vertikal, vergoldet, 6,0 mm Stecklänge</v>
      </c>
      <c r="E62" s="48" t="str">
        <f>IFERROR(IF(VLOOKUP($A62,Parts!$A$2:$M$200,5,FALSE())=0,"",VLOOKUP($A62,Parts!$A$2:$M$200,5,FALSE())),"")</f>
        <v>EnvNode-Footprints:J_Wurth_WR-PHD_61031421121</v>
      </c>
      <c r="F62" t="str">
        <f>IFERROR(IF(VLOOKUP($A62,Parts!$A$2:$M$200,6,FALSE())=0,"",VLOOKUP($A62,Parts!$A$2:$M$200,6,FALSE())),"")</f>
        <v>Würth Elektronik</v>
      </c>
      <c r="G62" t="str">
        <f>IFERROR(IF(VLOOKUP($A62,Parts!$A$2:$M$200,7,FALSE())=0,"",VLOOKUP($A62,Parts!$A$2:$M$200,7,FALSE())),"")</f>
        <v>61031421121</v>
      </c>
      <c r="H62" s="58" t="s">
        <v>829</v>
      </c>
      <c r="I62" t="str">
        <f>IF(OR($A62="",$H62=""),"",IFERROR(IF(INDEX(Part_Suppliers!$C$2:$C$300,MATCH($A62&amp;"|"&amp;$H62,Part_Suppliers!$K$2:$K$300,0))=0,"",INDEX(Part_Suppliers!$C$2:$C$300,MATCH($A62&amp;"|"&amp;$H62,Part_Suppliers!$K$2:$K$300,0))),""))</f>
        <v>732-61031421121CT-ND</v>
      </c>
      <c r="J62" s="50">
        <v>0</v>
      </c>
      <c r="K62" s="50">
        <v>0</v>
      </c>
      <c r="L62" s="48" t="str">
        <f>IFERROR(IF(VLOOKUP($A62,Parts!$A$2:$M$200,8,FALSE())=0,"",VLOOKUP($A62,Parts!$A$2:$M$200,8,FALSE())),"")</f>
        <v>Empty FullSize/HalfSize SMD</v>
      </c>
      <c r="M62" s="48" t="str">
        <f>IFERROR(IF(VLOOKUP($A62,Parts!$A$2:$M$200,12,FALSE())=0,"",VLOOKUP($A62,Parts!$A$2:$M$200,12,FALSE())),"")</f>
        <v>Würth WR-PHD SMD-Stiftleiste, 14 Kontakte, 2,54 mm, vergoldet, 3 A/250 V. Exakter Artikel für den Projekt-Footprint J_Wurth_WR-PHD_61031421121. Einzelpreis Gurtabschnitt, Stand 2026-09-01; Preis und Verfügbarkeit vor Bestellung prüfen.</v>
      </c>
      <c r="N62" s="59"/>
      <c r="O62" s="60" t="s">
        <v>818</v>
      </c>
      <c r="S62" t="str">
        <f>IF(O62="drucken",COUNTIF($O$5:O62,"drucken"),"")</f>
        <v/>
      </c>
    </row>
    <row r="63" spans="1:19" ht="92.5" customHeight="1" x14ac:dyDescent="0.2">
      <c r="A63" t="s">
        <v>429</v>
      </c>
      <c r="B63" t="str">
        <f>IFERROR(IF(VLOOKUP($A63,Parts!$A$2:$M$200,2,FALSE())=0,"",VLOOKUP($A63,Parts!$A$2:$M$200,2,FALSE())),"")</f>
        <v>Steckverbinder</v>
      </c>
      <c r="C63" s="48" t="str">
        <f>IFERROR(IF(VLOOKUP($A63,Parts!$A$2:$M$200,3,FALSE())=0,"",VLOOKUP($A63,Parts!$A$2:$M$200,3,FALSE())),"")</f>
        <v>Stiftleiste 2x7, 2,54 mm, vertikal, Bottom-Mount</v>
      </c>
      <c r="D63" s="48" t="str">
        <f>IFERROR(IF(VLOOKUP($A63,Parts!$A$2:$M$200,4,FALSE())=0,"",VLOOKUP($A63,Parts!$A$2:$M$200,4,FALSE())),"")</f>
        <v>2x7, 2,54 mm, THT, vertikal, vergoldet, 6,1 mm Stecklänge, 3,0 mm Lötstift</v>
      </c>
      <c r="E63" s="48" t="str">
        <f>IFERROR(IF(VLOOKUP($A63,Parts!$A$2:$M$200,5,FALSE())=0,"",VLOOKUP($A63,Parts!$A$2:$M$200,5,FALSE())),"")</f>
        <v>EnvNode-Footprints:PinHeader_2x07_P2.54mm_Vertical_Bottom</v>
      </c>
      <c r="F63" t="str">
        <f>IFERROR(IF(VLOOKUP($A63,Parts!$A$2:$M$200,6,FALSE())=0,"",VLOOKUP($A63,Parts!$A$2:$M$200,6,FALSE())),"")</f>
        <v>ECON Connect</v>
      </c>
      <c r="G63" t="str">
        <f>IFERROR(IF(VLOOKUP($A63,Parts!$A$2:$M$200,7,FALSE())=0,"",VLOOKUP($A63,Parts!$A$2:$M$200,7,FALSE())),"")</f>
        <v>SL14G2</v>
      </c>
      <c r="H63" s="58" t="s">
        <v>822</v>
      </c>
      <c r="I63" t="str">
        <f>IF(OR($A63="",$H63=""),"",IFERROR(IF(INDEX(Part_Suppliers!$C$2:$C$300,MATCH($A63&amp;"|"&amp;$H63,Part_Suppliers!$K$2:$K$300,0))=0,"",INDEX(Part_Suppliers!$C$2:$C$300,MATCH($A63&amp;"|"&amp;$H63,Part_Suppliers!$K$2:$K$300,0))),""))</f>
        <v>ECON SL14G2</v>
      </c>
      <c r="J63" s="50">
        <v>0</v>
      </c>
      <c r="K63" s="50">
        <v>0</v>
      </c>
      <c r="L63" s="48" t="str">
        <f>IFERROR(IF(VLOOKUP($A63,Parts!$A$2:$M$200,8,FALSE())=0,"",VLOOKUP($A63,Parts!$A$2:$M$200,8,FALSE())),"")</f>
        <v>Empty FullSize/HalfSize THT; DuoRelay Rev 0.2; AnalogHydroPressure</v>
      </c>
      <c r="M63" s="48" t="str">
        <f>IFERROR(IF(VLOOKUP($A63,Parts!$A$2:$M$200,12,FALSE())=0,"",VLOOKUP($A63,Parts!$A$2:$M$200,12,FALSE())),"")</f>
        <v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v>
      </c>
      <c r="N63" s="59"/>
      <c r="O63" s="60" t="s">
        <v>818</v>
      </c>
      <c r="S63" t="str">
        <f>IF(O63="drucken",COUNTIF($O$5:O63,"drucken"),"")</f>
        <v/>
      </c>
    </row>
    <row r="64" spans="1:19" ht="26.25" customHeight="1" x14ac:dyDescent="0.2">
      <c r="A64" t="s">
        <v>440</v>
      </c>
      <c r="B64" t="str">
        <f>IFERROR(IF(VLOOKUP($A64,Parts!$A$2:$M$200,2,FALSE())=0,"",VLOOKUP($A64,Parts!$A$2:$M$200,2,FALSE())),"")</f>
        <v>PCB</v>
      </c>
      <c r="C64" s="48" t="str">
        <f>IFERROR(IF(VLOOKUP($A64,Parts!$A$2:$M$200,3,FALSE())=0,"",VLOOKUP($A64,Parts!$A$2:$M$200,3,FALSE())),"")</f>
        <v>Empty FullSize SMD PCB</v>
      </c>
      <c r="D64" s="48" t="str">
        <f>IFERROR(IF(VLOOKUP($A64,Parts!$A$2:$M$200,4,FALSE())=0,"",VLOOKUP($A64,Parts!$A$2:$M$200,4,FALSE())),"")</f>
        <v>Revision offen</v>
      </c>
      <c r="E64" s="48" t="str">
        <f>IFERROR(IF(VLOOKUP($A64,Parts!$A$2:$M$200,5,FALSE())=0,"",VLOOKUP($A64,Parts!$A$2:$M$200,5,FALSE())),"")</f>
        <v>PCB: Modules/FullSize/Empty-SMD/Empty-SMD.kicad_pcb</v>
      </c>
      <c r="F64" t="str">
        <f>IFERROR(IF(VLOOKUP($A64,Parts!$A$2:$M$200,6,FALSE())=0,"",VLOOKUP($A64,Parts!$A$2:$M$200,6,FALSE())),"")</f>
        <v/>
      </c>
      <c r="G64" t="str">
        <f>IFERROR(IF(VLOOKUP($A64,Parts!$A$2:$M$200,7,FALSE())=0,"",VLOOKUP($A64,Parts!$A$2:$M$200,7,FALSE())),"")</f>
        <v/>
      </c>
      <c r="H64" s="58" t="s">
        <v>826</v>
      </c>
      <c r="I64" t="str">
        <f>IF(OR($A64="",$H64=""),"",IFERROR(IF(INDEX(Part_Suppliers!$C$2:$C$300,MATCH($A64&amp;"|"&amp;$H64,Part_Suppliers!$K$2:$K$300,0))=0,"",INDEX(Part_Suppliers!$C$2:$C$300,MATCH($A64&amp;"|"&amp;$H64,Part_Suppliers!$K$2:$K$300,0))),""))</f>
        <v/>
      </c>
      <c r="J64" s="50">
        <v>0</v>
      </c>
      <c r="K64" s="50">
        <v>0</v>
      </c>
      <c r="L64" s="48" t="str">
        <f>IFERROR(IF(VLOOKUP($A64,Parts!$A$2:$M$200,8,FALSE())=0,"",VLOOKUP($A64,Parts!$A$2:$M$200,8,FALSE())),"")</f>
        <v>Empty FullSize SMD</v>
      </c>
      <c r="M64" s="48" t="str">
        <f>IFERROR(IF(VLOOKUP($A64,Parts!$A$2:$M$200,12,FALSE())=0,"",VLOOKUP($A64,Parts!$A$2:$M$200,12,FALSE())),"")</f>
        <v>Aktueller KiCad-Stand; Revision, Fertiger und konkrete Fertigungsvariante festlegen.</v>
      </c>
      <c r="N64" s="59"/>
      <c r="O64" s="60" t="s">
        <v>818</v>
      </c>
      <c r="S64" t="str">
        <f>IF(O64="drucken",COUNTIF($O$5:O64,"drucken"),"")</f>
        <v/>
      </c>
    </row>
    <row r="65" spans="1:19" ht="26.25" customHeight="1" x14ac:dyDescent="0.2">
      <c r="A65" t="s">
        <v>447</v>
      </c>
      <c r="B65" t="str">
        <f>IFERROR(IF(VLOOKUP($A65,Parts!$A$2:$M$200,2,FALSE())=0,"",VLOOKUP($A65,Parts!$A$2:$M$200,2,FALSE())),"")</f>
        <v>PCB</v>
      </c>
      <c r="C65" s="48" t="str">
        <f>IFERROR(IF(VLOOKUP($A65,Parts!$A$2:$M$200,3,FALSE())=0,"",VLOOKUP($A65,Parts!$A$2:$M$200,3,FALSE())),"")</f>
        <v>Empty FullSize THT PCB</v>
      </c>
      <c r="D65" s="48" t="str">
        <f>IFERROR(IF(VLOOKUP($A65,Parts!$A$2:$M$200,4,FALSE())=0,"",VLOOKUP($A65,Parts!$A$2:$M$200,4,FALSE())),"")</f>
        <v>Revision offen</v>
      </c>
      <c r="E65" s="48" t="str">
        <f>IFERROR(IF(VLOOKUP($A65,Parts!$A$2:$M$200,5,FALSE())=0,"",VLOOKUP($A65,Parts!$A$2:$M$200,5,FALSE())),"")</f>
        <v>PCB: Modules/FullSize/Empty-THT/Empty-THT.kicad_pcb</v>
      </c>
      <c r="F65" t="str">
        <f>IFERROR(IF(VLOOKUP($A65,Parts!$A$2:$M$200,6,FALSE())=0,"",VLOOKUP($A65,Parts!$A$2:$M$200,6,FALSE())),"")</f>
        <v/>
      </c>
      <c r="G65" t="str">
        <f>IFERROR(IF(VLOOKUP($A65,Parts!$A$2:$M$200,7,FALSE())=0,"",VLOOKUP($A65,Parts!$A$2:$M$200,7,FALSE())),"")</f>
        <v/>
      </c>
      <c r="H65" s="58" t="s">
        <v>826</v>
      </c>
      <c r="I65" t="str">
        <f>IF(OR($A65="",$H65=""),"",IFERROR(IF(INDEX(Part_Suppliers!$C$2:$C$300,MATCH($A65&amp;"|"&amp;$H65,Part_Suppliers!$K$2:$K$300,0))=0,"",INDEX(Part_Suppliers!$C$2:$C$300,MATCH($A65&amp;"|"&amp;$H65,Part_Suppliers!$K$2:$K$300,0))),""))</f>
        <v/>
      </c>
      <c r="J65" s="50">
        <v>0</v>
      </c>
      <c r="K65" s="50">
        <v>0</v>
      </c>
      <c r="L65" s="48" t="str">
        <f>IFERROR(IF(VLOOKUP($A65,Parts!$A$2:$M$200,8,FALSE())=0,"",VLOOKUP($A65,Parts!$A$2:$M$200,8,FALSE())),"")</f>
        <v>Empty FullSize THT</v>
      </c>
      <c r="M65" s="48" t="str">
        <f>IFERROR(IF(VLOOKUP($A65,Parts!$A$2:$M$200,12,FALSE())=0,"",VLOOKUP($A65,Parts!$A$2:$M$200,12,FALSE())),"")</f>
        <v>Aktueller KiCad-Stand; Revision, Fertiger und konkrete Fertigungsvariante festlegen.</v>
      </c>
      <c r="N65" s="59"/>
      <c r="O65" s="60" t="s">
        <v>818</v>
      </c>
      <c r="S65" t="str">
        <f>IF(O65="drucken",COUNTIF($O$5:O65,"drucken"),"")</f>
        <v/>
      </c>
    </row>
    <row r="66" spans="1:19" ht="26.25" customHeight="1" x14ac:dyDescent="0.2">
      <c r="A66" t="s">
        <v>452</v>
      </c>
      <c r="B66" t="str">
        <f>IFERROR(IF(VLOOKUP($A66,Parts!$A$2:$M$200,2,FALSE())=0,"",VLOOKUP($A66,Parts!$A$2:$M$200,2,FALSE())),"")</f>
        <v>PCB</v>
      </c>
      <c r="C66" s="48" t="str">
        <f>IFERROR(IF(VLOOKUP($A66,Parts!$A$2:$M$200,3,FALSE())=0,"",VLOOKUP($A66,Parts!$A$2:$M$200,3,FALSE())),"")</f>
        <v>Empty HalfSize SMD PCB</v>
      </c>
      <c r="D66" s="48" t="str">
        <f>IFERROR(IF(VLOOKUP($A66,Parts!$A$2:$M$200,4,FALSE())=0,"",VLOOKUP($A66,Parts!$A$2:$M$200,4,FALSE())),"")</f>
        <v>Revision offen</v>
      </c>
      <c r="E66" s="48" t="str">
        <f>IFERROR(IF(VLOOKUP($A66,Parts!$A$2:$M$200,5,FALSE())=0,"",VLOOKUP($A66,Parts!$A$2:$M$200,5,FALSE())),"")</f>
        <v>PCB: Modules/HalfSize/Empty-SMD/Empty-SMD.kicad_pcb</v>
      </c>
      <c r="F66" t="str">
        <f>IFERROR(IF(VLOOKUP($A66,Parts!$A$2:$M$200,6,FALSE())=0,"",VLOOKUP($A66,Parts!$A$2:$M$200,6,FALSE())),"")</f>
        <v/>
      </c>
      <c r="G66" t="str">
        <f>IFERROR(IF(VLOOKUP($A66,Parts!$A$2:$M$200,7,FALSE())=0,"",VLOOKUP($A66,Parts!$A$2:$M$200,7,FALSE())),"")</f>
        <v/>
      </c>
      <c r="H66" s="58" t="s">
        <v>826</v>
      </c>
      <c r="I66" t="str">
        <f>IF(OR($A66="",$H66=""),"",IFERROR(IF(INDEX(Part_Suppliers!$C$2:$C$300,MATCH($A66&amp;"|"&amp;$H66,Part_Suppliers!$K$2:$K$300,0))=0,"",INDEX(Part_Suppliers!$C$2:$C$300,MATCH($A66&amp;"|"&amp;$H66,Part_Suppliers!$K$2:$K$300,0))),""))</f>
        <v/>
      </c>
      <c r="J66" s="50">
        <v>0</v>
      </c>
      <c r="K66" s="50">
        <v>0</v>
      </c>
      <c r="L66" s="48" t="str">
        <f>IFERROR(IF(VLOOKUP($A66,Parts!$A$2:$M$200,8,FALSE())=0,"",VLOOKUP($A66,Parts!$A$2:$M$200,8,FALSE())),"")</f>
        <v>Empty HalfSize SMD</v>
      </c>
      <c r="M66" s="48" t="str">
        <f>IFERROR(IF(VLOOKUP($A66,Parts!$A$2:$M$200,12,FALSE())=0,"",VLOOKUP($A66,Parts!$A$2:$M$200,12,FALSE())),"")</f>
        <v>Aktueller KiCad-Stand; Revision, Fertiger und konkrete Fertigungsvariante festlegen.</v>
      </c>
      <c r="N66" s="59"/>
      <c r="O66" s="60" t="s">
        <v>818</v>
      </c>
      <c r="S66" t="str">
        <f>IF(O66="drucken",COUNTIF($O$5:O66,"drucken"),"")</f>
        <v/>
      </c>
    </row>
    <row r="67" spans="1:19" ht="26.25" customHeight="1" x14ac:dyDescent="0.2">
      <c r="A67" t="s">
        <v>457</v>
      </c>
      <c r="B67" t="str">
        <f>IFERROR(IF(VLOOKUP($A67,Parts!$A$2:$M$200,2,FALSE())=0,"",VLOOKUP($A67,Parts!$A$2:$M$200,2,FALSE())),"")</f>
        <v>PCB</v>
      </c>
      <c r="C67" s="48" t="str">
        <f>IFERROR(IF(VLOOKUP($A67,Parts!$A$2:$M$200,3,FALSE())=0,"",VLOOKUP($A67,Parts!$A$2:$M$200,3,FALSE())),"")</f>
        <v>Empty HalfSize THT PCB</v>
      </c>
      <c r="D67" s="48" t="str">
        <f>IFERROR(IF(VLOOKUP($A67,Parts!$A$2:$M$200,4,FALSE())=0,"",VLOOKUP($A67,Parts!$A$2:$M$200,4,FALSE())),"")</f>
        <v>Revision offen</v>
      </c>
      <c r="E67" s="48" t="str">
        <f>IFERROR(IF(VLOOKUP($A67,Parts!$A$2:$M$200,5,FALSE())=0,"",VLOOKUP($A67,Parts!$A$2:$M$200,5,FALSE())),"")</f>
        <v>PCB: Modules/HalfSize/Empty-THT/Empty-THT.kicad_pcb</v>
      </c>
      <c r="F67" t="str">
        <f>IFERROR(IF(VLOOKUP($A67,Parts!$A$2:$M$200,6,FALSE())=0,"",VLOOKUP($A67,Parts!$A$2:$M$200,6,FALSE())),"")</f>
        <v/>
      </c>
      <c r="G67" t="str">
        <f>IFERROR(IF(VLOOKUP($A67,Parts!$A$2:$M$200,7,FALSE())=0,"",VLOOKUP($A67,Parts!$A$2:$M$200,7,FALSE())),"")</f>
        <v/>
      </c>
      <c r="H67" s="58" t="s">
        <v>826</v>
      </c>
      <c r="I67" t="str">
        <f>IF(OR($A67="",$H67=""),"",IFERROR(IF(INDEX(Part_Suppliers!$C$2:$C$300,MATCH($A67&amp;"|"&amp;$H67,Part_Suppliers!$K$2:$K$300,0))=0,"",INDEX(Part_Suppliers!$C$2:$C$300,MATCH($A67&amp;"|"&amp;$H67,Part_Suppliers!$K$2:$K$300,0))),""))</f>
        <v/>
      </c>
      <c r="J67" s="50">
        <v>0</v>
      </c>
      <c r="K67" s="50">
        <v>0</v>
      </c>
      <c r="L67" s="48" t="str">
        <f>IFERROR(IF(VLOOKUP($A67,Parts!$A$2:$M$200,8,FALSE())=0,"",VLOOKUP($A67,Parts!$A$2:$M$200,8,FALSE())),"")</f>
        <v>Empty HalfSize THT</v>
      </c>
      <c r="M67" s="48" t="str">
        <f>IFERROR(IF(VLOOKUP($A67,Parts!$A$2:$M$200,12,FALSE())=0,"",VLOOKUP($A67,Parts!$A$2:$M$200,12,FALSE())),"")</f>
        <v>Aktueller KiCad-Stand; Revision, Fertiger und konkrete Fertigungsvariante festlegen.</v>
      </c>
      <c r="N67" s="59"/>
      <c r="O67" s="60" t="s">
        <v>818</v>
      </c>
      <c r="S67" t="str">
        <f>IF(O67="drucken",COUNTIF($O$5:O67,"drucken"),"")</f>
        <v/>
      </c>
    </row>
    <row r="68" spans="1:19" ht="52.75" customHeight="1" x14ac:dyDescent="0.2">
      <c r="A68" t="s">
        <v>462</v>
      </c>
      <c r="B68" t="str">
        <f>IFERROR(IF(VLOOKUP($A68,Parts!$A$2:$M$200,2,FALSE())=0,"",VLOOKUP($A68,Parts!$A$2:$M$200,2,FALSE())),"")</f>
        <v>LED</v>
      </c>
      <c r="C68" s="48" t="str">
        <f>IFERROR(IF(VLOOKUP($A68,Parts!$A$2:$M$200,3,FALSE())=0,"",VLOOKUP($A68,Parts!$A$2:$M$200,3,FALSE())),"")</f>
        <v>LED SMD 1206, rot</v>
      </c>
      <c r="D68" s="48" t="str">
        <f>IFERROR(IF(VLOOKUP($A68,Parts!$A$2:$M$200,4,FALSE())=0,"",VLOOKUP($A68,Parts!$A$2:$M$200,4,FALSE())),"")</f>
        <v>Hyperrot, 645 nm, 250 mcd, 140°, Vf 2,0–2,5 V, IF max. 30 mA</v>
      </c>
      <c r="E68" s="48" t="str">
        <f>IFERROR(IF(VLOOKUP($A68,Parts!$A$2:$M$200,5,FALSE())=0,"",VLOOKUP($A68,Parts!$A$2:$M$200,5,FALSE())),"")</f>
        <v>LED_SMD:LED_1206_3216Metric_Pad1.42x1.75mm_HandSolder</v>
      </c>
      <c r="F68" t="str">
        <f>IFERROR(IF(VLOOKUP($A68,Parts!$A$2:$M$200,6,FALSE())=0,"",VLOOKUP($A68,Parts!$A$2:$M$200,6,FALSE())),"")</f>
        <v>Kingbright</v>
      </c>
      <c r="G68" t="str">
        <f>IFERROR(IF(VLOOKUP($A68,Parts!$A$2:$M$200,7,FALSE())=0,"",VLOOKUP($A68,Parts!$A$2:$M$200,7,FALSE())),"")</f>
        <v>KP-3216SURC</v>
      </c>
      <c r="H68" s="58" t="s">
        <v>822</v>
      </c>
      <c r="I68" t="str">
        <f>IF(OR($A68="",$H68=""),"",IFERROR(IF(INDEX(Part_Suppliers!$C$2:$C$300,MATCH($A68&amp;"|"&amp;$H68,Part_Suppliers!$K$2:$K$300,0))=0,"",INDEX(Part_Suppliers!$C$2:$C$300,MATCH($A68&amp;"|"&amp;$H68,Part_Suppliers!$K$2:$K$300,0))),""))</f>
        <v>KBT KP-3216SURC</v>
      </c>
      <c r="J68" s="50">
        <v>0</v>
      </c>
      <c r="K68" s="50">
        <v>0</v>
      </c>
      <c r="L68" s="48" t="str">
        <f>IFERROR(IF(VLOOKUP($A68,Parts!$A$2:$M$200,8,FALSE())=0,"",VLOOKUP($A68,Parts!$A$2:$M$200,8,FALSE())),"")</f>
        <v>DuoRelay Rev 0.2</v>
      </c>
      <c r="M68" s="48" t="str">
        <f>IFERROR(IF(VLOOKUP($A68,Parts!$A$2:$M$200,12,FALSE())=0,"",VLOOKUP($A68,Parts!$A$2:$M$200,12,FALSE())),"")</f>
        <v>Kingbright SMD-LED im 1206-/3216-Gehäuse, hyperrot, 250 mcd, 140° Abstrahlwinkel, Bauhöhe 1,1 mm. Im DuoRelay liegen D3/D4 über je 1,5 kΩ an +5 V; bei etwa 2 V Vorwärtsspannung fließen rund 2 mA.</v>
      </c>
      <c r="N68" s="59"/>
      <c r="O68" s="60" t="s">
        <v>818</v>
      </c>
      <c r="S68" t="str">
        <f>IF(O68="drucken",COUNTIF($O$5:O68,"drucken"),"")</f>
        <v/>
      </c>
    </row>
    <row r="69" spans="1:19" ht="39.5" customHeight="1" x14ac:dyDescent="0.2">
      <c r="A69" t="s">
        <v>473</v>
      </c>
      <c r="B69" t="str">
        <f>IFERROR(IF(VLOOKUP($A69,Parts!$A$2:$M$200,2,FALSE())=0,"",VLOOKUP($A69,Parts!$A$2:$M$200,2,FALSE())),"")</f>
        <v>Widerstand</v>
      </c>
      <c r="C69" s="48" t="str">
        <f>IFERROR(IF(VLOOKUP($A69,Parts!$A$2:$M$200,3,FALSE())=0,"",VLOOKUP($A69,Parts!$A$2:$M$200,3,FALSE())),"")</f>
        <v>Widerstand 1,5 kΩ SMD</v>
      </c>
      <c r="D69" s="48" t="str">
        <f>IFERROR(IF(VLOOKUP($A69,Parts!$A$2:$M$200,4,FALSE())=0,"",VLOOKUP($A69,Parts!$A$2:$M$200,4,FALSE())),"")</f>
        <v>1,5 kΩ, 1 %, 0,25 W, 1206</v>
      </c>
      <c r="E69" s="48" t="str">
        <f>IFERROR(IF(VLOOKUP($A69,Parts!$A$2:$M$200,5,FALSE())=0,"",VLOOKUP($A69,Parts!$A$2:$M$200,5,FALSE())),"")</f>
        <v>Resistor_SMD:R_1206_3216Metric_Pad1.30x1.75mm_HandSolder</v>
      </c>
      <c r="F69" t="str">
        <f>IFERROR(IF(VLOOKUP($A69,Parts!$A$2:$M$200,6,FALSE())=0,"",VLOOKUP($A69,Parts!$A$2:$M$200,6,FALSE())),"")</f>
        <v>Vishay</v>
      </c>
      <c r="G69" t="str">
        <f>IFERROR(IF(VLOOKUP($A69,Parts!$A$2:$M$200,7,FALSE())=0,"",VLOOKUP($A69,Parts!$A$2:$M$200,7,FALSE())),"")</f>
        <v>CRCW12061K50FKEA</v>
      </c>
      <c r="H69" s="58" t="s">
        <v>822</v>
      </c>
      <c r="I69" t="str">
        <f>IF(OR($A69="",$H69=""),"",IFERROR(IF(INDEX(Part_Suppliers!$C$2:$C$300,MATCH($A69&amp;"|"&amp;$H69,Part_Suppliers!$K$2:$K$300,0))=0,"",INDEX(Part_Suppliers!$C$2:$C$300,MATCH($A69&amp;"|"&amp;$H69,Part_Suppliers!$K$2:$K$300,0))),""))</f>
        <v>VIS CRCW12061K5</v>
      </c>
      <c r="J69" s="50">
        <v>0</v>
      </c>
      <c r="K69" s="50">
        <v>0</v>
      </c>
      <c r="L69" s="48" t="str">
        <f>IFERROR(IF(VLOOKUP($A69,Parts!$A$2:$M$200,8,FALSE())=0,"",VLOOKUP($A69,Parts!$A$2:$M$200,8,FALSE())),"")</f>
        <v>DuoRelay Rev 0.2</v>
      </c>
      <c r="M69" s="48" t="str">
        <f>IFERROR(IF(VLOOKUP($A69,Parts!$A$2:$M$200,12,FALSE())=0,"",VLOOKUP($A69,Parts!$A$2:$M$200,12,FALSE())),"")</f>
        <v>Exakt passend als Vorwiderstand der Relais-LEDs. Einzelpreis, Stand 2026-09-01; Preis und Verfügbarkeit vor Bestellung prüfen.</v>
      </c>
      <c r="N69" s="59"/>
      <c r="O69" s="60" t="s">
        <v>818</v>
      </c>
      <c r="S69" t="str">
        <f>IF(O69="drucken",COUNTIF($O$5:O69,"drucken"),"")</f>
        <v/>
      </c>
    </row>
    <row r="70" spans="1:19" ht="26.25" customHeight="1" x14ac:dyDescent="0.2">
      <c r="A70" t="s">
        <v>481</v>
      </c>
      <c r="B70" t="str">
        <f>IFERROR(IF(VLOOKUP($A70,Parts!$A$2:$M$200,2,FALSE())=0,"",VLOOKUP($A70,Parts!$A$2:$M$200,2,FALSE())),"")</f>
        <v>PCB</v>
      </c>
      <c r="C70" s="48" t="str">
        <f>IFERROR(IF(VLOOKUP($A70,Parts!$A$2:$M$200,3,FALSE())=0,"",VLOOKUP($A70,Parts!$A$2:$M$200,3,FALSE())),"")</f>
        <v>DuoRelay FullSize PCB Rev 0.2</v>
      </c>
      <c r="D70" s="48" t="str">
        <f>IFERROR(IF(VLOOKUP($A70,Parts!$A$2:$M$200,4,FALSE())=0,"",VLOOKUP($A70,Parts!$A$2:$M$200,4,FALSE())),"")</f>
        <v>Revision 0.2</v>
      </c>
      <c r="E70" s="48" t="str">
        <f>IFERROR(IF(VLOOKUP($A70,Parts!$A$2:$M$200,5,FALSE())=0,"",VLOOKUP($A70,Parts!$A$2:$M$200,5,FALSE())),"")</f>
        <v>PCB: Modules/FullSize/DuoRelay/DuoRelay.kicad_pcb</v>
      </c>
      <c r="F70" t="str">
        <f>IFERROR(IF(VLOOKUP($A70,Parts!$A$2:$M$200,6,FALSE())=0,"",VLOOKUP($A70,Parts!$A$2:$M$200,6,FALSE())),"")</f>
        <v>JLCPCB</v>
      </c>
      <c r="G70" t="str">
        <f>IFERROR(IF(VLOOKUP($A70,Parts!$A$2:$M$200,7,FALSE())=0,"",VLOOKUP($A70,Parts!$A$2:$M$200,7,FALSE())),"")</f>
        <v/>
      </c>
      <c r="H70" s="58" t="s">
        <v>103</v>
      </c>
      <c r="I70" t="str">
        <f>IF(OR($A70="",$H70=""),"",IFERROR(IF(INDEX(Part_Suppliers!$C$2:$C$300,MATCH($A70&amp;"|"&amp;$H70,Part_Suppliers!$K$2:$K$300,0))=0,"",INDEX(Part_Suppliers!$C$2:$C$300,MATCH($A70&amp;"|"&amp;$H70,Part_Suppliers!$K$2:$K$300,0))),""))</f>
        <v/>
      </c>
      <c r="J70" s="50">
        <v>0</v>
      </c>
      <c r="K70" s="50">
        <v>0</v>
      </c>
      <c r="L70" s="48" t="str">
        <f>IFERROR(IF(VLOOKUP($A70,Parts!$A$2:$M$200,8,FALSE())=0,"",VLOOKUP($A70,Parts!$A$2:$M$200,8,FALSE())),"")</f>
        <v>DuoRelay Rev 0.2</v>
      </c>
      <c r="M70" s="48" t="str">
        <f>IFERROR(IF(VLOOKUP($A70,Parts!$A$2:$M$200,12,FALSE())=0,"",VLOOKUP($A70,Parts!$A$2:$M$200,12,FALSE())),"")</f>
        <v>Aktueller KiCad-Stand; Fertiger und konkrete Fertigungsvariante festlegen.</v>
      </c>
      <c r="N70" s="59"/>
      <c r="O70" s="60" t="s">
        <v>818</v>
      </c>
      <c r="S70" t="str">
        <f>IF(O70="drucken",COUNTIF($O$5:O70,"drucken"),"")</f>
        <v/>
      </c>
    </row>
    <row r="71" spans="1:19" ht="39.5" customHeight="1" x14ac:dyDescent="0.2">
      <c r="A71" t="s">
        <v>485</v>
      </c>
      <c r="B71" t="str">
        <f>IFERROR(IF(VLOOKUP($A71,Parts!$A$2:$M$200,2,FALSE())=0,"",VLOOKUP($A71,Parts!$A$2:$M$200,2,FALSE())),"")</f>
        <v>Kondensator</v>
      </c>
      <c r="C71" s="48" t="str">
        <f>IFERROR(IF(VLOOKUP($A71,Parts!$A$2:$M$200,3,FALSE())=0,"",VLOOKUP($A71,Parts!$A$2:$M$200,3,FALSE())),"")</f>
        <v>Keramikkondensator 4,7 µF SMD</v>
      </c>
      <c r="D71" s="48" t="str">
        <f>IFERROR(IF(VLOOKUP($A71,Parts!$A$2:$M$200,4,FALSE())=0,"",VLOOKUP($A71,Parts!$A$2:$M$200,4,FALSE())),"")</f>
        <v>4,7 µF, 25 V, X7R, ±10 %, 1206</v>
      </c>
      <c r="E71" s="48" t="str">
        <f>IFERROR(IF(VLOOKUP($A71,Parts!$A$2:$M$200,5,FALSE())=0,"",VLOOKUP($A71,Parts!$A$2:$M$200,5,FALSE())),"")</f>
        <v>Capacitor_SMD:C_1206_3216Metric_Pad1.33x1.80mm_HandSolder</v>
      </c>
      <c r="F71" t="str">
        <f>IFERROR(IF(VLOOKUP($A71,Parts!$A$2:$M$200,6,FALSE())=0,"",VLOOKUP($A71,Parts!$A$2:$M$200,6,FALSE())),"")</f>
        <v>Samsung Electro-Mechanics</v>
      </c>
      <c r="G71" t="str">
        <f>IFERROR(IF(VLOOKUP($A71,Parts!$A$2:$M$200,7,FALSE())=0,"",VLOOKUP($A71,Parts!$A$2:$M$200,7,FALSE())),"")</f>
        <v>CL31B475KAHNNNE</v>
      </c>
      <c r="H71" s="58" t="s">
        <v>822</v>
      </c>
      <c r="I71" t="str">
        <f>IF(OR($A71="",$H71=""),"",IFERROR(IF(INDEX(Part_Suppliers!$C$2:$C$300,MATCH($A71&amp;"|"&amp;$H71,Part_Suppliers!$K$2:$K$300,0))=0,"",INDEX(Part_Suppliers!$C$2:$C$300,MATCH($A71&amp;"|"&amp;$H71,Part_Suppliers!$K$2:$K$300,0))),""))</f>
        <v>CL31B475KAHNNNE</v>
      </c>
      <c r="J71" s="50">
        <v>0</v>
      </c>
      <c r="K71" s="50">
        <v>0</v>
      </c>
      <c r="L71" s="48" t="str">
        <f>IFERROR(IF(VLOOKUP($A71,Parts!$A$2:$M$200,8,FALSE())=0,"",VLOOKUP($A71,Parts!$A$2:$M$200,8,FALSE())),"")</f>
        <v>AnalogHydroPressure</v>
      </c>
      <c r="M71" s="48" t="str">
        <f>IFERROR(IF(VLOOKUP($A71,Parts!$A$2:$M$200,12,FALSE())=0,"",VLOOKUP($A71,Parts!$A$2:$M$200,12,FALSE())),"")</f>
        <v>25-V-Ausführung übertrifft die geforderten mindestens 10 V. Einzelpreis, Stand 2026-09-01; Preis und Verfügbarkeit vor Bestellung prüfen.</v>
      </c>
      <c r="N71" s="59"/>
      <c r="O71" s="60" t="s">
        <v>818</v>
      </c>
      <c r="S71" t="str">
        <f>IF(O71="drucken",COUNTIF($O$5:O71,"drucken"),"")</f>
        <v/>
      </c>
    </row>
    <row r="72" spans="1:19" ht="39.5" customHeight="1" x14ac:dyDescent="0.2">
      <c r="A72" t="s">
        <v>493</v>
      </c>
      <c r="B72" t="str">
        <f>IFERROR(IF(VLOOKUP($A72,Parts!$A$2:$M$200,2,FALSE())=0,"",VLOOKUP($A72,Parts!$A$2:$M$200,2,FALSE())),"")</f>
        <v>Kondensator</v>
      </c>
      <c r="C72" s="48" t="str">
        <f>IFERROR(IF(VLOOKUP($A72,Parts!$A$2:$M$200,3,FALSE())=0,"",VLOOKUP($A72,Parts!$A$2:$M$200,3,FALSE())),"")</f>
        <v>Keramikkondensator 4,7 µF SMD</v>
      </c>
      <c r="D72" s="48" t="str">
        <f>IFERROR(IF(VLOOKUP($A72,Parts!$A$2:$M$200,4,FALSE())=0,"",VLOOKUP($A72,Parts!$A$2:$M$200,4,FALSE())),"")</f>
        <v>4,7 µF, 50 V, X7R, ±10 %, 1210</v>
      </c>
      <c r="E72" s="48" t="str">
        <f>IFERROR(IF(VLOOKUP($A72,Parts!$A$2:$M$200,5,FALSE())=0,"",VLOOKUP($A72,Parts!$A$2:$M$200,5,FALSE())),"")</f>
        <v>Capacitor_SMD:C_1210_3225Metric_Pad1.33x2.70mm_HandSolder</v>
      </c>
      <c r="F72" t="str">
        <f>IFERROR(IF(VLOOKUP($A72,Parts!$A$2:$M$200,6,FALSE())=0,"",VLOOKUP($A72,Parts!$A$2:$M$200,6,FALSE())),"")</f>
        <v>Samsung Electro-Mechanics</v>
      </c>
      <c r="G72" t="str">
        <f>IFERROR(IF(VLOOKUP($A72,Parts!$A$2:$M$200,7,FALSE())=0,"",VLOOKUP($A72,Parts!$A$2:$M$200,7,FALSE())),"")</f>
        <v>CL32B475KBJVPNE</v>
      </c>
      <c r="H72" s="58" t="s">
        <v>822</v>
      </c>
      <c r="I72" t="str">
        <f>IF(OR($A72="",$H72=""),"",IFERROR(IF(INDEX(Part_Suppliers!$C$2:$C$300,MATCH($A72&amp;"|"&amp;$H72,Part_Suppliers!$K$2:$K$300,0))=0,"",INDEX(Part_Suppliers!$C$2:$C$300,MATCH($A72&amp;"|"&amp;$H72,Part_Suppliers!$K$2:$K$300,0))),""))</f>
        <v>CL32B475KBJVPNE</v>
      </c>
      <c r="J72" s="50">
        <v>0</v>
      </c>
      <c r="K72" s="50">
        <v>0</v>
      </c>
      <c r="L72" s="48" t="str">
        <f>IFERROR(IF(VLOOKUP($A72,Parts!$A$2:$M$200,8,FALSE())=0,"",VLOOKUP($A72,Parts!$A$2:$M$200,8,FALSE())),"")</f>
        <v>AnalogHydroPressure</v>
      </c>
      <c r="M72" s="48" t="str">
        <f>IFERROR(IF(VLOOKUP($A72,Parts!$A$2:$M$200,12,FALSE())=0,"",VLOOKUP($A72,Parts!$A$2:$M$200,12,FALSE())),"")</f>
        <v>Passende 50-V-/1210-Ausführung für den Ausgang des 24-V-Boosters. Einzelpreis, Stand 2026-09-01; Preis und Verfügbarkeit vor Bestellung prüfen.</v>
      </c>
      <c r="N72" s="59"/>
      <c r="O72" s="60" t="s">
        <v>818</v>
      </c>
      <c r="S72" t="str">
        <f>IF(O72="drucken",COUNTIF($O$5:O72,"drucken"),"")</f>
        <v/>
      </c>
    </row>
    <row r="73" spans="1:19" ht="52.75" customHeight="1" x14ac:dyDescent="0.2">
      <c r="A73" t="s">
        <v>500</v>
      </c>
      <c r="B73" t="str">
        <f>IFERROR(IF(VLOOKUP($A73,Parts!$A$2:$M$200,2,FALSE())=0,"",VLOOKUP($A73,Parts!$A$2:$M$200,2,FALSE())),"")</f>
        <v>Diode</v>
      </c>
      <c r="C73" s="48" t="str">
        <f>IFERROR(IF(VLOOKUP($A73,Parts!$A$2:$M$200,3,FALSE())=0,"",VLOOKUP($A73,Parts!$A$2:$M$200,3,FALSE())),"")</f>
        <v>Schottky-Diode SMD</v>
      </c>
      <c r="D73" s="48" t="str">
        <f>IFERROR(IF(VLOOKUP($A73,Parts!$A$2:$M$200,4,FALSE())=0,"",VLOOKUP($A73,Parts!$A$2:$M$200,4,FALSE())),"")</f>
        <v>Typ und elektrische Daten offen</v>
      </c>
      <c r="E73" s="48" t="str">
        <f>IFERROR(IF(VLOOKUP($A73,Parts!$A$2:$M$200,5,FALSE())=0,"",VLOOKUP($A73,Parts!$A$2:$M$200,5,FALSE())),"")</f>
        <v>Diode_SMD:D_SOD-323F</v>
      </c>
      <c r="F73" t="str">
        <f>IFERROR(IF(VLOOKUP($A73,Parts!$A$2:$M$200,6,FALSE())=0,"",VLOOKUP($A73,Parts!$A$2:$M$200,6,FALSE())),"")</f>
        <v/>
      </c>
      <c r="G73" t="str">
        <f>IFERROR(IF(VLOOKUP($A73,Parts!$A$2:$M$200,7,FALSE())=0,"",VLOOKUP($A73,Parts!$A$2:$M$200,7,FALSE())),"")</f>
        <v/>
      </c>
      <c r="H73" s="58" t="s">
        <v>826</v>
      </c>
      <c r="I73" t="str">
        <f>IF(OR($A73="",$H73=""),"",IFERROR(IF(INDEX(Part_Suppliers!$C$2:$C$300,MATCH($A73&amp;"|"&amp;$H73,Part_Suppliers!$K$2:$K$300,0))=0,"",INDEX(Part_Suppliers!$C$2:$C$300,MATCH($A73&amp;"|"&amp;$H73,Part_Suppliers!$K$2:$K$300,0))),""))</f>
        <v/>
      </c>
      <c r="J73" s="50">
        <v>0</v>
      </c>
      <c r="K73" s="50">
        <v>0</v>
      </c>
      <c r="L73" s="48" t="str">
        <f>IFERROR(IF(VLOOKUP($A73,Parts!$A$2:$M$200,8,FALSE())=0,"",VLOOKUP($A73,Parts!$A$2:$M$200,8,FALSE())),"")</f>
        <v>AnalogHydroPressure</v>
      </c>
      <c r="M73" s="48" t="str">
        <f>IFERROR(IF(VLOOKUP($A73,Parts!$A$2:$M$200,12,FALSE())=0,"",VLOOKUP($A73,Parts!$A$2:$M$200,12,FALSE())),"")</f>
        <v>Schema enthält nur den generischen Wert D_Schottky; Sperrspannung, Strom, Hersteller und MPN festlegen. Einkaufsdaten bleiben offen, bis Sperrspannung und Strombelastbarkeit festgelegt sind.</v>
      </c>
      <c r="N73" s="59"/>
      <c r="O73" s="60" t="s">
        <v>818</v>
      </c>
      <c r="S73" t="str">
        <f>IF(O73="drucken",COUNTIF($O$5:O73,"drucken"),"")</f>
        <v/>
      </c>
    </row>
    <row r="74" spans="1:19" ht="39.5" customHeight="1" x14ac:dyDescent="0.2">
      <c r="A74" t="s">
        <v>507</v>
      </c>
      <c r="B74" t="str">
        <f>IFERROR(IF(VLOOKUP($A74,Parts!$A$2:$M$200,2,FALSE())=0,"",VLOOKUP($A74,Parts!$A$2:$M$200,2,FALSE())),"")</f>
        <v>Induktivität</v>
      </c>
      <c r="C74" s="48" t="str">
        <f>IFERROR(IF(VLOOKUP($A74,Parts!$A$2:$M$200,3,FALSE())=0,"",VLOOKUP($A74,Parts!$A$2:$M$200,3,FALSE())),"")</f>
        <v>Leistungsinduktivität 0,68 µH</v>
      </c>
      <c r="D74" s="48" t="str">
        <f>IFERROR(IF(VLOOKUP($A74,Parts!$A$2:$M$200,4,FALSE())=0,"",VLOOKUP($A74,Parts!$A$2:$M$200,4,FALSE())),"")</f>
        <v>0,68 µH, 8,2 A, DCR 9 mΩ, WE-MAPI 3012</v>
      </c>
      <c r="E74" s="48" t="str">
        <f>IFERROR(IF(VLOOKUP($A74,Parts!$A$2:$M$200,5,FALSE())=0,"",VLOOKUP($A74,Parts!$A$2:$M$200,5,FALSE())),"")</f>
        <v>Inductor_SMD:L_Wuerth_MAPI-3012</v>
      </c>
      <c r="F74" t="str">
        <f>IFERROR(IF(VLOOKUP($A74,Parts!$A$2:$M$200,6,FALSE())=0,"",VLOOKUP($A74,Parts!$A$2:$M$200,6,FALSE())),"")</f>
        <v>Würth Elektronik</v>
      </c>
      <c r="G74" t="str">
        <f>IFERROR(IF(VLOOKUP($A74,Parts!$A$2:$M$200,7,FALSE())=0,"",VLOOKUP($A74,Parts!$A$2:$M$200,7,FALSE())),"")</f>
        <v>744383560068</v>
      </c>
      <c r="H74" s="58" t="s">
        <v>831</v>
      </c>
      <c r="I74" t="str">
        <f>IF(OR($A74="",$H74=""),"",IFERROR(IF(INDEX(Part_Suppliers!$C$2:$C$300,MATCH($A74&amp;"|"&amp;$H74,Part_Suppliers!$K$2:$K$300,0))=0,"",INDEX(Part_Suppliers!$C$2:$C$300,MATCH($A74&amp;"|"&amp;$H74,Part_Suppliers!$K$2:$K$300,0))),""))</f>
        <v>710-744383560068</v>
      </c>
      <c r="J74" s="50">
        <v>0</v>
      </c>
      <c r="K74" s="50">
        <v>0</v>
      </c>
      <c r="L74" s="48" t="str">
        <f>IFERROR(IF(VLOOKUP($A74,Parts!$A$2:$M$200,8,FALSE())=0,"",VLOOKUP($A74,Parts!$A$2:$M$200,8,FALSE())),"")</f>
        <v>AnalogHydroPressure</v>
      </c>
      <c r="M74" s="48" t="str">
        <f>IFERROR(IF(VLOOKUP($A74,Parts!$A$2:$M$200,12,FALSE())=0,"",VLOOKUP($A74,Parts!$A$2:$M$200,12,FALSE())),"")</f>
        <v>Exakte MAPI-3012-Ausführung: 680 nH, 8,2 A, DCR 9 mΩ, AEC-Q200. Einzelpreis, Stand 2026-09-01; Preis und Verfügbarkeit vor Bestellung prüfen.</v>
      </c>
      <c r="N74" s="59"/>
      <c r="O74" s="60" t="s">
        <v>818</v>
      </c>
      <c r="S74" t="str">
        <f>IF(O74="drucken",COUNTIF($O$5:O74,"drucken"),"")</f>
        <v/>
      </c>
    </row>
    <row r="75" spans="1:19" ht="26.25" customHeight="1" x14ac:dyDescent="0.2">
      <c r="A75" t="s">
        <v>517</v>
      </c>
      <c r="B75" t="str">
        <f>IFERROR(IF(VLOOKUP($A75,Parts!$A$2:$M$200,2,FALSE())=0,"",VLOOKUP($A75,Parts!$A$2:$M$200,2,FALSE())),"")</f>
        <v>Widerstand</v>
      </c>
      <c r="C75" s="48" t="str">
        <f>IFERROR(IF(VLOOKUP($A75,Parts!$A$2:$M$200,3,FALSE())=0,"",VLOOKUP($A75,Parts!$A$2:$M$200,3,FALSE())),"")</f>
        <v>Widerstand 1 MΩ SMD</v>
      </c>
      <c r="D75" s="48" t="str">
        <f>IFERROR(IF(VLOOKUP($A75,Parts!$A$2:$M$200,4,FALSE())=0,"",VLOOKUP($A75,Parts!$A$2:$M$200,4,FALSE())),"")</f>
        <v>1 MΩ, 1 %, 0,25 W, 1206</v>
      </c>
      <c r="E75" s="48" t="str">
        <f>IFERROR(IF(VLOOKUP($A75,Parts!$A$2:$M$200,5,FALSE())=0,"",VLOOKUP($A75,Parts!$A$2:$M$200,5,FALSE())),"")</f>
        <v>Resistor_SMD:R_1206_3216Metric_Pad1.30x1.75mm_HandSolder</v>
      </c>
      <c r="F75" t="str">
        <f>IFERROR(IF(VLOOKUP($A75,Parts!$A$2:$M$200,6,FALSE())=0,"",VLOOKUP($A75,Parts!$A$2:$M$200,6,FALSE())),"")</f>
        <v>Vishay</v>
      </c>
      <c r="G75" t="str">
        <f>IFERROR(IF(VLOOKUP($A75,Parts!$A$2:$M$200,7,FALSE())=0,"",VLOOKUP($A75,Parts!$A$2:$M$200,7,FALSE())),"")</f>
        <v>CRCW12061M00FKEA</v>
      </c>
      <c r="H75" s="58" t="s">
        <v>822</v>
      </c>
      <c r="I75" t="str">
        <f>IF(OR($A75="",$H75=""),"",IFERROR(IF(INDEX(Part_Suppliers!$C$2:$C$300,MATCH($A75&amp;"|"&amp;$H75,Part_Suppliers!$K$2:$K$300,0))=0,"",INDEX(Part_Suppliers!$C$2:$C$300,MATCH($A75&amp;"|"&amp;$H75,Part_Suppliers!$K$2:$K$300,0))),""))</f>
        <v>VIS CRCW12061M0</v>
      </c>
      <c r="J75" s="50">
        <v>0</v>
      </c>
      <c r="K75" s="50">
        <v>0</v>
      </c>
      <c r="L75" s="48" t="str">
        <f>IFERROR(IF(VLOOKUP($A75,Parts!$A$2:$M$200,8,FALSE())=0,"",VLOOKUP($A75,Parts!$A$2:$M$200,8,FALSE())),"")</f>
        <v>AnalogHydroPressure</v>
      </c>
      <c r="M75" s="48" t="str">
        <f>IFERROR(IF(VLOOKUP($A75,Parts!$A$2:$M$200,12,FALSE())=0,"",VLOOKUP($A75,Parts!$A$2:$M$200,12,FALSE())),"")</f>
        <v>Elektrisch und mechanisch passend. Einzelpreis, Stand 2026-09-01; Preis und Verfügbarkeit vor Bestellung prüfen.</v>
      </c>
      <c r="N75" s="59"/>
      <c r="O75" s="60" t="s">
        <v>818</v>
      </c>
      <c r="S75" t="str">
        <f>IF(O75="drucken",COUNTIF($O$5:O75,"drucken"),"")</f>
        <v/>
      </c>
    </row>
    <row r="76" spans="1:19" ht="52.75" customHeight="1" x14ac:dyDescent="0.2">
      <c r="A76" t="s">
        <v>524</v>
      </c>
      <c r="B76" t="str">
        <f>IFERROR(IF(VLOOKUP($A76,Parts!$A$2:$M$200,2,FALSE())=0,"",VLOOKUP($A76,Parts!$A$2:$M$200,2,FALSE())),"")</f>
        <v>Widerstand</v>
      </c>
      <c r="C76" s="48" t="str">
        <f>IFERROR(IF(VLOOKUP($A76,Parts!$A$2:$M$200,3,FALSE())=0,"",VLOOKUP($A76,Parts!$A$2:$M$200,3,FALSE())),"")</f>
        <v>Widerstand 71,5 kΩ SMD</v>
      </c>
      <c r="D76" s="48" t="str">
        <f>IFERROR(IF(VLOOKUP($A76,Parts!$A$2:$M$200,4,FALSE())=0,"",VLOOKUP($A76,Parts!$A$2:$M$200,4,FALSE())),"")</f>
        <v>71,5 kΩ, 1 %, 0,25 W, 1206</v>
      </c>
      <c r="E76" s="48" t="str">
        <f>IFERROR(IF(VLOOKUP($A76,Parts!$A$2:$M$200,5,FALSE())=0,"",VLOOKUP($A76,Parts!$A$2:$M$200,5,FALSE())),"")</f>
        <v>Resistor_SMD:R_1206_3216Metric_Pad1.30x1.75mm_HandSolder</v>
      </c>
      <c r="F76" t="str">
        <f>IFERROR(IF(VLOOKUP($A76,Parts!$A$2:$M$200,6,FALSE())=0,"",VLOOKUP($A76,Parts!$A$2:$M$200,6,FALSE())),"")</f>
        <v>Yageo</v>
      </c>
      <c r="G76" t="str">
        <f>IFERROR(IF(VLOOKUP($A76,Parts!$A$2:$M$200,7,FALSE())=0,"",VLOOKUP($A76,Parts!$A$2:$M$200,7,FALSE())),"")</f>
        <v>RC1206FR-0771K5L</v>
      </c>
      <c r="H76" s="58" t="s">
        <v>829</v>
      </c>
      <c r="I76" t="str">
        <f>IF(OR($A76="",$H76=""),"",IFERROR(IF(INDEX(Part_Suppliers!$C$2:$C$300,MATCH($A76&amp;"|"&amp;$H76,Part_Suppliers!$K$2:$K$300,0))=0,"",INDEX(Part_Suppliers!$C$2:$C$300,MATCH($A76&amp;"|"&amp;$H76,Part_Suppliers!$K$2:$K$300,0))),""))</f>
        <v/>
      </c>
      <c r="J76" s="50">
        <v>0</v>
      </c>
      <c r="K76" s="50">
        <v>0</v>
      </c>
      <c r="L76" s="48" t="str">
        <f>IFERROR(IF(VLOOKUP($A76,Parts!$A$2:$M$200,8,FALSE())=0,"",VLOOKUP($A76,Parts!$A$2:$M$200,8,FALSE())),"")</f>
        <v>AnalogHydroPressure</v>
      </c>
      <c r="M76" s="48" t="str">
        <f>IFERROR(IF(VLOOKUP($A76,Parts!$A$2:$M$200,12,FALSE())=0,"",VLOOKUP($A76,Parts!$A$2:$M$200,12,FALSE())),"")</f>
        <v>Exakter Wert für den Feedback-Widerstand; DigiKey-Bestellnummer auf der Produktseite vor Bestellung ergänzen. Einzelpreis, Stand 2026-09-01; Preis und Verfügbarkeit vor Bestellung prüfen.</v>
      </c>
      <c r="N76" s="59"/>
      <c r="O76" s="60" t="s">
        <v>818</v>
      </c>
      <c r="S76" t="str">
        <f>IF(O76="drucken",COUNTIF($O$5:O76,"drucken"),"")</f>
        <v/>
      </c>
    </row>
    <row r="77" spans="1:19" ht="39.5" customHeight="1" x14ac:dyDescent="0.2">
      <c r="A77" t="s">
        <v>532</v>
      </c>
      <c r="B77" t="str">
        <f>IFERROR(IF(VLOOKUP($A77,Parts!$A$2:$M$200,2,FALSE())=0,"",VLOOKUP($A77,Parts!$A$2:$M$200,2,FALSE())),"")</f>
        <v>Widerstand</v>
      </c>
      <c r="C77" s="48" t="str">
        <f>IFERROR(IF(VLOOKUP($A77,Parts!$A$2:$M$200,3,FALSE())=0,"",VLOOKUP($A77,Parts!$A$2:$M$200,3,FALSE())),"")</f>
        <v>Widerstand 220 kΩ SMD</v>
      </c>
      <c r="D77" s="48" t="str">
        <f>IFERROR(IF(VLOOKUP($A77,Parts!$A$2:$M$200,4,FALSE())=0,"",VLOOKUP($A77,Parts!$A$2:$M$200,4,FALSE())),"")</f>
        <v>220 kΩ, 1 %, 0,25 W, 1206</v>
      </c>
      <c r="E77" s="48" t="str">
        <f>IFERROR(IF(VLOOKUP($A77,Parts!$A$2:$M$200,5,FALSE())=0,"",VLOOKUP($A77,Parts!$A$2:$M$200,5,FALSE())),"")</f>
        <v>Resistor_SMD:R_1206_3216Metric_Pad1.30x1.75mm_HandSolder</v>
      </c>
      <c r="F77" t="str">
        <f>IFERROR(IF(VLOOKUP($A77,Parts!$A$2:$M$200,6,FALSE())=0,"",VLOOKUP($A77,Parts!$A$2:$M$200,6,FALSE())),"")</f>
        <v>Walsin</v>
      </c>
      <c r="G77" t="str">
        <f>IFERROR(IF(VLOOKUP($A77,Parts!$A$2:$M$200,7,FALSE())=0,"",VLOOKUP($A77,Parts!$A$2:$M$200,7,FALSE())),"")</f>
        <v>WR12X2203FTL</v>
      </c>
      <c r="H77" s="58" t="s">
        <v>832</v>
      </c>
      <c r="I77" t="str">
        <f>IF(OR($A77="",$H77=""),"",IFERROR(IF(INDEX(Part_Suppliers!$C$2:$C$300,MATCH($A77&amp;"|"&amp;$H77,Part_Suppliers!$K$2:$K$300,0))=0,"",INDEX(Part_Suppliers!$C$2:$C$300,MATCH($A77&amp;"|"&amp;$H77,Part_Suppliers!$K$2:$K$300,0))),""))</f>
        <v>WR12X2203FTL</v>
      </c>
      <c r="J77" s="50">
        <v>0</v>
      </c>
      <c r="K77" s="50">
        <v>0</v>
      </c>
      <c r="L77" s="48" t="str">
        <f>IFERROR(IF(VLOOKUP($A77,Parts!$A$2:$M$200,8,FALSE())=0,"",VLOOKUP($A77,Parts!$A$2:$M$200,8,FALSE())),"")</f>
        <v>AnalogHydroPressure</v>
      </c>
      <c r="M77" s="48" t="str">
        <f>IFERROR(IF(VLOOKUP($A77,Parts!$A$2:$M$200,12,FALSE())=0,"",VLOOKUP($A77,Parts!$A$2:$M$200,12,FALSE())),"")</f>
        <v>Exakte 1-%-Ausführung; der gefundene Reichelt-Typ mit 5 % wurde nicht übernommen. Einzelpreis, Stand 2026-09-01; Preis und Verfügbarkeit vor Bestellung prüfen.</v>
      </c>
      <c r="N77" s="59"/>
      <c r="O77" s="60" t="s">
        <v>818</v>
      </c>
      <c r="S77" t="str">
        <f>IF(O77="drucken",COUNTIF($O$5:O77,"drucken"),"")</f>
        <v/>
      </c>
    </row>
    <row r="78" spans="1:19" ht="39.5" customHeight="1" x14ac:dyDescent="0.2">
      <c r="A78" t="s">
        <v>541</v>
      </c>
      <c r="B78" t="str">
        <f>IFERROR(IF(VLOOKUP($A78,Parts!$A$2:$M$200,2,FALSE())=0,"",VLOOKUP($A78,Parts!$A$2:$M$200,2,FALSE())),"")</f>
        <v>Schalter</v>
      </c>
      <c r="C78" s="48" t="str">
        <f>IFERROR(IF(VLOOKUP($A78,Parts!$A$2:$M$200,3,FALSE())=0,"",VLOOKUP($A78,Parts!$A$2:$M$200,3,FALSE())),"")</f>
        <v>Schiebeschalter DPDT</v>
      </c>
      <c r="D78" s="48" t="str">
        <f>IFERROR(IF(VLOOKUP($A78,Parts!$A$2:$M$200,4,FALSE())=0,"",VLOOKUP($A78,Parts!$A$2:$M$200,4,FALSE())),"")</f>
        <v>DPDT</v>
      </c>
      <c r="E78" s="48" t="str">
        <f>IFERROR(IF(VLOOKUP($A78,Parts!$A$2:$M$200,5,FALSE())=0,"",VLOOKUP($A78,Parts!$A$2:$M$200,5,FALSE())),"")</f>
        <v>EnvNode-Footprints:SW_Slide_CK_OS202011MS2QS1</v>
      </c>
      <c r="F78" t="str">
        <f>IFERROR(IF(VLOOKUP($A78,Parts!$A$2:$M$200,6,FALSE())=0,"",VLOOKUP($A78,Parts!$A$2:$M$200,6,FALSE())),"")</f>
        <v>C&amp;K</v>
      </c>
      <c r="G78" t="str">
        <f>IFERROR(IF(VLOOKUP($A78,Parts!$A$2:$M$200,7,FALSE())=0,"",VLOOKUP($A78,Parts!$A$2:$M$200,7,FALSE())),"")</f>
        <v>OS202011MS2QS1</v>
      </c>
      <c r="H78" s="58" t="s">
        <v>831</v>
      </c>
      <c r="I78" t="str">
        <f>IF(OR($A78="",$H78=""),"",IFERROR(IF(INDEX(Part_Suppliers!$C$2:$C$300,MATCH($A78&amp;"|"&amp;$H78,Part_Suppliers!$K$2:$K$300,0))=0,"",INDEX(Part_Suppliers!$C$2:$C$300,MATCH($A78&amp;"|"&amp;$H78,Part_Suppliers!$K$2:$K$300,0))),""))</f>
        <v>611-OS202011MS2QS1</v>
      </c>
      <c r="J78" s="50">
        <v>0</v>
      </c>
      <c r="K78" s="50">
        <v>0</v>
      </c>
      <c r="L78" s="48" t="str">
        <f>IFERROR(IF(VLOOKUP($A78,Parts!$A$2:$M$200,8,FALSE())=0,"",VLOOKUP($A78,Parts!$A$2:$M$200,8,FALSE())),"")</f>
        <v>AnalogHydroPressure</v>
      </c>
      <c r="M78" s="48" t="str">
        <f>IFERROR(IF(VLOOKUP($A78,Parts!$A$2:$M$200,12,FALSE())=0,"",VLOOKUP($A78,Parts!$A$2:$M$200,12,FALSE())),"")</f>
        <v>Exakt der dem Projekt-Footprint zugrunde liegende DPDT-On-On-Schalter. Einzelpreis, Stand 2026-09-01; Preis und Verfügbarkeit vor Bestellung prüfen.</v>
      </c>
      <c r="N78" s="59"/>
      <c r="O78" s="60" t="s">
        <v>818</v>
      </c>
      <c r="S78" t="str">
        <f>IF(O78="drucken",COUNTIF($O$5:O78,"drucken"),"")</f>
        <v/>
      </c>
    </row>
    <row r="79" spans="1:19" ht="39.5" customHeight="1" x14ac:dyDescent="0.2">
      <c r="A79" t="s">
        <v>551</v>
      </c>
      <c r="B79" t="str">
        <f>IFERROR(IF(VLOOKUP($A79,Parts!$A$2:$M$200,2,FALSE())=0,"",VLOOKUP($A79,Parts!$A$2:$M$200,2,FALSE())),"")</f>
        <v>DC/DC-Wandler</v>
      </c>
      <c r="C79" s="48" t="str">
        <f>IFERROR(IF(VLOOKUP($A79,Parts!$A$2:$M$200,3,FALSE())=0,"",VLOOKUP($A79,Parts!$A$2:$M$200,3,FALSE())),"")</f>
        <v>Boost-Regler LT8330</v>
      </c>
      <c r="D79" s="48" t="str">
        <f>IFERROR(IF(VLOOKUP($A79,Parts!$A$2:$M$200,4,FALSE())=0,"",VLOOKUP($A79,Parts!$A$2:$M$200,4,FALSE())),"")</f>
        <v>LT8330, 3…40 V Eingang, 60 V/1 A Schalter, TSOT-23-6</v>
      </c>
      <c r="E79" s="48" t="str">
        <f>IFERROR(IF(VLOOKUP($A79,Parts!$A$2:$M$200,5,FALSE())=0,"",VLOOKUP($A79,Parts!$A$2:$M$200,5,FALSE())),"")</f>
        <v>Package_TO_SOT_SMD:SOT-23-6</v>
      </c>
      <c r="F79" t="str">
        <f>IFERROR(IF(VLOOKUP($A79,Parts!$A$2:$M$200,6,FALSE())=0,"",VLOOKUP($A79,Parts!$A$2:$M$200,6,FALSE())),"")</f>
        <v>Analog Devices</v>
      </c>
      <c r="G79" t="str">
        <f>IFERROR(IF(VLOOKUP($A79,Parts!$A$2:$M$200,7,FALSE())=0,"",VLOOKUP($A79,Parts!$A$2:$M$200,7,FALSE())),"")</f>
        <v>LT8330ES6#TRMPBF</v>
      </c>
      <c r="H79" s="58" t="s">
        <v>831</v>
      </c>
      <c r="I79" t="str">
        <f>IF(OR($A79="",$H79=""),"",IFERROR(IF(INDEX(Part_Suppliers!$C$2:$C$300,MATCH($A79&amp;"|"&amp;$H79,Part_Suppliers!$K$2:$K$300,0))=0,"",INDEX(Part_Suppliers!$C$2:$C$300,MATCH($A79&amp;"|"&amp;$H79,Part_Suppliers!$K$2:$K$300,0))),""))</f>
        <v>584-LT8330ES6#TRMPBF</v>
      </c>
      <c r="J79" s="50">
        <v>0</v>
      </c>
      <c r="K79" s="50">
        <v>0</v>
      </c>
      <c r="L79" s="48" t="str">
        <f>IFERROR(IF(VLOOKUP($A79,Parts!$A$2:$M$200,8,FALSE())=0,"",VLOOKUP($A79,Parts!$A$2:$M$200,8,FALSE())),"")</f>
        <v>AnalogHydroPressure</v>
      </c>
      <c r="M79" s="48" t="str">
        <f>IFERROR(IF(VLOOKUP($A79,Parts!$A$2:$M$200,12,FALSE())=0,"",VLOOKUP($A79,Parts!$A$2:$M$200,12,FALSE())),"")</f>
        <v>Bestellbare E-Temperaturvariante im geforderten TSOT-23-6, Cut Tape. Einzelpreis, Stand 2026-09-01; Preis und Verfügbarkeit vor Bestellung prüfen.</v>
      </c>
      <c r="N79" s="59"/>
      <c r="O79" s="60" t="s">
        <v>818</v>
      </c>
      <c r="S79" t="str">
        <f>IF(O79="drucken",COUNTIF($O$5:O79,"drucken"),"")</f>
        <v/>
      </c>
    </row>
    <row r="80" spans="1:19" ht="39.5" customHeight="1" x14ac:dyDescent="0.2">
      <c r="A80" t="s">
        <v>560</v>
      </c>
      <c r="B80" t="str">
        <f>IFERROR(IF(VLOOKUP($A80,Parts!$A$2:$M$200,2,FALSE())=0,"",VLOOKUP($A80,Parts!$A$2:$M$200,2,FALSE())),"")</f>
        <v>PCB</v>
      </c>
      <c r="C80" s="48" t="str">
        <f>IFERROR(IF(VLOOKUP($A80,Parts!$A$2:$M$200,3,FALSE())=0,"",VLOOKUP($A80,Parts!$A$2:$M$200,3,FALSE())),"")</f>
        <v>AnalogHydroPressure FullSize PCB Rev 0.2</v>
      </c>
      <c r="D80" s="48" t="str">
        <f>IFERROR(IF(VLOOKUP($A80,Parts!$A$2:$M$200,4,FALSE())=0,"",VLOOKUP($A80,Parts!$A$2:$M$200,4,FALSE())),"")</f>
        <v>Revision 0.2</v>
      </c>
      <c r="E80" s="48" t="str">
        <f>IFERROR(IF(VLOOKUP($A80,Parts!$A$2:$M$200,5,FALSE())=0,"",VLOOKUP($A80,Parts!$A$2:$M$200,5,FALSE())),"")</f>
        <v>PCB: Modules/FullSize/AnalogHydroPressure/AnalogHydroPressure.kicad_pcb</v>
      </c>
      <c r="F80" t="str">
        <f>IFERROR(IF(VLOOKUP($A80,Parts!$A$2:$M$200,6,FALSE())=0,"",VLOOKUP($A80,Parts!$A$2:$M$200,6,FALSE())),"")</f>
        <v>JLCPCB</v>
      </c>
      <c r="G80" t="str">
        <f>IFERROR(IF(VLOOKUP($A80,Parts!$A$2:$M$200,7,FALSE())=0,"",VLOOKUP($A80,Parts!$A$2:$M$200,7,FALSE())),"")</f>
        <v/>
      </c>
      <c r="H80" s="58" t="s">
        <v>103</v>
      </c>
      <c r="I80" t="str">
        <f>IF(OR($A80="",$H80=""),"",IFERROR(IF(INDEX(Part_Suppliers!$C$2:$C$300,MATCH($A80&amp;"|"&amp;$H80,Part_Suppliers!$K$2:$K$300,0))=0,"",INDEX(Part_Suppliers!$C$2:$C$300,MATCH($A80&amp;"|"&amp;$H80,Part_Suppliers!$K$2:$K$300,0))),""))</f>
        <v/>
      </c>
      <c r="J80" s="50">
        <v>0</v>
      </c>
      <c r="K80" s="50">
        <v>0</v>
      </c>
      <c r="L80" s="48" t="str">
        <f>IFERROR(IF(VLOOKUP($A80,Parts!$A$2:$M$200,8,FALSE())=0,"",VLOOKUP($A80,Parts!$A$2:$M$200,8,FALSE())),"")</f>
        <v>AnalogHydroPressure</v>
      </c>
      <c r="M80" s="48" t="str">
        <f>IFERROR(IF(VLOOKUP($A80,Parts!$A$2:$M$200,12,FALSE())=0,"",VLOOKUP($A80,Parts!$A$2:$M$200,12,FALSE())),"")</f>
        <v>Aktueller KiCad-Stand einschließlich Busumschaltung auf Modulseite und F.Cu-Backfill; Fertiger und Fertigungsvariante festlegen.</v>
      </c>
      <c r="N80" s="59"/>
      <c r="O80" s="60" t="s">
        <v>818</v>
      </c>
      <c r="S80" t="str">
        <f>IF(O80="drucken",COUNTIF($O$5:O80,"drucken"),"")</f>
        <v/>
      </c>
    </row>
    <row r="81" spans="1:19" ht="39.5" customHeight="1" x14ac:dyDescent="0.2">
      <c r="A81" t="s">
        <v>565</v>
      </c>
      <c r="B81" t="str">
        <f>IFERROR(IF(VLOOKUP($A81,Parts!$A$2:$M$200,2,FALSE())=0,"",VLOOKUP($A81,Parts!$A$2:$M$200,2,FALSE())),"")</f>
        <v>Adapter</v>
      </c>
      <c r="C81" s="48" t="str">
        <f>IFERROR(IF(VLOOKUP($A81,Parts!$A$2:$M$200,3,FALSE())=0,"",VLOOKUP($A81,Parts!$A$2:$M$200,3,FALSE())),"")</f>
        <v>SMD-Adapter SOT23-3 auf Raster 2,54 mm</v>
      </c>
      <c r="D81" s="48" t="str">
        <f>IFERROR(IF(VLOOKUP($A81,Parts!$A$2:$M$200,4,FALSE())=0,"",VLOOKUP($A81,Parts!$A$2:$M$200,4,FALSE())),"")</f>
        <v>SOT23-3, Pitch 0,95 mm auf RM 2,54 mm</v>
      </c>
      <c r="E81" s="48" t="str">
        <f>IFERROR(IF(VLOOKUP($A81,Parts!$A$2:$M$200,5,FALSE())=0,"",VLOOKUP($A81,Parts!$A$2:$M$200,5,FALSE())),"")</f>
        <v/>
      </c>
      <c r="F81" t="str">
        <f>IFERROR(IF(VLOOKUP($A81,Parts!$A$2:$M$200,6,FALSE())=0,"",VLOOKUP($A81,Parts!$A$2:$M$200,6,FALSE())),"")</f>
        <v>ROTH-ELEKTRONIK</v>
      </c>
      <c r="G81" t="str">
        <f>IFERROR(IF(VLOOKUP($A81,Parts!$A$2:$M$200,7,FALSE())=0,"",VLOOKUP($A81,Parts!$A$2:$M$200,7,FALSE())),"")</f>
        <v>RE909</v>
      </c>
      <c r="H81" s="58" t="s">
        <v>822</v>
      </c>
      <c r="I81" t="str">
        <f>IF(OR($A81="",$H81=""),"",IFERROR(IF(INDEX(Part_Suppliers!$C$2:$C$300,MATCH($A81&amp;"|"&amp;$H81,Part_Suppliers!$K$2:$K$300,0))=0,"",INDEX(Part_Suppliers!$C$2:$C$300,MATCH($A81&amp;"|"&amp;$H81,Part_Suppliers!$K$2:$K$300,0))),""))</f>
        <v>RE 909</v>
      </c>
      <c r="J81" s="50">
        <v>0</v>
      </c>
      <c r="K81" s="50">
        <v>2</v>
      </c>
      <c r="L81" s="48" t="str">
        <f>IFERROR(IF(VLOOKUP($A81,Parts!$A$2:$M$200,8,FALSE())=0,"",VLOOKUP($A81,Parts!$A$2:$M$200,8,FALSE())),"")</f>
        <v>Bestand/Werkstatt</v>
      </c>
      <c r="M81" s="48" t="str">
        <f>IFERROR(IF(VLOOKUP($A81,Parts!$A$2:$M$200,12,FALSE())=0,"",VLOOKUP($A81,Parts!$A$2:$M$200,12,FALSE())),"")</f>
        <v>Prototyping-Adapter, 8,6 × 13,2 mm; derzeit keinem Kit oder KiCad-BOM zugeordnet.</v>
      </c>
      <c r="N81" s="59" t="s">
        <v>833</v>
      </c>
      <c r="O81" s="60" t="s">
        <v>818</v>
      </c>
      <c r="S81" t="str">
        <f>IF(O81="drucken",COUNTIF($O$5:O81,"drucken"),"")</f>
        <v/>
      </c>
    </row>
    <row r="82" spans="1:19" ht="39.5" customHeight="1" x14ac:dyDescent="0.2">
      <c r="A82" t="s">
        <v>574</v>
      </c>
      <c r="B82" t="str">
        <f>IFERROR(IF(VLOOKUP($A82,Parts!$A$2:$M$200,2,FALSE())=0,"",VLOOKUP($A82,Parts!$A$2:$M$200,2,FALSE())),"")</f>
        <v>Widerstand</v>
      </c>
      <c r="C82" s="48" t="str">
        <f>IFERROR(IF(VLOOKUP($A82,Parts!$A$2:$M$200,3,FALSE())=0,"",VLOOKUP($A82,Parts!$A$2:$M$200,3,FALSE())),"")</f>
        <v>Metalloxidwiderstand 100 Ohm, 1 W, 5 %</v>
      </c>
      <c r="D82" s="48" t="str">
        <f>IFERROR(IF(VLOOKUP($A82,Parts!$A$2:$M$200,4,FALSE())=0,"",VLOOKUP($A82,Parts!$A$2:$M$200,4,FALSE())),"")</f>
        <v>100 Ω, 1 W, 5 %, 500 V</v>
      </c>
      <c r="E82" s="48" t="str">
        <f>IFERROR(IF(VLOOKUP($A82,Parts!$A$2:$M$200,5,FALSE())=0,"",VLOOKUP($A82,Parts!$A$2:$M$200,5,FALSE())),"")</f>
        <v>Resistor_THT:R_Axial_DIN0207_L6.3mm_D2.5mm_P10.16mm_Horizontal</v>
      </c>
      <c r="F82" t="str">
        <f>IFERROR(IF(VLOOKUP($A82,Parts!$A$2:$M$200,6,FALSE())=0,"",VLOOKUP($A82,Parts!$A$2:$M$200,6,FALSE())),"")</f>
        <v>VITROHM</v>
      </c>
      <c r="G82" t="str">
        <f>IFERROR(IF(VLOOKUP($A82,Parts!$A$2:$M$200,7,FALSE())=0,"",VLOOKUP($A82,Parts!$A$2:$M$200,7,FALSE())),"")</f>
        <v>POS100JT-52-100RAA</v>
      </c>
      <c r="H82" s="58" t="s">
        <v>822</v>
      </c>
      <c r="I82" t="str">
        <f>IF(OR($A82="",$H82=""),"",IFERROR(IF(INDEX(Part_Suppliers!$C$2:$C$300,MATCH($A82&amp;"|"&amp;$H82,Part_Suppliers!$K$2:$K$300,0))=0,"",INDEX(Part_Suppliers!$C$2:$C$300,MATCH($A82&amp;"|"&amp;$H82,Part_Suppliers!$K$2:$K$300,0))),""))</f>
        <v>1W 100</v>
      </c>
      <c r="J82" s="50">
        <v>0</v>
      </c>
      <c r="K82" s="50">
        <v>10</v>
      </c>
      <c r="L82" s="48" t="str">
        <f>IFERROR(IF(VLOOKUP($A82,Parts!$A$2:$M$200,8,FALSE())=0,"",VLOOKUP($A82,Parts!$A$2:$M$200,8,FALSE())),"")</f>
        <v>Bestand/Werkstatt</v>
      </c>
      <c r="M82" s="48" t="str">
        <f>IFERROR(IF(VLOOKUP($A82,Parts!$A$2:$M$200,12,FALSE())=0,"",VLOOKUP($A82,Parts!$A$2:$M$200,12,FALSE())),"")</f>
        <v>Gegurteter THT-Metalloxidwiderstand, Bauform 0207; derzeit keinem Kit oder KiCad-BOM zugeordnet.</v>
      </c>
      <c r="N82" s="59" t="s">
        <v>825</v>
      </c>
      <c r="O82" s="60" t="s">
        <v>818</v>
      </c>
      <c r="S82" t="str">
        <f>IF(O82="drucken",COUNTIF($O$5:O82,"drucken"),"")</f>
        <v/>
      </c>
    </row>
    <row r="83" spans="1:19" ht="39.5" customHeight="1" x14ac:dyDescent="0.2">
      <c r="A83" t="s">
        <v>581</v>
      </c>
      <c r="B83" t="str">
        <f>IFERROR(IF(VLOOKUP($A83,Parts!$A$2:$M$200,2,FALSE())=0,"",VLOOKUP($A83,Parts!$A$2:$M$200,2,FALSE())),"")</f>
        <v>Widerstand</v>
      </c>
      <c r="C83" s="48" t="str">
        <f>IFERROR(IF(VLOOKUP($A83,Parts!$A$2:$M$200,3,FALSE())=0,"",VLOOKUP($A83,Parts!$A$2:$M$200,3,FALSE())),"")</f>
        <v>Metalloxidwiderstand 100 kOhm, 1 W, 5 %</v>
      </c>
      <c r="D83" s="48" t="str">
        <f>IFERROR(IF(VLOOKUP($A83,Parts!$A$2:$M$200,4,FALSE())=0,"",VLOOKUP($A83,Parts!$A$2:$M$200,4,FALSE())),"")</f>
        <v>100 kΩ, 1 W, 5 %, 500 V</v>
      </c>
      <c r="E83" s="48" t="str">
        <f>IFERROR(IF(VLOOKUP($A83,Parts!$A$2:$M$200,5,FALSE())=0,"",VLOOKUP($A83,Parts!$A$2:$M$200,5,FALSE())),"")</f>
        <v>Resistor_THT:R_Axial_DIN0207_L6.3mm_D2.5mm_P10.16mm_Horizontal</v>
      </c>
      <c r="F83" t="str">
        <f>IFERROR(IF(VLOOKUP($A83,Parts!$A$2:$M$200,6,FALSE())=0,"",VLOOKUP($A83,Parts!$A$2:$M$200,6,FALSE())),"")</f>
        <v>VITROHM</v>
      </c>
      <c r="G83" t="str">
        <f>IFERROR(IF(VLOOKUP($A83,Parts!$A$2:$M$200,7,FALSE())=0,"",VLOOKUP($A83,Parts!$A$2:$M$200,7,FALSE())),"")</f>
        <v>POS100JT-52-100KAA</v>
      </c>
      <c r="H83" s="58" t="s">
        <v>822</v>
      </c>
      <c r="I83" t="str">
        <f>IF(OR($A83="",$H83=""),"",IFERROR(IF(INDEX(Part_Suppliers!$C$2:$C$300,MATCH($A83&amp;"|"&amp;$H83,Part_Suppliers!$K$2:$K$300,0))=0,"",INDEX(Part_Suppliers!$C$2:$C$300,MATCH($A83&amp;"|"&amp;$H83,Part_Suppliers!$K$2:$K$300,0))),""))</f>
        <v>1W 100K</v>
      </c>
      <c r="J83" s="50">
        <v>0</v>
      </c>
      <c r="K83" s="50">
        <v>10</v>
      </c>
      <c r="L83" s="48" t="str">
        <f>IFERROR(IF(VLOOKUP($A83,Parts!$A$2:$M$200,8,FALSE())=0,"",VLOOKUP($A83,Parts!$A$2:$M$200,8,FALSE())),"")</f>
        <v>Bestand/Werkstatt</v>
      </c>
      <c r="M83" s="48" t="str">
        <f>IFERROR(IF(VLOOKUP($A83,Parts!$A$2:$M$200,12,FALSE())=0,"",VLOOKUP($A83,Parts!$A$2:$M$200,12,FALSE())),"")</f>
        <v>Gegurteter THT-Metalloxidwiderstand, Bauform 0207; derzeit keinem Kit oder KiCad-BOM zugeordnet.</v>
      </c>
      <c r="N83" s="59" t="s">
        <v>825</v>
      </c>
      <c r="O83" s="60" t="s">
        <v>818</v>
      </c>
      <c r="S83" t="str">
        <f>IF(O83="drucken",COUNTIF($O$5:O83,"drucken"),"")</f>
        <v/>
      </c>
    </row>
    <row r="84" spans="1:19" ht="39.5" customHeight="1" x14ac:dyDescent="0.2">
      <c r="A84" t="s">
        <v>585</v>
      </c>
      <c r="B84" t="str">
        <f>IFERROR(IF(VLOOKUP($A84,Parts!$A$2:$M$200,2,FALSE())=0,"",VLOOKUP($A84,Parts!$A$2:$M$200,2,FALSE())),"")</f>
        <v>Steckverbinder</v>
      </c>
      <c r="C84" s="48" t="str">
        <f>IFERROR(IF(VLOOKUP($A84,Parts!$A$2:$M$200,3,FALSE())=0,"",VLOOKUP($A84,Parts!$A$2:$M$200,3,FALSE())),"")</f>
        <v>WEIPU SP13 Gehäusebuchse, 2-polig</v>
      </c>
      <c r="D84" s="48" t="str">
        <f>IFERROR(IF(VLOOKUP($A84,Parts!$A$2:$M$200,4,FALSE())=0,"",VLOOKUP($A84,Parts!$A$2:$M$200,4,FALSE())),"")</f>
        <v>2-polig, Buchsenkontakte, IP68 gesteckt, Lötanschluss, Hinterwandmontage</v>
      </c>
      <c r="E84" s="48" t="str">
        <f>IFERROR(IF(VLOOKUP($A84,Parts!$A$2:$M$200,5,FALSE())=0,"",VLOOKUP($A84,Parts!$A$2:$M$200,5,FALSE())),"")</f>
        <v>WEIPU SP13 Gehäusebuchse, 2-polig</v>
      </c>
      <c r="F84" t="str">
        <f>IFERROR(IF(VLOOKUP($A84,Parts!$A$2:$M$200,6,FALSE())=0,"",VLOOKUP($A84,Parts!$A$2:$M$200,6,FALSE())),"")</f>
        <v>WEIPU</v>
      </c>
      <c r="G84" t="str">
        <f>IFERROR(IF(VLOOKUP($A84,Parts!$A$2:$M$200,7,FALSE())=0,"",VLOOKUP($A84,Parts!$A$2:$M$200,7,FALSE())),"")</f>
        <v>SP1312/S2-N</v>
      </c>
      <c r="H84" s="58" t="s">
        <v>826</v>
      </c>
      <c r="I84" t="str">
        <f>IF(OR($A84="",$H84=""),"",IFERROR(IF(INDEX(Part_Suppliers!$C$2:$C$300,MATCH($A84&amp;"|"&amp;$H84,Part_Suppliers!$K$2:$K$300,0))=0,"",INDEX(Part_Suppliers!$C$2:$C$300,MATCH($A84&amp;"|"&amp;$H84,Part_Suppliers!$K$2:$K$300,0))),""))</f>
        <v/>
      </c>
      <c r="J84" s="50">
        <v>0</v>
      </c>
      <c r="K84" s="50">
        <v>0</v>
      </c>
      <c r="L84" s="48" t="str">
        <f>IFERROR(IF(VLOOKUP($A84,Parts!$A$2:$M$200,8,FALSE())=0,"",VLOOKUP($A84,Parts!$A$2:$M$200,8,FALSE())),"")</f>
        <v>Gehäusemontage (offen)</v>
      </c>
      <c r="M84" s="48" t="str">
        <f>IFERROR(IF(VLOOKUP($A84,Parts!$A$2:$M$200,12,FALSE())=0,"",VLOOKUP($A84,Parts!$A$2:$M$200,12,FALSE())),"")</f>
        <v>Passend zu Kabelstecker SP1310/P2-N (ENP-00081). 13 A / 250 V AC; Panel-Ausschnitt Ø13 mm. Einsatz und Pinbelegung im Kit festlegen.</v>
      </c>
      <c r="N84" s="59"/>
      <c r="O84" s="60" t="s">
        <v>818</v>
      </c>
      <c r="S84" t="str">
        <f>IF(O84="drucken",COUNTIF($O$5:O84,"drucken"),"")</f>
        <v/>
      </c>
    </row>
    <row r="85" spans="1:19" ht="39.5" customHeight="1" x14ac:dyDescent="0.2">
      <c r="A85" t="s">
        <v>593</v>
      </c>
      <c r="B85" t="str">
        <f>IFERROR(IF(VLOOKUP($A85,Parts!$A$2:$M$200,2,FALSE())=0,"",VLOOKUP($A85,Parts!$A$2:$M$200,2,FALSE())),"")</f>
        <v>Steckverbinder</v>
      </c>
      <c r="C85" s="48" t="str">
        <f>IFERROR(IF(VLOOKUP($A85,Parts!$A$2:$M$200,3,FALSE())=0,"",VLOOKUP($A85,Parts!$A$2:$M$200,3,FALSE())),"")</f>
        <v>WEIPU SP13 Kabelstecker, 2-polig</v>
      </c>
      <c r="D85" s="48" t="str">
        <f>IFERROR(IF(VLOOKUP($A85,Parts!$A$2:$M$200,4,FALSE())=0,"",VLOOKUP($A85,Parts!$A$2:$M$200,4,FALSE())),"")</f>
        <v>2-polig, Stiftkontakte, IP68 gesteckt, Lötanschluss</v>
      </c>
      <c r="E85" s="48" t="str">
        <f>IFERROR(IF(VLOOKUP($A85,Parts!$A$2:$M$200,5,FALSE())=0,"",VLOOKUP($A85,Parts!$A$2:$M$200,5,FALSE())),"")</f>
        <v>WEIPU SP13 Kabelstecker, 2-polig</v>
      </c>
      <c r="F85" t="str">
        <f>IFERROR(IF(VLOOKUP($A85,Parts!$A$2:$M$200,6,FALSE())=0,"",VLOOKUP($A85,Parts!$A$2:$M$200,6,FALSE())),"")</f>
        <v>WEIPU</v>
      </c>
      <c r="G85" t="str">
        <f>IFERROR(IF(VLOOKUP($A85,Parts!$A$2:$M$200,7,FALSE())=0,"",VLOOKUP($A85,Parts!$A$2:$M$200,7,FALSE())),"")</f>
        <v>SP1310/P2-N</v>
      </c>
      <c r="H85" s="58" t="s">
        <v>826</v>
      </c>
      <c r="I85" t="str">
        <f>IF(OR($A85="",$H85=""),"",IFERROR(IF(INDEX(Part_Suppliers!$C$2:$C$300,MATCH($A85&amp;"|"&amp;$H85,Part_Suppliers!$K$2:$K$300,0))=0,"",INDEX(Part_Suppliers!$C$2:$C$300,MATCH($A85&amp;"|"&amp;$H85,Part_Suppliers!$K$2:$K$300,0))),""))</f>
        <v/>
      </c>
      <c r="J85" s="50">
        <v>0</v>
      </c>
      <c r="K85" s="50">
        <v>0</v>
      </c>
      <c r="L85" s="48" t="str">
        <f>IFERROR(IF(VLOOKUP($A85,Parts!$A$2:$M$200,8,FALSE())=0,"",VLOOKUP($A85,Parts!$A$2:$M$200,8,FALSE())),"")</f>
        <v>Gehäusemontage (offen)</v>
      </c>
      <c r="M85" s="48" t="str">
        <f>IFERROR(IF(VLOOKUP($A85,Parts!$A$2:$M$200,12,FALSE())=0,"",VLOOKUP($A85,Parts!$A$2:$M$200,12,FALSE())),"")</f>
        <v>Passend zu Gehäusebuchse SP1312/S2-N (ENP-00080). 13 A / 250 V AC. Standardvariante I für Kabel-Ø 4–6,5 mm; Variante II für 5–8 mm vor Bestellung prüfen.</v>
      </c>
      <c r="N85" s="59"/>
      <c r="O85" s="60" t="s">
        <v>818</v>
      </c>
      <c r="S85" t="str">
        <f>IF(O85="drucken",COUNTIF($O$5:O85,"drucken"),"")</f>
        <v/>
      </c>
    </row>
    <row r="86" spans="1:19" ht="39.5" customHeight="1" x14ac:dyDescent="0.2">
      <c r="A86" t="s">
        <v>598</v>
      </c>
      <c r="B86" t="str">
        <f>IFERROR(IF(VLOOKUP($A86,Parts!$A$2:$M$200,2,FALSE())=0,"",VLOOKUP($A86,Parts!$A$2:$M$200,2,FALSE())),"")</f>
        <v>Steckverbinder</v>
      </c>
      <c r="C86" s="48" t="str">
        <f>IFERROR(IF(VLOOKUP($A86,Parts!$A$2:$M$200,3,FALSE())=0,"",VLOOKUP($A86,Parts!$A$2:$M$200,3,FALSE())),"")</f>
        <v>WEIPU SP13 Gehäusestecker, 2-polig</v>
      </c>
      <c r="D86" s="48" t="str">
        <f>IFERROR(IF(VLOOKUP($A86,Parts!$A$2:$M$200,4,FALSE())=0,"",VLOOKUP($A86,Parts!$A$2:$M$200,4,FALSE())),"")</f>
        <v>2-polig, Stiftkontakte, IP68 gesteckt, Lötanschluss, Hinterwandmontage</v>
      </c>
      <c r="E86" s="48" t="str">
        <f>IFERROR(IF(VLOOKUP($A86,Parts!$A$2:$M$200,5,FALSE())=0,"",VLOOKUP($A86,Parts!$A$2:$M$200,5,FALSE())),"")</f>
        <v>WEIPU SP13 Gehäusestecker, 2-polig</v>
      </c>
      <c r="F86" t="str">
        <f>IFERROR(IF(VLOOKUP($A86,Parts!$A$2:$M$200,6,FALSE())=0,"",VLOOKUP($A86,Parts!$A$2:$M$200,6,FALSE())),"")</f>
        <v>WEIPU</v>
      </c>
      <c r="G86" t="str">
        <f>IFERROR(IF(VLOOKUP($A86,Parts!$A$2:$M$200,7,FALSE())=0,"",VLOOKUP($A86,Parts!$A$2:$M$200,7,FALSE())),"")</f>
        <v>SP1312/P2-N</v>
      </c>
      <c r="H86" s="58" t="s">
        <v>826</v>
      </c>
      <c r="I86" t="str">
        <f>IF(OR($A86="",$H86=""),"",IFERROR(IF(INDEX(Part_Suppliers!$C$2:$C$300,MATCH($A86&amp;"|"&amp;$H86,Part_Suppliers!$K$2:$K$300,0))=0,"",INDEX(Part_Suppliers!$C$2:$C$300,MATCH($A86&amp;"|"&amp;$H86,Part_Suppliers!$K$2:$K$300,0))),""))</f>
        <v/>
      </c>
      <c r="J86" s="50">
        <v>0</v>
      </c>
      <c r="K86" s="50">
        <v>0</v>
      </c>
      <c r="L86" s="48" t="str">
        <f>IFERROR(IF(VLOOKUP($A86,Parts!$A$2:$M$200,8,FALSE())=0,"",VLOOKUP($A86,Parts!$A$2:$M$200,8,FALSE())),"")</f>
        <v>Gehäusemontage (offen)</v>
      </c>
      <c r="M86" s="48" t="str">
        <f>IFERROR(IF(VLOOKUP($A86,Parts!$A$2:$M$200,12,FALSE())=0,"",VLOOKUP($A86,Parts!$A$2:$M$200,12,FALSE())),"")</f>
        <v>Passend zu Kabelbuchse SP1310/S2-N (ENP-00083). 13 A / 250 V AC; Panel-Ausschnitt Ø13 mm. Einsatz und Pinbelegung im Kit festlegen.</v>
      </c>
      <c r="N86" s="59"/>
      <c r="O86" s="60" t="s">
        <v>818</v>
      </c>
      <c r="S86" t="str">
        <f>IF(O86="drucken",COUNTIF($O$5:O86,"drucken"),"")</f>
        <v/>
      </c>
    </row>
    <row r="87" spans="1:19" ht="39.5" customHeight="1" x14ac:dyDescent="0.2">
      <c r="A87" t="s">
        <v>603</v>
      </c>
      <c r="B87" t="str">
        <f>IFERROR(IF(VLOOKUP($A87,Parts!$A$2:$M$200,2,FALSE())=0,"",VLOOKUP($A87,Parts!$A$2:$M$200,2,FALSE())),"")</f>
        <v>Steckverbinder</v>
      </c>
      <c r="C87" s="48" t="str">
        <f>IFERROR(IF(VLOOKUP($A87,Parts!$A$2:$M$200,3,FALSE())=0,"",VLOOKUP($A87,Parts!$A$2:$M$200,3,FALSE())),"")</f>
        <v>WEIPU SP13 Kabelbuchse, 2-polig</v>
      </c>
      <c r="D87" s="48" t="str">
        <f>IFERROR(IF(VLOOKUP($A87,Parts!$A$2:$M$200,4,FALSE())=0,"",VLOOKUP($A87,Parts!$A$2:$M$200,4,FALSE())),"")</f>
        <v>2-polig, Buchsenkontakte, IP68 gesteckt, Lötanschluss</v>
      </c>
      <c r="E87" s="48" t="str">
        <f>IFERROR(IF(VLOOKUP($A87,Parts!$A$2:$M$200,5,FALSE())=0,"",VLOOKUP($A87,Parts!$A$2:$M$200,5,FALSE())),"")</f>
        <v>WEIPU SP13 Kabelbuchse, 2-polig</v>
      </c>
      <c r="F87" t="str">
        <f>IFERROR(IF(VLOOKUP($A87,Parts!$A$2:$M$200,6,FALSE())=0,"",VLOOKUP($A87,Parts!$A$2:$M$200,6,FALSE())),"")</f>
        <v>WEIPU</v>
      </c>
      <c r="G87" t="str">
        <f>IFERROR(IF(VLOOKUP($A87,Parts!$A$2:$M$200,7,FALSE())=0,"",VLOOKUP($A87,Parts!$A$2:$M$200,7,FALSE())),"")</f>
        <v>SP1310/S2-N</v>
      </c>
      <c r="H87" s="58" t="s">
        <v>826</v>
      </c>
      <c r="I87" t="str">
        <f>IF(OR($A87="",$H87=""),"",IFERROR(IF(INDEX(Part_Suppliers!$C$2:$C$300,MATCH($A87&amp;"|"&amp;$H87,Part_Suppliers!$K$2:$K$300,0))=0,"",INDEX(Part_Suppliers!$C$2:$C$300,MATCH($A87&amp;"|"&amp;$H87,Part_Suppliers!$K$2:$K$300,0))),""))</f>
        <v/>
      </c>
      <c r="J87" s="50">
        <v>0</v>
      </c>
      <c r="K87" s="50">
        <v>0</v>
      </c>
      <c r="L87" s="48" t="str">
        <f>IFERROR(IF(VLOOKUP($A87,Parts!$A$2:$M$200,8,FALSE())=0,"",VLOOKUP($A87,Parts!$A$2:$M$200,8,FALSE())),"")</f>
        <v>Gehäusemontage (offen)</v>
      </c>
      <c r="M87" s="48" t="str">
        <f>IFERROR(IF(VLOOKUP($A87,Parts!$A$2:$M$200,12,FALSE())=0,"",VLOOKUP($A87,Parts!$A$2:$M$200,12,FALSE())),"")</f>
        <v>Passend zu Gehäusestecker SP1312/P2-N (ENP-00082). 13 A / 250 V AC. Standardvariante I für Kabel-Ø 4–6,5 mm; Variante II für 5–8 mm vor Bestellung prüfen.</v>
      </c>
      <c r="N87" s="59"/>
      <c r="O87" s="60" t="s">
        <v>818</v>
      </c>
      <c r="S87" t="str">
        <f>IF(O87="drucken",COUNTIF($O$5:O87,"drucken"),"")</f>
        <v/>
      </c>
    </row>
    <row r="88" spans="1:19" ht="39.5" customHeight="1" x14ac:dyDescent="0.2">
      <c r="A88" t="s">
        <v>608</v>
      </c>
      <c r="B88" t="str">
        <f>IFERROR(IF(VLOOKUP($A88,Parts!$A$2:$M$200,2,FALSE())=0,"",VLOOKUP($A88,Parts!$A$2:$M$200,2,FALSE())),"")</f>
        <v>Steckverbinder</v>
      </c>
      <c r="C88" s="48" t="str">
        <f>IFERROR(IF(VLOOKUP($A88,Parts!$A$2:$M$200,3,FALSE())=0,"",VLOOKUP($A88,Parts!$A$2:$M$200,3,FALSE())),"")</f>
        <v>WEIPU SP13 Gehäusebuchse, 4-polig</v>
      </c>
      <c r="D88" s="48" t="str">
        <f>IFERROR(IF(VLOOKUP($A88,Parts!$A$2:$M$200,4,FALSE())=0,"",VLOOKUP($A88,Parts!$A$2:$M$200,4,FALSE())),"")</f>
        <v>4-polig, Buchsenkontakte, IP68 gesteckt, Lötanschluss, Hinterwandmontage</v>
      </c>
      <c r="E88" s="48" t="str">
        <f>IFERROR(IF(VLOOKUP($A88,Parts!$A$2:$M$200,5,FALSE())=0,"",VLOOKUP($A88,Parts!$A$2:$M$200,5,FALSE())),"")</f>
        <v>WEIPU SP13 Gehäusebuchse, 4-polig</v>
      </c>
      <c r="F88" t="str">
        <f>IFERROR(IF(VLOOKUP($A88,Parts!$A$2:$M$200,6,FALSE())=0,"",VLOOKUP($A88,Parts!$A$2:$M$200,6,FALSE())),"")</f>
        <v>WEIPU</v>
      </c>
      <c r="G88" t="str">
        <f>IFERROR(IF(VLOOKUP($A88,Parts!$A$2:$M$200,7,FALSE())=0,"",VLOOKUP($A88,Parts!$A$2:$M$200,7,FALSE())),"")</f>
        <v>SP1312/S4-N</v>
      </c>
      <c r="H88" s="58" t="s">
        <v>826</v>
      </c>
      <c r="I88" t="str">
        <f>IF(OR($A88="",$H88=""),"",IFERROR(IF(INDEX(Part_Suppliers!$C$2:$C$300,MATCH($A88&amp;"|"&amp;$H88,Part_Suppliers!$K$2:$K$300,0))=0,"",INDEX(Part_Suppliers!$C$2:$C$300,MATCH($A88&amp;"|"&amp;$H88,Part_Suppliers!$K$2:$K$300,0))),""))</f>
        <v/>
      </c>
      <c r="J88" s="50">
        <v>0</v>
      </c>
      <c r="K88" s="50">
        <v>0</v>
      </c>
      <c r="L88" s="48" t="str">
        <f>IFERROR(IF(VLOOKUP($A88,Parts!$A$2:$M$200,8,FALSE())=0,"",VLOOKUP($A88,Parts!$A$2:$M$200,8,FALSE())),"")</f>
        <v>Gehäusemontage (offen)</v>
      </c>
      <c r="M88" s="48" t="str">
        <f>IFERROR(IF(VLOOKUP($A88,Parts!$A$2:$M$200,12,FALSE())=0,"",VLOOKUP($A88,Parts!$A$2:$M$200,12,FALSE())),"")</f>
        <v>Passend zu Kabelstecker SP1310/P4-N (ENP-00085). 5 A / 200 V AC; Panel-Ausschnitt Ø13 mm. Vorgesehen für I2C/GPIO/Sensorik.</v>
      </c>
      <c r="N88" s="59"/>
      <c r="O88" s="60" t="s">
        <v>818</v>
      </c>
      <c r="S88" t="str">
        <f>IF(O88="drucken",COUNTIF($O$5:O88,"drucken"),"")</f>
        <v/>
      </c>
    </row>
    <row r="89" spans="1:19" ht="39.5" customHeight="1" x14ac:dyDescent="0.2">
      <c r="A89" t="s">
        <v>613</v>
      </c>
      <c r="B89" t="str">
        <f>IFERROR(IF(VLOOKUP($A89,Parts!$A$2:$M$200,2,FALSE())=0,"",VLOOKUP($A89,Parts!$A$2:$M$200,2,FALSE())),"")</f>
        <v>Steckverbinder</v>
      </c>
      <c r="C89" s="48" t="str">
        <f>IFERROR(IF(VLOOKUP($A89,Parts!$A$2:$M$200,3,FALSE())=0,"",VLOOKUP($A89,Parts!$A$2:$M$200,3,FALSE())),"")</f>
        <v>WEIPU SP13 Kabelstecker, 4-polig</v>
      </c>
      <c r="D89" s="48" t="str">
        <f>IFERROR(IF(VLOOKUP($A89,Parts!$A$2:$M$200,4,FALSE())=0,"",VLOOKUP($A89,Parts!$A$2:$M$200,4,FALSE())),"")</f>
        <v>4-polig, Stiftkontakte, IP68 gesteckt, Lötanschluss</v>
      </c>
      <c r="E89" s="48" t="str">
        <f>IFERROR(IF(VLOOKUP($A89,Parts!$A$2:$M$200,5,FALSE())=0,"",VLOOKUP($A89,Parts!$A$2:$M$200,5,FALSE())),"")</f>
        <v>WEIPU SP13 Kabelstecker, 4-polig</v>
      </c>
      <c r="F89" t="str">
        <f>IFERROR(IF(VLOOKUP($A89,Parts!$A$2:$M$200,6,FALSE())=0,"",VLOOKUP($A89,Parts!$A$2:$M$200,6,FALSE())),"")</f>
        <v>WEIPU</v>
      </c>
      <c r="G89" t="str">
        <f>IFERROR(IF(VLOOKUP($A89,Parts!$A$2:$M$200,7,FALSE())=0,"",VLOOKUP($A89,Parts!$A$2:$M$200,7,FALSE())),"")</f>
        <v>SP1310/P4-N</v>
      </c>
      <c r="H89" s="58" t="s">
        <v>826</v>
      </c>
      <c r="I89" t="str">
        <f>IF(OR($A89="",$H89=""),"",IFERROR(IF(INDEX(Part_Suppliers!$C$2:$C$300,MATCH($A89&amp;"|"&amp;$H89,Part_Suppliers!$K$2:$K$300,0))=0,"",INDEX(Part_Suppliers!$C$2:$C$300,MATCH($A89&amp;"|"&amp;$H89,Part_Suppliers!$K$2:$K$300,0))),""))</f>
        <v/>
      </c>
      <c r="J89" s="50">
        <v>0</v>
      </c>
      <c r="K89" s="50">
        <v>0</v>
      </c>
      <c r="L89" s="48" t="str">
        <f>IFERROR(IF(VLOOKUP($A89,Parts!$A$2:$M$200,8,FALSE())=0,"",VLOOKUP($A89,Parts!$A$2:$M$200,8,FALSE())),"")</f>
        <v>Gehäusemontage (offen)</v>
      </c>
      <c r="M89" s="48" t="str">
        <f>IFERROR(IF(VLOOKUP($A89,Parts!$A$2:$M$200,12,FALSE())=0,"",VLOOKUP($A89,Parts!$A$2:$M$200,12,FALSE())),"")</f>
        <v>Passend zu Gehäusebuchse SP1312/S4-N (ENP-00084). 5 A / 200 V AC. Standardvariante I für Kabel-Ø 4–6,5 mm; Variante II für 5–8 mm vor Bestellung prüfen.</v>
      </c>
      <c r="N89" s="59"/>
      <c r="O89" s="60" t="s">
        <v>818</v>
      </c>
      <c r="S89" t="str">
        <f>IF(O89="drucken",COUNTIF($O$5:O89,"drucken"),"")</f>
        <v/>
      </c>
    </row>
    <row r="90" spans="1:19" ht="39.5" customHeight="1" x14ac:dyDescent="0.2">
      <c r="A90" t="s">
        <v>618</v>
      </c>
      <c r="B90" t="str">
        <f>IFERROR(IF(VLOOKUP($A90,Parts!$A$2:$M$200,2,FALSE())=0,"",VLOOKUP($A90,Parts!$A$2:$M$200,2,FALSE())),"")</f>
        <v>Steckverbinder</v>
      </c>
      <c r="C90" s="48" t="str">
        <f>IFERROR(IF(VLOOKUP($A90,Parts!$A$2:$M$200,3,FALSE())=0,"",VLOOKUP($A90,Parts!$A$2:$M$200,3,FALSE())),"")</f>
        <v>WEIPU SP13 Gehäusestecker, 4-polig</v>
      </c>
      <c r="D90" s="48" t="str">
        <f>IFERROR(IF(VLOOKUP($A90,Parts!$A$2:$M$200,4,FALSE())=0,"",VLOOKUP($A90,Parts!$A$2:$M$200,4,FALSE())),"")</f>
        <v>4-polig, Stiftkontakte, IP68 gesteckt, Lötanschluss, Hinterwandmontage</v>
      </c>
      <c r="E90" s="48" t="str">
        <f>IFERROR(IF(VLOOKUP($A90,Parts!$A$2:$M$200,5,FALSE())=0,"",VLOOKUP($A90,Parts!$A$2:$M$200,5,FALSE())),"")</f>
        <v>WEIPU SP13 Gehäusestecker, 4-polig</v>
      </c>
      <c r="F90" t="str">
        <f>IFERROR(IF(VLOOKUP($A90,Parts!$A$2:$M$200,6,FALSE())=0,"",VLOOKUP($A90,Parts!$A$2:$M$200,6,FALSE())),"")</f>
        <v>WEIPU</v>
      </c>
      <c r="G90" t="str">
        <f>IFERROR(IF(VLOOKUP($A90,Parts!$A$2:$M$200,7,FALSE())=0,"",VLOOKUP($A90,Parts!$A$2:$M$200,7,FALSE())),"")</f>
        <v>SP1312/P4-N</v>
      </c>
      <c r="H90" s="58" t="s">
        <v>826</v>
      </c>
      <c r="I90" t="str">
        <f>IF(OR($A90="",$H90=""),"",IFERROR(IF(INDEX(Part_Suppliers!$C$2:$C$300,MATCH($A90&amp;"|"&amp;$H90,Part_Suppliers!$K$2:$K$300,0))=0,"",INDEX(Part_Suppliers!$C$2:$C$300,MATCH($A90&amp;"|"&amp;$H90,Part_Suppliers!$K$2:$K$300,0))),""))</f>
        <v/>
      </c>
      <c r="J90" s="50">
        <v>0</v>
      </c>
      <c r="K90" s="50">
        <v>0</v>
      </c>
      <c r="L90" s="48" t="str">
        <f>IFERROR(IF(VLOOKUP($A90,Parts!$A$2:$M$200,8,FALSE())=0,"",VLOOKUP($A90,Parts!$A$2:$M$200,8,FALSE())),"")</f>
        <v>Gehäusemontage (offen)</v>
      </c>
      <c r="M90" s="48" t="str">
        <f>IFERROR(IF(VLOOKUP($A90,Parts!$A$2:$M$200,12,FALSE())=0,"",VLOOKUP($A90,Parts!$A$2:$M$200,12,FALSE())),"")</f>
        <v>Passend zu Kabelbuchse SP1310/S4-N (ENP-00087). 5 A / 200 V AC; Panel-Ausschnitt Ø13 mm. Vorgesehen für I2C/GPIO/Sensorik.</v>
      </c>
      <c r="N90" s="59"/>
      <c r="O90" s="60" t="s">
        <v>818</v>
      </c>
      <c r="S90" t="str">
        <f>IF(O90="drucken",COUNTIF($O$5:O90,"drucken"),"")</f>
        <v/>
      </c>
    </row>
    <row r="91" spans="1:19" ht="39.5" customHeight="1" x14ac:dyDescent="0.2">
      <c r="A91" t="s">
        <v>623</v>
      </c>
      <c r="B91" t="str">
        <f>IFERROR(IF(VLOOKUP($A91,Parts!$A$2:$M$200,2,FALSE())=0,"",VLOOKUP($A91,Parts!$A$2:$M$200,2,FALSE())),"")</f>
        <v>Steckverbinder</v>
      </c>
      <c r="C91" s="48" t="str">
        <f>IFERROR(IF(VLOOKUP($A91,Parts!$A$2:$M$200,3,FALSE())=0,"",VLOOKUP($A91,Parts!$A$2:$M$200,3,FALSE())),"")</f>
        <v>WEIPU SP13 Kabelbuchse, 4-polig</v>
      </c>
      <c r="D91" s="48" t="str">
        <f>IFERROR(IF(VLOOKUP($A91,Parts!$A$2:$M$200,4,FALSE())=0,"",VLOOKUP($A91,Parts!$A$2:$M$200,4,FALSE())),"")</f>
        <v>4-polig, Buchsenkontakte, IP68 gesteckt, Lötanschluss</v>
      </c>
      <c r="E91" s="48" t="str">
        <f>IFERROR(IF(VLOOKUP($A91,Parts!$A$2:$M$200,5,FALSE())=0,"",VLOOKUP($A91,Parts!$A$2:$M$200,5,FALSE())),"")</f>
        <v>WEIPU SP13 Kabelbuchse, 4-polig</v>
      </c>
      <c r="F91" t="str">
        <f>IFERROR(IF(VLOOKUP($A91,Parts!$A$2:$M$200,6,FALSE())=0,"",VLOOKUP($A91,Parts!$A$2:$M$200,6,FALSE())),"")</f>
        <v>WEIPU</v>
      </c>
      <c r="G91" t="str">
        <f>IFERROR(IF(VLOOKUP($A91,Parts!$A$2:$M$200,7,FALSE())=0,"",VLOOKUP($A91,Parts!$A$2:$M$200,7,FALSE())),"")</f>
        <v>SP1310/S4-N</v>
      </c>
      <c r="H91" s="58" t="s">
        <v>826</v>
      </c>
      <c r="I91" t="str">
        <f>IF(OR($A91="",$H91=""),"",IFERROR(IF(INDEX(Part_Suppliers!$C$2:$C$300,MATCH($A91&amp;"|"&amp;$H91,Part_Suppliers!$K$2:$K$300,0))=0,"",INDEX(Part_Suppliers!$C$2:$C$300,MATCH($A91&amp;"|"&amp;$H91,Part_Suppliers!$K$2:$K$300,0))),""))</f>
        <v/>
      </c>
      <c r="J91" s="50">
        <v>0</v>
      </c>
      <c r="K91" s="50">
        <v>0</v>
      </c>
      <c r="L91" s="48" t="str">
        <f>IFERROR(IF(VLOOKUP($A91,Parts!$A$2:$M$200,8,FALSE())=0,"",VLOOKUP($A91,Parts!$A$2:$M$200,8,FALSE())),"")</f>
        <v>Gehäusemontage (offen)</v>
      </c>
      <c r="M91" s="48" t="str">
        <f>IFERROR(IF(VLOOKUP($A91,Parts!$A$2:$M$200,12,FALSE())=0,"",VLOOKUP($A91,Parts!$A$2:$M$200,12,FALSE())),"")</f>
        <v>Passend zu Gehäusestecker SP1312/P4-N (ENP-00086). 5 A / 200 V AC. Standardvariante I für Kabel-Ø 4–6,5 mm; Variante II für 5–8 mm vor Bestellung prüfen.</v>
      </c>
      <c r="N91" s="59"/>
      <c r="O91" s="60" t="s">
        <v>818</v>
      </c>
      <c r="S91" t="str">
        <f>IF(O91="drucken",COUNTIF($O$5:O91,"drucken"),"")</f>
        <v/>
      </c>
    </row>
    <row r="92" spans="1:19" ht="39.5" customHeight="1" x14ac:dyDescent="0.2">
      <c r="A92" t="s">
        <v>628</v>
      </c>
      <c r="B92" t="str">
        <f>IFERROR(IF(VLOOKUP($A92,Parts!$A$2:$M$200,2,FALSE())=0,"",VLOOKUP($A92,Parts!$A$2:$M$200,2,FALSE())),"")</f>
        <v>Steckverbinder</v>
      </c>
      <c r="C92" s="48" t="str">
        <f>IFERROR(IF(VLOOKUP($A92,Parts!$A$2:$M$200,3,FALSE())=0,"",VLOOKUP($A92,Parts!$A$2:$M$200,3,FALSE())),"")</f>
        <v>DC-Einbaubuchse 5,5/2,1 mm – EnvNode 5-V-Versorgung</v>
      </c>
      <c r="D92" s="48" t="str">
        <f>IFERROR(IF(VLOOKUP($A92,Parts!$A$2:$M$200,4,FALSE())=0,"",VLOOKUP($A92,Parts!$A$2:$M$200,4,FALSE())),"")</f>
        <v>5,5 × 2,1 mm, 2-polig, 20 V DC / 10 A, Lötanschluss</v>
      </c>
      <c r="E92" s="48" t="str">
        <f>IFERROR(IF(VLOOKUP($A92,Parts!$A$2:$M$200,5,FALSE())=0,"",VLOOKUP($A92,Parts!$A$2:$M$200,5,FALSE())),"")</f>
        <v/>
      </c>
      <c r="F92" t="str">
        <f>IFERROR(IF(VLOOKUP($A92,Parts!$A$2:$M$200,6,FALSE())=0,"",VLOOKUP($A92,Parts!$A$2:$M$200,6,FALSE())),"")</f>
        <v>Delock</v>
      </c>
      <c r="G92" t="str">
        <f>IFERROR(IF(VLOOKUP($A92,Parts!$A$2:$M$200,7,FALSE())=0,"",VLOOKUP($A92,Parts!$A$2:$M$200,7,FALSE())),"")</f>
        <v>90174</v>
      </c>
      <c r="H92" s="58" t="s">
        <v>822</v>
      </c>
      <c r="I92" t="str">
        <f>IF(OR($A92="",$H92=""),"",IFERROR(IF(INDEX(Part_Suppliers!$C$2:$C$300,MATCH($A92&amp;"|"&amp;$H92,Part_Suppliers!$K$2:$K$300,0))=0,"",INDEX(Part_Suppliers!$C$2:$C$300,MATCH($A92&amp;"|"&amp;$H92,Part_Suppliers!$K$2:$K$300,0))),""))</f>
        <v>DELOCK 90174</v>
      </c>
      <c r="J92" s="50">
        <v>0</v>
      </c>
      <c r="K92" s="50">
        <v>0</v>
      </c>
      <c r="L92" s="48" t="str">
        <f>IFERROR(IF(VLOOKUP($A92,Parts!$A$2:$M$200,8,FALSE())=0,"",VLOOKUP($A92,Parts!$A$2:$M$200,8,FALSE())),"")</f>
        <v>Gehäusemontage (offen)</v>
      </c>
      <c r="M92" s="48" t="str">
        <f>IFERROR(IF(VLOOKUP($A92,Parts!$A$2:$M$200,12,FALSE())=0,"",VLOOKUP($A92,Parts!$A$2:$M$200,12,FALSE())),"")</f>
        <v>Für 5-V-Versorgung in trockener Umgebung. Passend für DC-Stecker 5,5/2,1 mm mit 9,5 oder 12 mm Stiftlänge. Polarität im Kit verbindlich festlegen, empfohlen: Plus am Innenkontakt.</v>
      </c>
      <c r="N92" s="59"/>
      <c r="O92" s="60" t="s">
        <v>818</v>
      </c>
      <c r="S92" t="str">
        <f>IF(O92="drucken",COUNTIF($O$5:O92,"drucken"),"")</f>
        <v/>
      </c>
    </row>
    <row r="93" spans="1:19" ht="39.5" customHeight="1" x14ac:dyDescent="0.2">
      <c r="A93" t="s">
        <v>635</v>
      </c>
      <c r="B93" t="str">
        <f>IFERROR(IF(VLOOKUP($A93,Parts!$A$2:$M$200,2,FALSE())=0,"",VLOOKUP($A93,Parts!$A$2:$M$200,2,FALSE())),"")</f>
        <v>Steckverbinder</v>
      </c>
      <c r="C93" s="48" t="str">
        <f>IFERROR(IF(VLOOKUP($A93,Parts!$A$2:$M$200,3,FALSE())=0,"",VLOOKUP($A93,Parts!$A$2:$M$200,3,FALSE())),"")</f>
        <v>USB-C-Buchse, 16-polig, USB 2.0, Top-Mount</v>
      </c>
      <c r="D93" s="48" t="str">
        <f>IFERROR(IF(VLOOKUP($A93,Parts!$A$2:$M$200,4,FALSE())=0,"",VLOOKUP($A93,Parts!$A$2:$M$200,4,FALSE())),"")</f>
        <v>USB Type-C Receptacle, 16 Signalpins (+ 8 Dummy), 5 A, 48 V DC, SMD/TH, horizontal</v>
      </c>
      <c r="E93" s="48" t="str">
        <f>IFERROR(IF(VLOOKUP($A93,Parts!$A$2:$M$200,5,FALSE())=0,"",VLOOKUP($A93,Parts!$A$2:$M$200,5,FALSE())),"")</f>
        <v>Connector_USB:USB_C_Receptacle_GCT_USB4105-xx-A_16P_TopMnt_Horizontal</v>
      </c>
      <c r="F93" t="str">
        <f>IFERROR(IF(VLOOKUP($A93,Parts!$A$2:$M$200,6,FALSE())=0,"",VLOOKUP($A93,Parts!$A$2:$M$200,6,FALSE())),"")</f>
        <v>GCT</v>
      </c>
      <c r="G93" t="str">
        <f>IFERROR(IF(VLOOKUP($A93,Parts!$A$2:$M$200,7,FALSE())=0,"",VLOOKUP($A93,Parts!$A$2:$M$200,7,FALSE())),"")</f>
        <v>USB4105-GF-A</v>
      </c>
      <c r="H93" s="58" t="s">
        <v>829</v>
      </c>
      <c r="I93" t="str">
        <f>IF(OR($A93="",$H93=""),"",IFERROR(IF(INDEX(Part_Suppliers!$C$2:$C$300,MATCH($A93&amp;"|"&amp;$H93,Part_Suppliers!$K$2:$K$300,0))=0,"",INDEX(Part_Suppliers!$C$2:$C$300,MATCH($A93&amp;"|"&amp;$H93,Part_Suppliers!$K$2:$K$300,0))),""))</f>
        <v>2073-USB4105-GF-ACT-ND</v>
      </c>
      <c r="J93" s="50">
        <v>0</v>
      </c>
      <c r="K93" s="50">
        <v>0</v>
      </c>
      <c r="L93" s="48" t="str">
        <f>IFERROR(IF(VLOOKUP($A93,Parts!$A$2:$M$200,8,FALSE())=0,"",VLOOKUP($A93,Parts!$A$2:$M$200,8,FALSE())),"")</f>
        <v>EnvNode Rev 0.2</v>
      </c>
      <c r="M93" s="48" t="str">
        <f>IFERROR(IF(VLOOKUP($A93,Parts!$A$2:$M$200,12,FALSE())=0,"",VLOOKUP($A93,Parts!$A$2:$M$200,12,FALSE())),"")</f>
        <v>Power-only mit Symbol Connector:USB_C_Receptacle_USB2.0_16P. Robuste Top-Mount-Ausführung mit vier durchkontaktierten Shield-/Haltezungen. D+/D− und SBU1/SBU2 NC; Shield an GND; CC1 und CC2 jeweils separat über 5,1 kΩ nach GND.</v>
      </c>
      <c r="N93" s="59"/>
      <c r="O93" s="60" t="s">
        <v>818</v>
      </c>
      <c r="S93" t="str">
        <f>IF(O93="drucken",COUNTIF($O$5:O93,"drucken"),"")</f>
        <v/>
      </c>
    </row>
    <row r="94" spans="1:19" ht="39.5" customHeight="1" x14ac:dyDescent="0.2">
      <c r="A94" t="s">
        <v>645</v>
      </c>
      <c r="B94" t="str">
        <f>IFERROR(IF(VLOOKUP($A94,Parts!$A$2:$M$200,2,FALSE())=0,"",VLOOKUP($A94,Parts!$A$2:$M$200,2,FALSE())),"")</f>
        <v>Widerstand</v>
      </c>
      <c r="C94" s="48" t="str">
        <f>IFERROR(IF(VLOOKUP($A94,Parts!$A$2:$M$200,3,FALSE())=0,"",VLOOKUP($A94,Parts!$A$2:$M$200,3,FALSE())),"")</f>
        <v>SMD-Widerstand 5,1 kOhm, 1 %, 1206</v>
      </c>
      <c r="D94" s="48" t="str">
        <f>IFERROR(IF(VLOOKUP($A94,Parts!$A$2:$M$200,4,FALSE())=0,"",VLOOKUP($A94,Parts!$A$2:$M$200,4,FALSE())),"")</f>
        <v>5,1 kΩ, 1 %, 250 mW</v>
      </c>
      <c r="E94" s="48" t="str">
        <f>IFERROR(IF(VLOOKUP($A94,Parts!$A$2:$M$200,5,FALSE())=0,"",VLOOKUP($A94,Parts!$A$2:$M$200,5,FALSE())),"")</f>
        <v>Resistor_SMD:R_1206_3216Metric_Pad1.30x1.75mm_HandSolder</v>
      </c>
      <c r="F94" t="str">
        <f>IFERROR(IF(VLOOKUP($A94,Parts!$A$2:$M$200,6,FALSE())=0,"",VLOOKUP($A94,Parts!$A$2:$M$200,6,FALSE())),"")</f>
        <v>Vishay Dale</v>
      </c>
      <c r="G94" t="str">
        <f>IFERROR(IF(VLOOKUP($A94,Parts!$A$2:$M$200,7,FALSE())=0,"",VLOOKUP($A94,Parts!$A$2:$M$200,7,FALSE())),"")</f>
        <v>CRCW12065K10FKEA</v>
      </c>
      <c r="H94" s="58" t="s">
        <v>829</v>
      </c>
      <c r="I94" t="str">
        <f>IF(OR($A94="",$H94=""),"",IFERROR(IF(INDEX(Part_Suppliers!$C$2:$C$300,MATCH($A94&amp;"|"&amp;$H94,Part_Suppliers!$K$2:$K$300,0))=0,"",INDEX(Part_Suppliers!$C$2:$C$300,MATCH($A94&amp;"|"&amp;$H94,Part_Suppliers!$K$2:$K$300,0))),""))</f>
        <v>541-5.10KFCT-ND</v>
      </c>
      <c r="J94" s="50">
        <v>0</v>
      </c>
      <c r="K94" s="50">
        <v>0</v>
      </c>
      <c r="L94" s="48" t="str">
        <f>IFERROR(IF(VLOOKUP($A94,Parts!$A$2:$M$200,8,FALSE())=0,"",VLOOKUP($A94,Parts!$A$2:$M$200,8,FALSE())),"")</f>
        <v>EnvNode Rev 0.2</v>
      </c>
      <c r="M94" s="48" t="str">
        <f>IFERROR(IF(VLOOKUP($A94,Parts!$A$2:$M$200,12,FALSE())=0,"",VLOOKUP($A94,Parts!$A$2:$M$200,12,FALSE())),"")</f>
        <v>Zwei Stück als getrennte Rd-Widerstände: je einer von CC1 bzw. CC2 nach GND; CC1 und CC2 nicht miteinander verbinden.</v>
      </c>
      <c r="N94" s="59"/>
      <c r="O94" s="60" t="s">
        <v>818</v>
      </c>
      <c r="S94" t="str">
        <f>IF(O94="drucken",COUNTIF($O$5:O94,"drucken"),"")</f>
        <v/>
      </c>
    </row>
    <row r="95" spans="1:19" ht="39.5" customHeight="1" x14ac:dyDescent="0.2">
      <c r="A95" t="s">
        <v>653</v>
      </c>
      <c r="B95" t="str">
        <f>IFERROR(IF(VLOOKUP($A95,Parts!$A$2:$M$200,2,FALSE())=0,"",VLOOKUP($A95,Parts!$A$2:$M$200,2,FALSE())),"")</f>
        <v>Steckverbinder</v>
      </c>
      <c r="C95" s="48" t="str">
        <f>IFERROR(IF(VLOOKUP($A95,Parts!$A$2:$M$200,3,FALSE())=0,"",VLOOKUP($A95,Parts!$A$2:$M$200,3,FALSE())),"")</f>
        <v>Präzisions-Buchsenleiste 1x8, 2,54 mm, gerade</v>
      </c>
      <c r="D95" s="48" t="str">
        <f>IFERROR(IF(VLOOKUP($A95,Parts!$A$2:$M$200,4,FALSE())=0,"",VLOOKUP($A95,Parts!$A$2:$M$200,4,FALSE())),"")</f>
        <v>1x8, 2,54 mm, THT, gerade, Präzisionskontakte, 3 A / 150 V</v>
      </c>
      <c r="E95" s="48" t="str">
        <f>IFERROR(IF(VLOOKUP($A95,Parts!$A$2:$M$200,5,FALSE())=0,"",VLOOKUP($A95,Parts!$A$2:$M$200,5,FALSE())),"")</f>
        <v>Connector_PinSocket_2.54mm:PinSocket_1x08_P2.54mm_Vertical</v>
      </c>
      <c r="F95" t="str">
        <f>IFERROR(IF(VLOOKUP($A95,Parts!$A$2:$M$200,6,FALSE())=0,"",VLOOKUP($A95,Parts!$A$2:$M$200,6,FALSE())),"")</f>
        <v>Binder MPE</v>
      </c>
      <c r="G95" t="str">
        <f>IFERROR(IF(VLOOKUP($A95,Parts!$A$2:$M$200,7,FALSE())=0,"",VLOOKUP($A95,Parts!$A$2:$M$200,7,FALSE())),"")</f>
        <v>115-1-008-1-0-MTF-XS0</v>
      </c>
      <c r="H95" s="58" t="s">
        <v>822</v>
      </c>
      <c r="I95" t="str">
        <f>IF(OR($A95="",$H95=""),"",IFERROR(IF(INDEX(Part_Suppliers!$C$2:$C$300,MATCH($A95&amp;"|"&amp;$H95,Part_Suppliers!$K$2:$K$300,0))=0,"",INDEX(Part_Suppliers!$C$2:$C$300,MATCH($A95&amp;"|"&amp;$H95,Part_Suppliers!$K$2:$K$300,0))),""))</f>
        <v>MPE 115-1-008</v>
      </c>
      <c r="J95" s="50">
        <v>4</v>
      </c>
      <c r="K95" s="50">
        <v>0</v>
      </c>
      <c r="L95" s="48" t="str">
        <f>IFERROR(IF(VLOOKUP($A95,Parts!$A$2:$M$200,8,FALSE())=0,"",VLOOKUP($A95,Parts!$A$2:$M$200,8,FALSE())),"")</f>
        <v>Bestand/Werkstatt</v>
      </c>
      <c r="M95" s="48" t="str">
        <f>IFERROR(IF(VLOOKUP($A95,Parts!$A$2:$M$200,12,FALSE())=0,"",VLOOKUP($A95,Parts!$A$2:$M$200,12,FALSE())),"")</f>
        <v>Gerade THT-Präzisionsbuchsenleiste mit gedrehten Kontakten; Höhe 7 mm, UL 94V-0, Temperaturbereich −55 bis +125 °C. Derzeit keinem Kit oder KiCad-BOM zugeordnet.</v>
      </c>
      <c r="N95" s="59"/>
      <c r="O95" s="60" t="s">
        <v>828</v>
      </c>
      <c r="S95">
        <f>IF(O95="drucken",COUNTIF($O$5:O95,"drucken"),"")</f>
        <v>2</v>
      </c>
    </row>
    <row r="96" spans="1:19" ht="39.5" customHeight="1" x14ac:dyDescent="0.2">
      <c r="A96" t="s">
        <v>661</v>
      </c>
      <c r="B96" t="str">
        <f>IFERROR(IF(VLOOKUP($A96,Parts!$A$2:$M$200,2,FALSE())=0,"",VLOOKUP($A96,Parts!$A$2:$M$200,2,FALSE())),"")</f>
        <v>MOSFET</v>
      </c>
      <c r="C96" s="48" t="str">
        <f>IFERROR(IF(VLOOKUP($A96,Parts!$A$2:$M$200,3,FALSE())=0,"",VLOOKUP($A96,Parts!$A$2:$M$200,3,FALSE())),"")</f>
        <v>Dual-MOSFET N-/P-Kanal, SO-8</v>
      </c>
      <c r="D96" s="48" t="str">
        <f>IFERROR(IF(VLOOKUP($A96,Parts!$A$2:$M$200,4,FALSE())=0,"",VLOOKUP($A96,Parts!$A$2:$M$200,4,FALSE())),"")</f>
        <v>N-/P-Kanal, ±30 V, 1,4 W</v>
      </c>
      <c r="E96" s="48" t="str">
        <f>IFERROR(IF(VLOOKUP($A96,Parts!$A$2:$M$200,5,FALSE())=0,"",VLOOKUP($A96,Parts!$A$2:$M$200,5,FALSE())),"")</f>
        <v>Package_SO:SOIC-8_3.9x4.9mm_P1.27mm</v>
      </c>
      <c r="F96" t="str">
        <f>IFERROR(IF(VLOOKUP($A96,Parts!$A$2:$M$200,6,FALSE())=0,"",VLOOKUP($A96,Parts!$A$2:$M$200,6,FALSE())),"")</f>
        <v>Infineon</v>
      </c>
      <c r="G96" t="str">
        <f>IFERROR(IF(VLOOKUP($A96,Parts!$A$2:$M$200,7,FALSE())=0,"",VLOOKUP($A96,Parts!$A$2:$M$200,7,FALSE())),"")</f>
        <v>IRF7309PBF</v>
      </c>
      <c r="H96" s="58" t="s">
        <v>822</v>
      </c>
      <c r="I96" t="str">
        <f>IF(OR($A96="",$H96=""),"",IFERROR(IF(INDEX(Part_Suppliers!$C$2:$C$300,MATCH($A96&amp;"|"&amp;$H96,Part_Suppliers!$K$2:$K$300,0))=0,"",INDEX(Part_Suppliers!$C$2:$C$300,MATCH($A96&amp;"|"&amp;$H96,Part_Suppliers!$K$2:$K$300,0))),""))</f>
        <v>IRF 7309</v>
      </c>
      <c r="J96" s="50">
        <v>16</v>
      </c>
      <c r="K96" s="50">
        <v>0</v>
      </c>
      <c r="L96" s="48" t="str">
        <f>IFERROR(IF(VLOOKUP($A96,Parts!$A$2:$M$200,8,FALSE())=0,"",VLOOKUP($A96,Parts!$A$2:$M$200,8,FALSE())),"")</f>
        <v>Bestand/Werkstatt</v>
      </c>
      <c r="M96" s="48" t="str">
        <f>IFERROR(IF(VLOOKUP($A96,Parts!$A$2:$M$200,12,FALSE())=0,"",VLOOKUP($A96,Parts!$A$2:$M$200,12,FALSE())),"")</f>
        <v>Komplementäres N-/P-Kanal-MOSFET-Paar im SO-8-Gehäuse; derzeit keinem Kit oder KiCad-BOM zugeordnet.</v>
      </c>
      <c r="N96" s="59"/>
      <c r="O96" s="60" t="s">
        <v>828</v>
      </c>
      <c r="S96">
        <f>IF(O96="drucken",COUNTIF($O$5:O96,"drucken"),"")</f>
        <v>3</v>
      </c>
    </row>
    <row r="97" spans="1:19" ht="39.5" customHeight="1" x14ac:dyDescent="0.2">
      <c r="A97" t="s">
        <v>667</v>
      </c>
      <c r="B97" t="str">
        <f>IFERROR(IF(VLOOKUP($A97,Parts!$A$2:$M$200,2,FALSE())=0,"",VLOOKUP($A97,Parts!$A$2:$M$200,2,FALSE())),"")</f>
        <v>Widerstand</v>
      </c>
      <c r="C97" s="48" t="str">
        <f>IFERROR(IF(VLOOKUP($A97,Parts!$A$2:$M$200,3,FALSE())=0,"",VLOOKUP($A97,Parts!$A$2:$M$200,3,FALSE())),"")</f>
        <v>SMD-Widerstand 100 kOhm, 5 %, 1206</v>
      </c>
      <c r="D97" s="48" t="str">
        <f>IFERROR(IF(VLOOKUP($A97,Parts!$A$2:$M$200,4,FALSE())=0,"",VLOOKUP($A97,Parts!$A$2:$M$200,4,FALSE())),"")</f>
        <v>100 kΩ, 5 %, 250 mW, 200 V, ±100 ppm/K</v>
      </c>
      <c r="E97" s="48" t="str">
        <f>IFERROR(IF(VLOOKUP($A97,Parts!$A$2:$M$200,5,FALSE())=0,"",VLOOKUP($A97,Parts!$A$2:$M$200,5,FALSE())),"")</f>
        <v>Resistor_SMD:R_1206_3216Metric_Pad1.30x1.75mm_HandSolder</v>
      </c>
      <c r="F97" t="str">
        <f>IFERROR(IF(VLOOKUP($A97,Parts!$A$2:$M$200,6,FALSE())=0,"",VLOOKUP($A97,Parts!$A$2:$M$200,6,FALSE())),"")</f>
        <v>Yageo</v>
      </c>
      <c r="G97" t="str">
        <f>IFERROR(IF(VLOOKUP($A97,Parts!$A$2:$M$200,7,FALSE())=0,"",VLOOKUP($A97,Parts!$A$2:$M$200,7,FALSE())),"")</f>
        <v>RC1206JR-07100KL</v>
      </c>
      <c r="H97" s="58" t="s">
        <v>822</v>
      </c>
      <c r="I97" t="str">
        <f>IF(OR($A97="",$H97=""),"",IFERROR(IF(INDEX(Part_Suppliers!$C$2:$C$300,MATCH($A97&amp;"|"&amp;$H97,Part_Suppliers!$K$2:$K$300,0))=0,"",INDEX(Part_Suppliers!$C$2:$C$300,MATCH($A97&amp;"|"&amp;$H97,Part_Suppliers!$K$2:$K$300,0))),""))</f>
        <v>SMD 1/4W 100K</v>
      </c>
      <c r="J97" s="50">
        <v>16</v>
      </c>
      <c r="K97" s="50">
        <v>0</v>
      </c>
      <c r="L97" s="48" t="str">
        <f>IFERROR(IF(VLOOKUP($A97,Parts!$A$2:$M$200,8,FALSE())=0,"",VLOOKUP($A97,Parts!$A$2:$M$200,8,FALSE())),"")</f>
        <v>Bestand/Werkstatt</v>
      </c>
      <c r="M97" s="48" t="str">
        <f>IFERROR(IF(VLOOKUP($A97,Parts!$A$2:$M$200,12,FALSE())=0,"",VLOOKUP($A97,Parts!$A$2:$M$200,12,FALSE())),"")</f>
        <v>Nicht mit ENP-00016 zusammenführen: Dieser Artikel hat 5 % Toleranz; ENP-00016 hat 0,1 %. Derzeit keinem Kit oder KiCad-BOM zugeordnet.</v>
      </c>
      <c r="N97" s="59"/>
      <c r="O97" s="60" t="s">
        <v>828</v>
      </c>
      <c r="S97">
        <f>IF(O97="drucken",COUNTIF($O$5:O97,"drucken"),"")</f>
        <v>4</v>
      </c>
    </row>
    <row r="98" spans="1:19" ht="39.5" customHeight="1" x14ac:dyDescent="0.2">
      <c r="A98" t="s">
        <v>672</v>
      </c>
      <c r="B98" t="str">
        <f>IFERROR(IF(VLOOKUP($A98,Parts!$A$2:$M$200,2,FALSE())=0,"",VLOOKUP($A98,Parts!$A$2:$M$200,2,FALSE())),"")</f>
        <v>Widerstand</v>
      </c>
      <c r="C98" s="48" t="str">
        <f>IFERROR(IF(VLOOKUP($A98,Parts!$A$2:$M$200,3,FALSE())=0,"",VLOOKUP($A98,Parts!$A$2:$M$200,3,FALSE())),"")</f>
        <v>SMD-Widerstand 10 kOhm, 5 %, 1206</v>
      </c>
      <c r="D98" s="48" t="str">
        <f>IFERROR(IF(VLOOKUP($A98,Parts!$A$2:$M$200,4,FALSE())=0,"",VLOOKUP($A98,Parts!$A$2:$M$200,4,FALSE())),"")</f>
        <v>10 kΩ, 5 %, 250 mW, 200 V, ±100 ppm/K</v>
      </c>
      <c r="E98" s="48" t="str">
        <f>IFERROR(IF(VLOOKUP($A98,Parts!$A$2:$M$200,5,FALSE())=0,"",VLOOKUP($A98,Parts!$A$2:$M$200,5,FALSE())),"")</f>
        <v>Resistor_SMD:R_1206_3216Metric_Pad1.30x1.75mm_HandSolder</v>
      </c>
      <c r="F98" t="str">
        <f>IFERROR(IF(VLOOKUP($A98,Parts!$A$2:$M$200,6,FALSE())=0,"",VLOOKUP($A98,Parts!$A$2:$M$200,6,FALSE())),"")</f>
        <v>Yageo</v>
      </c>
      <c r="G98" t="str">
        <f>IFERROR(IF(VLOOKUP($A98,Parts!$A$2:$M$200,7,FALSE())=0,"",VLOOKUP($A98,Parts!$A$2:$M$200,7,FALSE())),"")</f>
        <v>RC1206JR-0710KL</v>
      </c>
      <c r="H98" s="58" t="s">
        <v>822</v>
      </c>
      <c r="I98" t="str">
        <f>IF(OR($A98="",$H98=""),"",IFERROR(IF(INDEX(Part_Suppliers!$C$2:$C$300,MATCH($A98&amp;"|"&amp;$H98,Part_Suppliers!$K$2:$K$300,0))=0,"",INDEX(Part_Suppliers!$C$2:$C$300,MATCH($A98&amp;"|"&amp;$H98,Part_Suppliers!$K$2:$K$300,0))),""))</f>
        <v>SMD 1/4W 10K</v>
      </c>
      <c r="J98" s="50">
        <v>32</v>
      </c>
      <c r="K98" s="50">
        <v>0</v>
      </c>
      <c r="L98" s="48" t="str">
        <f>IFERROR(IF(VLOOKUP($A98,Parts!$A$2:$M$200,8,FALSE())=0,"",VLOOKUP($A98,Parts!$A$2:$M$200,8,FALSE())),"")</f>
        <v>Bestand/Werkstatt</v>
      </c>
      <c r="M98" s="48" t="str">
        <f>IFERROR(IF(VLOOKUP($A98,Parts!$A$2:$M$200,12,FALSE())=0,"",VLOOKUP($A98,Parts!$A$2:$M$200,12,FALSE())),"")</f>
        <v>Nicht mit ENP-00018 zusammenführen: Dieser Artikel hat 5 % Toleranz; ENP-00018 hat 0,1 %. Derzeit keinem Kit oder KiCad-BOM zugeordnet.</v>
      </c>
      <c r="N98" s="59"/>
      <c r="O98" s="60" t="s">
        <v>828</v>
      </c>
      <c r="S98">
        <f>IF(O98="drucken",COUNTIF($O$5:O98,"drucken"),"")</f>
        <v>5</v>
      </c>
    </row>
    <row r="99" spans="1:19" ht="39.5" customHeight="1" x14ac:dyDescent="0.2">
      <c r="A99" t="s">
        <v>677</v>
      </c>
      <c r="B99" t="str">
        <f>IFERROR(IF(VLOOKUP($A99,Parts!$A$2:$M$200,2,FALSE())=0,"",VLOOKUP($A99,Parts!$A$2:$M$200,2,FALSE())),"")</f>
        <v>IC</v>
      </c>
      <c r="C99" s="48" t="str">
        <f>IFERROR(IF(VLOOKUP($A99,Parts!$A$2:$M$200,3,FALSE())=0,"",VLOOKUP($A99,Parts!$A$2:$M$200,3,FALSE())),"")</f>
        <v>Hex-Inverter mit Schmitt-Trigger, SO-14</v>
      </c>
      <c r="D99" s="48" t="str">
        <f>IFERROR(IF(VLOOKUP($A99,Parts!$A$2:$M$200,4,FALSE())=0,"",VLOOKUP($A99,Parts!$A$2:$M$200,4,FALSE())),"")</f>
        <v>4000B, 6-fach, 3–15 V, SO-14</v>
      </c>
      <c r="E99" s="48" t="str">
        <f>IFERROR(IF(VLOOKUP($A99,Parts!$A$2:$M$200,5,FALSE())=0,"",VLOOKUP($A99,Parts!$A$2:$M$200,5,FALSE())),"")</f>
        <v>Package_SO:SOIC-14_3.9x8.7mm_P1.27mm</v>
      </c>
      <c r="F99" t="str">
        <f>IFERROR(IF(VLOOKUP($A99,Parts!$A$2:$M$200,6,FALSE())=0,"",VLOOKUP($A99,Parts!$A$2:$M$200,6,FALSE())),"")</f>
        <v>FREI</v>
      </c>
      <c r="G99" t="str">
        <f>IFERROR(IF(VLOOKUP($A99,Parts!$A$2:$M$200,7,FALSE())=0,"",VLOOKUP($A99,Parts!$A$2:$M$200,7,FALSE())),"")</f>
        <v/>
      </c>
      <c r="H99" s="58" t="s">
        <v>822</v>
      </c>
      <c r="I99" t="str">
        <f>IF(OR($A99="",$H99=""),"",IFERROR(IF(INDEX(Part_Suppliers!$C$2:$C$300,MATCH($A99&amp;"|"&amp;$H99,Part_Suppliers!$K$2:$K$300,0))=0,"",INDEX(Part_Suppliers!$C$2:$C$300,MATCH($A99&amp;"|"&amp;$H99,Part_Suppliers!$K$2:$K$300,0))),""))</f>
        <v>SMD 40106</v>
      </c>
      <c r="J99" s="50">
        <v>2</v>
      </c>
      <c r="K99" s="50">
        <v>0</v>
      </c>
      <c r="L99" s="48" t="str">
        <f>IFERROR(IF(VLOOKUP($A99,Parts!$A$2:$M$200,8,FALSE())=0,"",VLOOKUP($A99,Parts!$A$2:$M$200,8,FALSE())),"")</f>
        <v>Bestand/Werkstatt</v>
      </c>
      <c r="M99" s="48" t="str">
        <f>IFERROR(IF(VLOOKUP($A99,Parts!$A$2:$M$200,12,FALSE())=0,"",VLOOKUP($A99,Parts!$A$2:$M$200,12,FALSE())),"")</f>
        <v>Reichelt nennt keinen konkreten Hersteller und keine MPN; funktional als HEF40106/HCF40106/CD40106 beschrieben. Vor BOM-Zuordnung die tatsächliche Gehäusebeschriftung prüfen.</v>
      </c>
      <c r="N99" s="59"/>
      <c r="O99" s="60" t="s">
        <v>828</v>
      </c>
      <c r="S99">
        <f>IF(O99="drucken",COUNTIF($O$5:O99,"drucken"),"")</f>
        <v>6</v>
      </c>
    </row>
    <row r="100" spans="1:19" ht="39.5" customHeight="1" x14ac:dyDescent="0.2">
      <c r="A100" t="s">
        <v>684</v>
      </c>
      <c r="B100" t="str">
        <f>IFERROR(IF(VLOOKUP($A100,Parts!$A$2:$M$200,2,FALSE())=0,"",VLOOKUP($A100,Parts!$A$2:$M$200,2,FALSE())),"")</f>
        <v>Kondensator</v>
      </c>
      <c r="C100" s="48" t="str">
        <f>IFERROR(IF(VLOOKUP($A100,Parts!$A$2:$M$200,3,FALSE())=0,"",VLOOKUP($A100,Parts!$A$2:$M$200,3,FALSE())),"")</f>
        <v>Elektrolytkondensator 220 µF SMD, Low ESR</v>
      </c>
      <c r="D100" s="48" t="str">
        <f>IFERROR(IF(VLOOKUP($A100,Parts!$A$2:$M$200,4,FALSE())=0,"",VLOOKUP($A100,Parts!$A$2:$M$200,4,FALSE())),"")</f>
        <v>220 µF, ±20 %, 16 V, 105 °C, 2000 h, ESR 160 mΩ</v>
      </c>
      <c r="E100" s="48" t="str">
        <f>IFERROR(IF(VLOOKUP($A100,Parts!$A$2:$M$200,5,FALSE())=0,"",VLOOKUP($A100,Parts!$A$2:$M$200,5,FALSE())),"")</f>
        <v>Capacitor_SMD:CP_Elec_6.3x7.7</v>
      </c>
      <c r="F100" t="str">
        <f>IFERROR(IF(VLOOKUP($A100,Parts!$A$2:$M$200,6,FALSE())=0,"",VLOOKUP($A100,Parts!$A$2:$M$200,6,FALSE())),"")</f>
        <v>Panasonic</v>
      </c>
      <c r="G100" t="str">
        <f>IFERROR(IF(VLOOKUP($A100,Parts!$A$2:$M$200,7,FALSE())=0,"",VLOOKUP($A100,Parts!$A$2:$M$200,7,FALSE())),"")</f>
        <v>EEEFPC221XAP</v>
      </c>
      <c r="H100" s="58" t="s">
        <v>822</v>
      </c>
      <c r="I100" t="str">
        <f>IF(OR($A100="",$H100=""),"",IFERROR(IF(INDEX(Part_Suppliers!$C$2:$C$300,MATCH($A100&amp;"|"&amp;$H100,Part_Suppliers!$K$2:$K$300,0))=0,"",INDEX(Part_Suppliers!$C$2:$C$300,MATCH($A100&amp;"|"&amp;$H100,Part_Suppliers!$K$2:$K$300,0))),""))</f>
        <v>VF 220/16 P-D8</v>
      </c>
      <c r="J100" s="50">
        <v>1</v>
      </c>
      <c r="K100" s="50">
        <v>0</v>
      </c>
      <c r="L100" s="48" t="str">
        <f>IFERROR(IF(VLOOKUP($A100,Parts!$A$2:$M$200,8,FALSE())=0,"",VLOOKUP($A100,Parts!$A$2:$M$200,8,FALSE())),"")</f>
        <v>Bestand/Werkstatt</v>
      </c>
      <c r="M100" s="48" t="str">
        <f>IFERROR(IF(VLOOKUP($A100,Parts!$A$2:$M$200,12,FALSE())=0,"",VLOOKUP($A100,Parts!$A$2:$M$200,12,FALSE())),"")</f>
        <v>Panasonic Serie V-FP; Ø 6,3 × 7,7 mm, Ripple-Strom 600 mA. Polarität beachten; derzeit keinem Kit oder KiCad-BOM zugeordnet.</v>
      </c>
      <c r="N100" s="59"/>
      <c r="O100" s="60" t="s">
        <v>828</v>
      </c>
      <c r="S100">
        <f>IF(O100="drucken",COUNTIF($O$5:O100,"drucken"),"")</f>
        <v>7</v>
      </c>
    </row>
    <row r="101" spans="1:19" ht="39.5" customHeight="1" x14ac:dyDescent="0.2">
      <c r="A101" t="s">
        <v>689</v>
      </c>
      <c r="B101" t="str">
        <f>IFERROR(IF(VLOOKUP($A101,Parts!$A$2:$M$200,2,FALSE())=0,"",VLOOKUP($A101,Parts!$A$2:$M$200,2,FALSE())),"")</f>
        <v>Kondensator</v>
      </c>
      <c r="C101" s="48" t="str">
        <f>IFERROR(IF(VLOOKUP($A101,Parts!$A$2:$M$200,3,FALSE())=0,"",VLOOKUP($A101,Parts!$A$2:$M$200,3,FALSE())),"")</f>
        <v>Elektrolytkondensator 470 µF SMD, Low ESR</v>
      </c>
      <c r="D101" s="48" t="str">
        <f>IFERROR(IF(VLOOKUP($A101,Parts!$A$2:$M$200,4,FALSE())=0,"",VLOOKUP($A101,Parts!$A$2:$M$200,4,FALSE())),"")</f>
        <v>470 µF, ±20 %, 16 V, 105 °C, 5000 h, ESR 160 mΩ</v>
      </c>
      <c r="E101" s="48" t="str">
        <f>IFERROR(IF(VLOOKUP($A101,Parts!$A$2:$M$200,5,FALSE())=0,"",VLOOKUP($A101,Parts!$A$2:$M$200,5,FALSE())),"")</f>
        <v>Capacitor_SMD:CP_Elec_8x10.2</v>
      </c>
      <c r="F101" t="str">
        <f>IFERROR(IF(VLOOKUP($A101,Parts!$A$2:$M$200,6,FALSE())=0,"",VLOOKUP($A101,Parts!$A$2:$M$200,6,FALSE())),"")</f>
        <v>Europe Chemi-Con</v>
      </c>
      <c r="G101" t="str">
        <f>IFERROR(IF(VLOOKUP($A101,Parts!$A$2:$M$200,7,FALSE())=0,"",VLOOKUP($A101,Parts!$A$2:$M$200,7,FALSE())),"")</f>
        <v>EMZL160ARA471MHA0G</v>
      </c>
      <c r="H101" s="58" t="s">
        <v>822</v>
      </c>
      <c r="I101" t="str">
        <f>IF(OR($A101="",$H101=""),"",IFERROR(IF(INDEX(Part_Suppliers!$C$2:$C$300,MATCH($A101&amp;"|"&amp;$H101,Part_Suppliers!$K$2:$K$300,0))=0,"",INDEX(Part_Suppliers!$C$2:$C$300,MATCH($A101&amp;"|"&amp;$H101,Part_Suppliers!$K$2:$K$300,0))),""))</f>
        <v>ECC MZL160ARA471</v>
      </c>
      <c r="J101" s="50">
        <v>1</v>
      </c>
      <c r="K101" s="50">
        <v>0</v>
      </c>
      <c r="L101" s="48" t="str">
        <f>IFERROR(IF(VLOOKUP($A101,Parts!$A$2:$M$200,8,FALSE())=0,"",VLOOKUP($A101,Parts!$A$2:$M$200,8,FALSE())),"")</f>
        <v>Bestand/Werkstatt</v>
      </c>
      <c r="M101" s="48" t="str">
        <f>IFERROR(IF(VLOOKUP($A101,Parts!$A$2:$M$200,12,FALSE())=0,"",VLOOKUP($A101,Parts!$A$2:$M$200,12,FALSE())),"")</f>
        <v>Europe Chemi-Con Serie MZL; Ø 8 × 10 mm, Ripple-Strom 600 mA. Polarität beachten; derzeit keinem Kit oder KiCad-BOM zugeordnet.</v>
      </c>
      <c r="N101" s="59"/>
      <c r="O101" s="60" t="s">
        <v>828</v>
      </c>
      <c r="S101">
        <f>IF(O101="drucken",COUNTIF($O$5:O101,"drucken"),"")</f>
        <v>8</v>
      </c>
    </row>
    <row r="102" spans="1:19" ht="39.5" customHeight="1" x14ac:dyDescent="0.2">
      <c r="A102" t="s">
        <v>696</v>
      </c>
      <c r="B102" t="str">
        <f>IFERROR(IF(VLOOKUP($A102,Parts!$A$2:$M$200,2,FALSE())=0,"",VLOOKUP($A102,Parts!$A$2:$M$200,2,FALSE())),"")</f>
        <v>Steckverbinder</v>
      </c>
      <c r="C102" s="48" t="str">
        <f>IFERROR(IF(VLOOKUP($A102,Parts!$A$2:$M$200,3,FALSE())=0,"",VLOOKUP($A102,Parts!$A$2:$M$200,3,FALSE())),"")</f>
        <v>JST-XH Stiftleiste 1x2, abgewinkelt</v>
      </c>
      <c r="D102" s="48" t="str">
        <f>IFERROR(IF(VLOOKUP($A102,Parts!$A$2:$M$200,4,FALSE())=0,"",VLOOKUP($A102,Parts!$A$2:$M$200,4,FALSE())),"")</f>
        <v>1x2, 2,50 mm, THT, 90°, 250 V / 3 A</v>
      </c>
      <c r="E102" s="48" t="str">
        <f>IFERROR(IF(VLOOKUP($A102,Parts!$A$2:$M$200,5,FALSE())=0,"",VLOOKUP($A102,Parts!$A$2:$M$200,5,FALSE())),"")</f>
        <v>Connector_JST:JST_XH_S2B-XH-A-1_1x02_P2.50mm_Horizontal</v>
      </c>
      <c r="F102" t="str">
        <f>IFERROR(IF(VLOOKUP($A102,Parts!$A$2:$M$200,6,FALSE())=0,"",VLOOKUP($A102,Parts!$A$2:$M$200,6,FALSE())),"")</f>
        <v>JST</v>
      </c>
      <c r="G102" t="str">
        <f>IFERROR(IF(VLOOKUP($A102,Parts!$A$2:$M$200,7,FALSE())=0,"",VLOOKUP($A102,Parts!$A$2:$M$200,7,FALSE())),"")</f>
        <v>S2B-XH-A</v>
      </c>
      <c r="H102" s="58" t="s">
        <v>822</v>
      </c>
      <c r="I102" t="str">
        <f>IF(OR($A102="",$H102=""),"",IFERROR(IF(INDEX(Part_Suppliers!$C$2:$C$300,MATCH($A102&amp;"|"&amp;$H102,Part_Suppliers!$K$2:$K$300,0))=0,"",INDEX(Part_Suppliers!$C$2:$C$300,MATCH($A102&amp;"|"&amp;$H102,Part_Suppliers!$K$2:$K$300,0))),""))</f>
        <v>JST XH2P ST90</v>
      </c>
      <c r="J102" s="50">
        <v>4</v>
      </c>
      <c r="K102" s="50">
        <v>0</v>
      </c>
      <c r="L102" s="48" t="str">
        <f>IFERROR(IF(VLOOKUP($A102,Parts!$A$2:$M$200,8,FALSE())=0,"",VLOOKUP($A102,Parts!$A$2:$M$200,8,FALSE())),"")</f>
        <v>Bestand/Werkstatt</v>
      </c>
      <c r="M102" s="48" t="str">
        <f>IFERROR(IF(VLOOKUP($A102,Parts!$A$2:$M$200,12,FALSE())=0,"",VLOOKUP($A102,Parts!$A$2:$M$200,12,FALSE())),"")</f>
        <v>Abgewinkelte Print-Stiftleiste der JST-XH-Serie; Rastermaß 2,50 mm, nicht 2,54 mm. Derzeit keinem Kit oder KiCad-BOM zugeordnet.</v>
      </c>
      <c r="N102" s="59"/>
      <c r="O102" s="60" t="s">
        <v>828</v>
      </c>
      <c r="S102">
        <f>IF(O102="drucken",COUNTIF($O$5:O102,"drucken"),"")</f>
        <v>9</v>
      </c>
    </row>
    <row r="103" spans="1:19" ht="39.5" customHeight="1" x14ac:dyDescent="0.2">
      <c r="A103" t="s">
        <v>702</v>
      </c>
      <c r="B103" t="str">
        <f>IFERROR(IF(VLOOKUP($A103,Parts!$A$2:$M$200,2,FALSE())=0,"",VLOOKUP($A103,Parts!$A$2:$M$200,2,FALSE())),"")</f>
        <v>Widerstand</v>
      </c>
      <c r="C103" s="48" t="str">
        <f>IFERROR(IF(VLOOKUP($A103,Parts!$A$2:$M$200,3,FALSE())=0,"",VLOOKUP($A103,Parts!$A$2:$M$200,3,FALSE())),"")</f>
        <v>SMD-Widerstand 1 kOhm, 1 %, 1206</v>
      </c>
      <c r="D103" s="48" t="str">
        <f>IFERROR(IF(VLOOKUP($A103,Parts!$A$2:$M$200,4,FALSE())=0,"",VLOOKUP($A103,Parts!$A$2:$M$200,4,FALSE())),"")</f>
        <v>1 kΩ, 1 %, 250 mW, 200 V, ±100 ppm/K</v>
      </c>
      <c r="E103" s="48" t="str">
        <f>IFERROR(IF(VLOOKUP($A103,Parts!$A$2:$M$200,5,FALSE())=0,"",VLOOKUP($A103,Parts!$A$2:$M$200,5,FALSE())),"")</f>
        <v>Resistor_SMD:R_1206_3216Metric_Pad1.30x1.75mm_HandSolder</v>
      </c>
      <c r="F103" t="str">
        <f>IFERROR(IF(VLOOKUP($A103,Parts!$A$2:$M$200,6,FALSE())=0,"",VLOOKUP($A103,Parts!$A$2:$M$200,6,FALSE())),"")</f>
        <v>Walsin</v>
      </c>
      <c r="G103" t="str">
        <f>IFERROR(IF(VLOOKUP($A103,Parts!$A$2:$M$200,7,FALSE())=0,"",VLOOKUP($A103,Parts!$A$2:$M$200,7,FALSE())),"")</f>
        <v>WR12X1001FTL</v>
      </c>
      <c r="H103" s="58" t="s">
        <v>822</v>
      </c>
      <c r="I103" t="str">
        <f>IF(OR($A103="",$H103=""),"",IFERROR(IF(INDEX(Part_Suppliers!$C$2:$C$300,MATCH($A103&amp;"|"&amp;$H103,Part_Suppliers!$K$2:$K$300,0))=0,"",INDEX(Part_Suppliers!$C$2:$C$300,MATCH($A103&amp;"|"&amp;$H103,Part_Suppliers!$K$2:$K$300,0))),""))</f>
        <v>WAL WR12X1001FTL</v>
      </c>
      <c r="J103" s="50">
        <v>9</v>
      </c>
      <c r="K103" s="50">
        <v>0</v>
      </c>
      <c r="L103" s="48" t="str">
        <f>IFERROR(IF(VLOOKUP($A103,Parts!$A$2:$M$200,8,FALSE())=0,"",VLOOKUP($A103,Parts!$A$2:$M$200,8,FALSE())),"")</f>
        <v>Bestand/Werkstatt</v>
      </c>
      <c r="M103" s="48" t="str">
        <f>IFERROR(IF(VLOOKUP($A103,Parts!$A$2:$M$200,12,FALSE())=0,"",VLOOKUP($A103,Parts!$A$2:$M$200,12,FALSE())),"")</f>
        <v>Nicht mit ENP-00036 zusammenführen: gleicher Nennwert und gleiche Toleranz, aber anderer Hersteller und andere MPN. Derzeit keinem Kit oder KiCad-BOM zugeordnet.</v>
      </c>
      <c r="N103" s="59"/>
      <c r="O103" s="60" t="s">
        <v>828</v>
      </c>
      <c r="S103">
        <f>IF(O103="drucken",COUNTIF($O$5:O103,"drucken"),"")</f>
        <v>10</v>
      </c>
    </row>
    <row r="104" spans="1:19" ht="39.5" customHeight="1" x14ac:dyDescent="0.2">
      <c r="A104" t="s">
        <v>707</v>
      </c>
      <c r="B104" t="str">
        <f>IFERROR(IF(VLOOKUP($A104,Parts!$A$2:$M$200,2,FALSE())=0,"",VLOOKUP($A104,Parts!$A$2:$M$200,2,FALSE())),"")</f>
        <v>LED</v>
      </c>
      <c r="C104" s="48" t="str">
        <f>IFERROR(IF(VLOOKUP($A104,Parts!$A$2:$M$200,3,FALSE())=0,"",VLOOKUP($A104,Parts!$A$2:$M$200,3,FALSE())),"")</f>
        <v>LED SMD 1206, rot</v>
      </c>
      <c r="D104" s="48" t="str">
        <f>IFERROR(IF(VLOOKUP($A104,Parts!$A$2:$M$200,4,FALSE())=0,"",VLOOKUP($A104,Parts!$A$2:$M$200,4,FALSE())),"")</f>
        <v>Rot, 624 nm, 40 mcd, 160°, Vf max. 1,7 V, IF max. 20 mA</v>
      </c>
      <c r="E104" s="48" t="str">
        <f>IFERROR(IF(VLOOKUP($A104,Parts!$A$2:$M$200,5,FALSE())=0,"",VLOOKUP($A104,Parts!$A$2:$M$200,5,FALSE())),"")</f>
        <v>LED_SMD:LED_1206_3216Metric_Pad1.42x1.75mm_HandSolder</v>
      </c>
      <c r="F104" t="str">
        <f>IFERROR(IF(VLOOKUP($A104,Parts!$A$2:$M$200,6,FALSE())=0,"",VLOOKUP($A104,Parts!$A$2:$M$200,6,FALSE())),"")</f>
        <v>Everlight</v>
      </c>
      <c r="G104" t="str">
        <f>IFERROR(IF(VLOOKUP($A104,Parts!$A$2:$M$200,7,FALSE())=0,"",VLOOKUP($A104,Parts!$A$2:$M$200,7,FALSE())),"")</f>
        <v>15-21SURD/S530-A3/TR8</v>
      </c>
      <c r="H104" s="58" t="s">
        <v>822</v>
      </c>
      <c r="I104" t="str">
        <f>IF(OR($A104="",$H104=""),"",IFERROR(IF(INDEX(Part_Suppliers!$C$2:$C$300,MATCH($A104&amp;"|"&amp;$H104,Part_Suppliers!$K$2:$K$300,0))=0,"",INDEX(Part_Suppliers!$C$2:$C$300,MATCH($A104&amp;"|"&amp;$H104,Part_Suppliers!$K$2:$K$300,0))),""))</f>
        <v>EVL 15-21SURD</v>
      </c>
      <c r="J104" s="50">
        <v>8</v>
      </c>
      <c r="K104" s="50">
        <v>0</v>
      </c>
      <c r="L104" s="48" t="str">
        <f>IFERROR(IF(VLOOKUP($A104,Parts!$A$2:$M$200,8,FALSE())=0,"",VLOOKUP($A104,Parts!$A$2:$M$200,8,FALSE())),"")</f>
        <v>Bestand/Werkstatt</v>
      </c>
      <c r="M104" s="48" t="str">
        <f>IFERROR(IF(VLOOKUP($A104,Parts!$A$2:$M$200,12,FALSE())=0,"",VLOOKUP($A104,Parts!$A$2:$M$200,12,FALSE())),"")</f>
        <v>Nicht mit ENP-00064 zusammenführen: andere MPN, Lichtstärke, Wellenlänge und Abstrahlwinkel. Polarität beachten; derzeit keinem Kit oder KiCad-BOM zugeordnet.</v>
      </c>
      <c r="N104" s="59"/>
      <c r="O104" s="60" t="s">
        <v>828</v>
      </c>
      <c r="S104">
        <f>IF(O104="drucken",COUNTIF($O$5:O104,"drucken"),"")</f>
        <v>11</v>
      </c>
    </row>
    <row r="105" spans="1:19" ht="39.5" customHeight="1" x14ac:dyDescent="0.2">
      <c r="A105" t="s">
        <v>712</v>
      </c>
      <c r="B105" t="str">
        <f>IFERROR(IF(VLOOKUP($A105,Parts!$A$2:$M$200,2,FALSE())=0,"",VLOOKUP($A105,Parts!$A$2:$M$200,2,FALSE())),"")</f>
        <v>Steckbrücke</v>
      </c>
      <c r="C105" s="48" t="str">
        <f>IFERROR(IF(VLOOKUP($A105,Parts!$A$2:$M$200,3,FALSE())=0,"",VLOOKUP($A105,Parts!$A$2:$M$200,3,FALSE())),"")</f>
        <v>Kurzschlussbrücke 2,54 mm, schwarz, mit Grifflasche</v>
      </c>
      <c r="D105" s="48" t="str">
        <f>IFERROR(IF(VLOOKUP($A105,Parts!$A$2:$M$200,4,FALSE())=0,"",VLOOKUP($A105,Parts!$A$2:$M$200,4,FALSE())),"")</f>
        <v>2-polig, Raster 2,54 mm, vergoldet, schwarz, mit Grifflasche</v>
      </c>
      <c r="E105" s="48" t="str">
        <f>IFERROR(IF(VLOOKUP($A105,Parts!$A$2:$M$200,5,FALSE())=0,"",VLOOKUP($A105,Parts!$A$2:$M$200,5,FALSE())),"")</f>
        <v/>
      </c>
      <c r="F105" t="str">
        <f>IFERROR(IF(VLOOKUP($A105,Parts!$A$2:$M$200,6,FALSE())=0,"",VLOOKUP($A105,Parts!$A$2:$M$200,6,FALSE())),"")</f>
        <v>FREI</v>
      </c>
      <c r="G105" t="str">
        <f>IFERROR(IF(VLOOKUP($A105,Parts!$A$2:$M$200,7,FALSE())=0,"",VLOOKUP($A105,Parts!$A$2:$M$200,7,FALSE())),"")</f>
        <v/>
      </c>
      <c r="H105" s="58" t="s">
        <v>822</v>
      </c>
      <c r="I105" t="str">
        <f>IF(OR($A105="",$H105=""),"",IFERROR(IF(INDEX(Part_Suppliers!$C$2:$C$300,MATCH($A105&amp;"|"&amp;$H105,Part_Suppliers!$K$2:$K$300,0))=0,"",INDEX(Part_Suppliers!$C$2:$C$300,MATCH($A105&amp;"|"&amp;$H105,Part_Suppliers!$K$2:$K$300,0))),""))</f>
        <v>JUMPER 2,54GL SW</v>
      </c>
      <c r="J105" s="50">
        <v>9</v>
      </c>
      <c r="K105" s="50">
        <v>0</v>
      </c>
      <c r="L105" s="48" t="str">
        <f>IFERROR(IF(VLOOKUP($A105,Parts!$A$2:$M$200,8,FALSE())=0,"",VLOOKUP($A105,Parts!$A$2:$M$200,8,FALSE())),"")</f>
        <v>Bestand/Werkstatt</v>
      </c>
      <c r="M105" s="48" t="str">
        <f>IFERROR(IF(VLOOKUP($A105,Parts!$A$2:$M$200,12,FALSE())=0,"",VLOOKUP($A105,Parts!$A$2:$M$200,12,FALSE())),"")</f>
        <v>Reichelt nennt keinen konkreten Hersteller und keine MPN. Lose Steckbrücke für 2,54-mm-Stiftleisten; derzeit keinem Kit oder KiCad-BOM zugeordnet.</v>
      </c>
      <c r="N105" s="59"/>
      <c r="O105" s="60" t="s">
        <v>828</v>
      </c>
      <c r="S105">
        <f>IF(O105="drucken",COUNTIF($O$5:O105,"drucken"),"")</f>
        <v>12</v>
      </c>
    </row>
    <row r="106" spans="1:19" x14ac:dyDescent="0.15">
      <c r="S106" t="str">
        <f>IF(O106="drucken",COUNTIF($O$5:O106,"drucken"),"")</f>
        <v/>
      </c>
    </row>
    <row r="107" spans="1:19" x14ac:dyDescent="0.15">
      <c r="S107" t="str">
        <f>IF(O107="drucken",COUNTIF($O$5:O107,"drucken"),"")</f>
        <v/>
      </c>
    </row>
    <row r="108" spans="1:19" x14ac:dyDescent="0.15">
      <c r="S108" t="str">
        <f>IF(O108="drucken",COUNTIF($O$5:O108,"drucken"),"")</f>
        <v/>
      </c>
    </row>
    <row r="109" spans="1:19" x14ac:dyDescent="0.15">
      <c r="S109" t="str">
        <f>IF(O109="drucken",COUNTIF($O$5:O109,"drucken"),"")</f>
        <v/>
      </c>
    </row>
    <row r="110" spans="1:19" x14ac:dyDescent="0.15">
      <c r="S110" t="str">
        <f>IF(O110="drucken",COUNTIF($O$5:O110,"drucken"),"")</f>
        <v/>
      </c>
    </row>
    <row r="111" spans="1:19" x14ac:dyDescent="0.15">
      <c r="S111" t="str">
        <f>IF(O111="drucken",COUNTIF($O$5:O111,"drucken"),"")</f>
        <v/>
      </c>
    </row>
    <row r="112" spans="1:19" x14ac:dyDescent="0.15">
      <c r="S112" t="str">
        <f>IF(O112="drucken",COUNTIF($O$5:O112,"drucken"),"")</f>
        <v/>
      </c>
    </row>
    <row r="113" spans="19:19" x14ac:dyDescent="0.15">
      <c r="S113" t="str">
        <f>IF(O113="drucken",COUNTIF($O$5:O113,"drucken"),"")</f>
        <v/>
      </c>
    </row>
    <row r="114" spans="19:19" x14ac:dyDescent="0.15">
      <c r="S114" t="str">
        <f>IF(O114="drucken",COUNTIF($O$5:O114,"drucken"),"")</f>
        <v/>
      </c>
    </row>
    <row r="115" spans="19:19" x14ac:dyDescent="0.15">
      <c r="S115" t="str">
        <f>IF(O115="drucken",COUNTIF($O$5:O115,"drucken"),"")</f>
        <v/>
      </c>
    </row>
    <row r="116" spans="19:19" x14ac:dyDescent="0.15">
      <c r="S116" t="str">
        <f>IF(O116="drucken",COUNTIF($O$5:O116,"drucken"),"")</f>
        <v/>
      </c>
    </row>
    <row r="117" spans="19:19" x14ac:dyDescent="0.15">
      <c r="S117" t="str">
        <f>IF(O117="drucken",COUNTIF($O$5:O117,"drucken"),"")</f>
        <v/>
      </c>
    </row>
    <row r="118" spans="19:19" x14ac:dyDescent="0.15">
      <c r="S118" t="str">
        <f>IF(O118="drucken",COUNTIF($O$5:O118,"drucken"),"")</f>
        <v/>
      </c>
    </row>
    <row r="119" spans="19:19" x14ac:dyDescent="0.15">
      <c r="S119" t="str">
        <f>IF(O119="drucken",COUNTIF($O$5:O119,"drucken"),"")</f>
        <v/>
      </c>
    </row>
    <row r="120" spans="19:19" x14ac:dyDescent="0.15">
      <c r="S120" t="str">
        <f>IF(O120="drucken",COUNTIF($O$5:O120,"drucken"),"")</f>
        <v/>
      </c>
    </row>
    <row r="121" spans="19:19" x14ac:dyDescent="0.15">
      <c r="S121" t="str">
        <f>IF(O121="drucken",COUNTIF($O$5:O121,"drucken"),"")</f>
        <v/>
      </c>
    </row>
    <row r="122" spans="19:19" x14ac:dyDescent="0.15">
      <c r="S122" t="str">
        <f>IF(O122="drucken",COUNTIF($O$5:O122,"drucken"),"")</f>
        <v/>
      </c>
    </row>
    <row r="123" spans="19:19" x14ac:dyDescent="0.15">
      <c r="S123" t="str">
        <f>IF(O123="drucken",COUNTIF($O$5:O123,"drucken"),"")</f>
        <v/>
      </c>
    </row>
    <row r="124" spans="19:19" x14ac:dyDescent="0.15">
      <c r="S124" t="str">
        <f>IF(O124="drucken",COUNTIF($O$5:O124,"drucken"),"")</f>
        <v/>
      </c>
    </row>
    <row r="125" spans="19:19" x14ac:dyDescent="0.15">
      <c r="S125" t="str">
        <f>IF(O125="drucken",COUNTIF($O$5:O125,"drucken"),"")</f>
        <v/>
      </c>
    </row>
    <row r="126" spans="19:19" x14ac:dyDescent="0.15">
      <c r="S126" t="str">
        <f>IF(O126="drucken",COUNTIF($O$5:O126,"drucken"),"")</f>
        <v/>
      </c>
    </row>
    <row r="127" spans="19:19" x14ac:dyDescent="0.15">
      <c r="S127" t="str">
        <f>IF(O127="drucken",COUNTIF($O$5:O127,"drucken"),"")</f>
        <v/>
      </c>
    </row>
    <row r="128" spans="19:19" x14ac:dyDescent="0.15">
      <c r="S128" t="str">
        <f>IF(O128="drucken",COUNTIF($O$5:O128,"drucken"),"")</f>
        <v/>
      </c>
    </row>
    <row r="129" spans="19:19" x14ac:dyDescent="0.15">
      <c r="S129" t="str">
        <f>IF(O129="drucken",COUNTIF($O$5:O129,"drucken"),"")</f>
        <v/>
      </c>
    </row>
    <row r="130" spans="19:19" x14ac:dyDescent="0.15">
      <c r="S130" t="str">
        <f>IF(O130="drucken",COUNTIF($O$5:O130,"drucken"),"")</f>
        <v/>
      </c>
    </row>
    <row r="131" spans="19:19" x14ac:dyDescent="0.15">
      <c r="S131" t="str">
        <f>IF(O131="drucken",COUNTIF($O$5:O131,"drucken"),"")</f>
        <v/>
      </c>
    </row>
    <row r="132" spans="19:19" x14ac:dyDescent="0.15">
      <c r="S132" t="str">
        <f>IF(O132="drucken",COUNTIF($O$5:O132,"drucken"),"")</f>
        <v/>
      </c>
    </row>
    <row r="133" spans="19:19" x14ac:dyDescent="0.15">
      <c r="S133" t="str">
        <f>IF(O133="drucken",COUNTIF($O$5:O133,"drucken"),"")</f>
        <v/>
      </c>
    </row>
    <row r="134" spans="19:19" x14ac:dyDescent="0.15">
      <c r="S134" t="str">
        <f>IF(O134="drucken",COUNTIF($O$5:O134,"drucken"),"")</f>
        <v/>
      </c>
    </row>
    <row r="135" spans="19:19" x14ac:dyDescent="0.15">
      <c r="S135" t="str">
        <f>IF(O135="drucken",COUNTIF($O$5:O135,"drucken"),"")</f>
        <v/>
      </c>
    </row>
    <row r="136" spans="19:19" x14ac:dyDescent="0.15">
      <c r="S136" t="str">
        <f>IF(O136="drucken",COUNTIF($O$5:O136,"drucken"),"")</f>
        <v/>
      </c>
    </row>
    <row r="137" spans="19:19" x14ac:dyDescent="0.15">
      <c r="S137" t="str">
        <f>IF(O137="drucken",COUNTIF($O$5:O137,"drucken"),"")</f>
        <v/>
      </c>
    </row>
    <row r="138" spans="19:19" x14ac:dyDescent="0.15">
      <c r="S138" t="str">
        <f>IF(O138="drucken",COUNTIF($O$5:O138,"drucken"),"")</f>
        <v/>
      </c>
    </row>
    <row r="139" spans="19:19" x14ac:dyDescent="0.15">
      <c r="S139" t="str">
        <f>IF(O139="drucken",COUNTIF($O$5:O139,"drucken"),"")</f>
        <v/>
      </c>
    </row>
    <row r="140" spans="19:19" x14ac:dyDescent="0.15">
      <c r="S140" t="str">
        <f>IF(O140="drucken",COUNTIF($O$5:O140,"drucken"),"")</f>
        <v/>
      </c>
    </row>
    <row r="141" spans="19:19" x14ac:dyDescent="0.15">
      <c r="S141" t="str">
        <f>IF(O141="drucken",COUNTIF($O$5:O141,"drucken"),"")</f>
        <v/>
      </c>
    </row>
    <row r="142" spans="19:19" x14ac:dyDescent="0.15">
      <c r="S142" t="str">
        <f>IF(O142="drucken",COUNTIF($O$5:O142,"drucken"),"")</f>
        <v/>
      </c>
    </row>
    <row r="143" spans="19:19" x14ac:dyDescent="0.15">
      <c r="S143" t="str">
        <f>IF(O143="drucken",COUNTIF($O$5:O143,"drucken"),"")</f>
        <v/>
      </c>
    </row>
    <row r="144" spans="19:19" x14ac:dyDescent="0.15">
      <c r="S144" t="str">
        <f>IF(O144="drucken",COUNTIF($O$5:O144,"drucken"),"")</f>
        <v/>
      </c>
    </row>
    <row r="145" spans="19:19" x14ac:dyDescent="0.15">
      <c r="S145" t="str">
        <f>IF(O145="drucken",COUNTIF($O$5:O145,"drucken"),"")</f>
        <v/>
      </c>
    </row>
    <row r="146" spans="19:19" x14ac:dyDescent="0.15">
      <c r="S146" t="str">
        <f>IF(O146="drucken",COUNTIF($O$5:O146,"drucken"),"")</f>
        <v/>
      </c>
    </row>
    <row r="147" spans="19:19" x14ac:dyDescent="0.15">
      <c r="S147" t="str">
        <f>IF(O147="drucken",COUNTIF($O$5:O147,"drucken"),"")</f>
        <v/>
      </c>
    </row>
    <row r="148" spans="19:19" x14ac:dyDescent="0.15">
      <c r="S148" t="str">
        <f>IF(O148="drucken",COUNTIF($O$5:O148,"drucken"),"")</f>
        <v/>
      </c>
    </row>
    <row r="149" spans="19:19" x14ac:dyDescent="0.15">
      <c r="S149" t="str">
        <f>IF(O149="drucken",COUNTIF($O$5:O149,"drucken"),"")</f>
        <v/>
      </c>
    </row>
    <row r="150" spans="19:19" x14ac:dyDescent="0.15">
      <c r="S150" t="str">
        <f>IF(O150="drucken",COUNTIF($O$5:O150,"drucken"),"")</f>
        <v/>
      </c>
    </row>
    <row r="151" spans="19:19" x14ac:dyDescent="0.15">
      <c r="S151" t="str">
        <f>IF(O151="drucken",COUNTIF($O$5:O151,"drucken"),"")</f>
        <v/>
      </c>
    </row>
    <row r="152" spans="19:19" x14ac:dyDescent="0.15">
      <c r="S152" t="str">
        <f>IF(O152="drucken",COUNTIF($O$5:O152,"drucken"),"")</f>
        <v/>
      </c>
    </row>
    <row r="153" spans="19:19" x14ac:dyDescent="0.15">
      <c r="S153" t="str">
        <f>IF(O153="drucken",COUNTIF($O$5:O153,"drucken"),"")</f>
        <v/>
      </c>
    </row>
    <row r="154" spans="19:19" x14ac:dyDescent="0.15">
      <c r="S154" t="str">
        <f>IF(O154="drucken",COUNTIF($O$5:O154,"drucken"),"")</f>
        <v/>
      </c>
    </row>
    <row r="155" spans="19:19" x14ac:dyDescent="0.15">
      <c r="S155" t="str">
        <f>IF(O155="drucken",COUNTIF($O$5:O155,"drucken"),"")</f>
        <v/>
      </c>
    </row>
    <row r="156" spans="19:19" x14ac:dyDescent="0.15">
      <c r="S156" t="str">
        <f>IF(O156="drucken",COUNTIF($O$5:O156,"drucken"),"")</f>
        <v/>
      </c>
    </row>
    <row r="157" spans="19:19" x14ac:dyDescent="0.15">
      <c r="S157" t="str">
        <f>IF(O157="drucken",COUNTIF($O$5:O157,"drucken"),"")</f>
        <v/>
      </c>
    </row>
    <row r="158" spans="19:19" x14ac:dyDescent="0.15">
      <c r="S158" t="str">
        <f>IF(O158="drucken",COUNTIF($O$5:O158,"drucken"),"")</f>
        <v/>
      </c>
    </row>
    <row r="159" spans="19:19" x14ac:dyDescent="0.15">
      <c r="S159" t="str">
        <f>IF(O159="drucken",COUNTIF($O$5:O159,"drucken"),"")</f>
        <v/>
      </c>
    </row>
    <row r="160" spans="19:19" x14ac:dyDescent="0.15">
      <c r="S160" t="str">
        <f>IF(O160="drucken",COUNTIF($O$5:O160,"drucken"),"")</f>
        <v/>
      </c>
    </row>
    <row r="161" spans="19:19" x14ac:dyDescent="0.15">
      <c r="S161" t="str">
        <f>IF(O161="drucken",COUNTIF($O$5:O161,"drucken"),"")</f>
        <v/>
      </c>
    </row>
    <row r="162" spans="19:19" x14ac:dyDescent="0.15">
      <c r="S162" t="str">
        <f>IF(O162="drucken",COUNTIF($O$5:O162,"drucken"),"")</f>
        <v/>
      </c>
    </row>
    <row r="163" spans="19:19" x14ac:dyDescent="0.15">
      <c r="S163" t="str">
        <f>IF(O163="drucken",COUNTIF($O$5:O163,"drucken"),"")</f>
        <v/>
      </c>
    </row>
    <row r="164" spans="19:19" x14ac:dyDescent="0.15">
      <c r="S164" t="str">
        <f>IF(O164="drucken",COUNTIF($O$5:O164,"drucken"),"")</f>
        <v/>
      </c>
    </row>
    <row r="165" spans="19:19" x14ac:dyDescent="0.15">
      <c r="S165" t="str">
        <f>IF(O165="drucken",COUNTIF($O$5:O165,"drucken"),"")</f>
        <v/>
      </c>
    </row>
    <row r="166" spans="19:19" x14ac:dyDescent="0.15">
      <c r="S166" t="str">
        <f>IF(O166="drucken",COUNTIF($O$5:O166,"drucken"),"")</f>
        <v/>
      </c>
    </row>
    <row r="167" spans="19:19" x14ac:dyDescent="0.15">
      <c r="S167" t="str">
        <f>IF(O167="drucken",COUNTIF($O$5:O167,"drucken"),"")</f>
        <v/>
      </c>
    </row>
    <row r="168" spans="19:19" x14ac:dyDescent="0.15">
      <c r="S168" t="str">
        <f>IF(O168="drucken",COUNTIF($O$5:O168,"drucken"),"")</f>
        <v/>
      </c>
    </row>
    <row r="169" spans="19:19" x14ac:dyDescent="0.15">
      <c r="S169" t="str">
        <f>IF(O169="drucken",COUNTIF($O$5:O169,"drucken"),"")</f>
        <v/>
      </c>
    </row>
    <row r="170" spans="19:19" x14ac:dyDescent="0.15">
      <c r="S170" t="str">
        <f>IF(O170="drucken",COUNTIF($O$5:O170,"drucken"),"")</f>
        <v/>
      </c>
    </row>
    <row r="171" spans="19:19" x14ac:dyDescent="0.15">
      <c r="S171" t="str">
        <f>IF(O171="drucken",COUNTIF($O$5:O171,"drucken"),"")</f>
        <v/>
      </c>
    </row>
    <row r="172" spans="19:19" x14ac:dyDescent="0.15">
      <c r="S172" t="str">
        <f>IF(O172="drucken",COUNTIF($O$5:O172,"drucken"),"")</f>
        <v/>
      </c>
    </row>
    <row r="173" spans="19:19" x14ac:dyDescent="0.15">
      <c r="S173" t="str">
        <f>IF(O173="drucken",COUNTIF($O$5:O173,"drucken"),"")</f>
        <v/>
      </c>
    </row>
    <row r="174" spans="19:19" x14ac:dyDescent="0.15">
      <c r="S174" t="str">
        <f>IF(O174="drucken",COUNTIF($O$5:O174,"drucken"),"")</f>
        <v/>
      </c>
    </row>
    <row r="175" spans="19:19" x14ac:dyDescent="0.15">
      <c r="S175" t="str">
        <f>IF(O175="drucken",COUNTIF($O$5:O175,"drucken"),"")</f>
        <v/>
      </c>
    </row>
    <row r="176" spans="19:19" x14ac:dyDescent="0.15">
      <c r="S176" t="str">
        <f>IF(O176="drucken",COUNTIF($O$5:O176,"drucken"),"")</f>
        <v/>
      </c>
    </row>
    <row r="177" spans="19:19" x14ac:dyDescent="0.15">
      <c r="S177" t="str">
        <f>IF(O177="drucken",COUNTIF($O$5:O177,"drucken"),"")</f>
        <v/>
      </c>
    </row>
    <row r="178" spans="19:19" x14ac:dyDescent="0.15">
      <c r="S178" t="str">
        <f>IF(O178="drucken",COUNTIF($O$5:O178,"drucken"),"")</f>
        <v/>
      </c>
    </row>
    <row r="179" spans="19:19" x14ac:dyDescent="0.15">
      <c r="S179" t="str">
        <f>IF(O179="drucken",COUNTIF($O$5:O179,"drucken"),"")</f>
        <v/>
      </c>
    </row>
    <row r="180" spans="19:19" x14ac:dyDescent="0.15">
      <c r="S180" t="str">
        <f>IF(O180="drucken",COUNTIF($O$5:O180,"drucken"),"")</f>
        <v/>
      </c>
    </row>
    <row r="181" spans="19:19" x14ac:dyDescent="0.15">
      <c r="S181" t="str">
        <f>IF(O181="drucken",COUNTIF($O$5:O181,"drucken"),"")</f>
        <v/>
      </c>
    </row>
    <row r="182" spans="19:19" x14ac:dyDescent="0.15">
      <c r="S182" t="str">
        <f>IF(O182="drucken",COUNTIF($O$5:O182,"drucken"),"")</f>
        <v/>
      </c>
    </row>
    <row r="183" spans="19:19" x14ac:dyDescent="0.15">
      <c r="S183" t="str">
        <f>IF(O183="drucken",COUNTIF($O$5:O183,"drucken"),"")</f>
        <v/>
      </c>
    </row>
    <row r="184" spans="19:19" x14ac:dyDescent="0.15">
      <c r="S184" t="str">
        <f>IF(O184="drucken",COUNTIF($O$5:O184,"drucken"),"")</f>
        <v/>
      </c>
    </row>
    <row r="185" spans="19:19" x14ac:dyDescent="0.15">
      <c r="S185" t="str">
        <f>IF(O185="drucken",COUNTIF($O$5:O185,"drucken"),"")</f>
        <v/>
      </c>
    </row>
    <row r="186" spans="19:19" x14ac:dyDescent="0.15">
      <c r="S186" t="str">
        <f>IF(O186="drucken",COUNTIF($O$5:O186,"drucken"),"")</f>
        <v/>
      </c>
    </row>
    <row r="187" spans="19:19" x14ac:dyDescent="0.15">
      <c r="S187" t="str">
        <f>IF(O187="drucken",COUNTIF($O$5:O187,"drucken"),"")</f>
        <v/>
      </c>
    </row>
    <row r="188" spans="19:19" x14ac:dyDescent="0.15">
      <c r="S188" t="str">
        <f>IF(O188="drucken",COUNTIF($O$5:O188,"drucken"),"")</f>
        <v/>
      </c>
    </row>
    <row r="189" spans="19:19" x14ac:dyDescent="0.15">
      <c r="S189" t="str">
        <f>IF(O189="drucken",COUNTIF($O$5:O189,"drucken"),"")</f>
        <v/>
      </c>
    </row>
    <row r="190" spans="19:19" x14ac:dyDescent="0.15">
      <c r="S190" t="str">
        <f>IF(O190="drucken",COUNTIF($O$5:O190,"drucken"),"")</f>
        <v/>
      </c>
    </row>
    <row r="191" spans="19:19" x14ac:dyDescent="0.15">
      <c r="S191" t="str">
        <f>IF(O191="drucken",COUNTIF($O$5:O191,"drucken"),"")</f>
        <v/>
      </c>
    </row>
    <row r="192" spans="19:19" x14ac:dyDescent="0.15">
      <c r="S192" t="str">
        <f>IF(O192="drucken",COUNTIF($O$5:O192,"drucken"),"")</f>
        <v/>
      </c>
    </row>
    <row r="193" spans="19:19" x14ac:dyDescent="0.15">
      <c r="S193" t="str">
        <f>IF(O193="drucken",COUNTIF($O$5:O193,"drucken"),"")</f>
        <v/>
      </c>
    </row>
    <row r="194" spans="19:19" x14ac:dyDescent="0.15">
      <c r="S194" t="str">
        <f>IF(O194="drucken",COUNTIF($O$5:O194,"drucken"),"")</f>
        <v/>
      </c>
    </row>
    <row r="195" spans="19:19" x14ac:dyDescent="0.15">
      <c r="S195" t="str">
        <f>IF(O195="drucken",COUNTIF($O$5:O195,"drucken"),"")</f>
        <v/>
      </c>
    </row>
    <row r="196" spans="19:19" x14ac:dyDescent="0.15">
      <c r="S196" t="str">
        <f>IF(O196="drucken",COUNTIF($O$5:O196,"drucken"),"")</f>
        <v/>
      </c>
    </row>
    <row r="197" spans="19:19" x14ac:dyDescent="0.15">
      <c r="S197" t="str">
        <f>IF(O197="drucken",COUNTIF($O$5:O197,"drucken"),"")</f>
        <v/>
      </c>
    </row>
    <row r="198" spans="19:19" x14ac:dyDescent="0.15">
      <c r="S198" t="str">
        <f>IF(O198="drucken",COUNTIF($O$5:O198,"drucken"),"")</f>
        <v/>
      </c>
    </row>
    <row r="199" spans="19:19" x14ac:dyDescent="0.15">
      <c r="S199" t="str">
        <f>IF(O199="drucken",COUNTIF($O$5:O199,"drucken"),"")</f>
        <v/>
      </c>
    </row>
    <row r="200" spans="19:19" x14ac:dyDescent="0.15">
      <c r="S200" t="str">
        <f>IF(O200="drucken",COUNTIF($O$5:O200,"drucken"),"")</f>
        <v/>
      </c>
    </row>
    <row r="201" spans="19:19" x14ac:dyDescent="0.15">
      <c r="S201" t="str">
        <f>IF(O201="drucken",COUNTIF($O$5:O201,"drucken"),"")</f>
        <v/>
      </c>
    </row>
    <row r="202" spans="19:19" x14ac:dyDescent="0.15">
      <c r="S202" t="str">
        <f>IF(O202="drucken",COUNTIF($O$5:O202,"drucken"),"")</f>
        <v/>
      </c>
    </row>
    <row r="203" spans="19:19" x14ac:dyDescent="0.15">
      <c r="S203" t="str">
        <f>IF(O203="drucken",COUNTIF($O$5:O203,"drucken"),"")</f>
        <v/>
      </c>
    </row>
    <row r="204" spans="19:19" x14ac:dyDescent="0.15">
      <c r="S204" t="str">
        <f>IF(O204="drucken",COUNTIF($O$5:O204,"drucken"),"")</f>
        <v/>
      </c>
    </row>
    <row r="205" spans="19:19" x14ac:dyDescent="0.15">
      <c r="S205" t="str">
        <f>IF(O205="drucken",COUNTIF($O$5:O205,"drucken"),"")</f>
        <v/>
      </c>
    </row>
    <row r="206" spans="19:19" x14ac:dyDescent="0.15">
      <c r="S206" t="str">
        <f>IF(O206="drucken",COUNTIF($O$5:O206,"drucken"),"")</f>
        <v/>
      </c>
    </row>
    <row r="207" spans="19:19" x14ac:dyDescent="0.15">
      <c r="S207" t="str">
        <f>IF(O207="drucken",COUNTIF($O$5:O207,"drucken"),"")</f>
        <v/>
      </c>
    </row>
    <row r="208" spans="19:19" x14ac:dyDescent="0.15">
      <c r="S208" t="str">
        <f>IF(O208="drucken",COUNTIF($O$5:O208,"drucken"),"")</f>
        <v/>
      </c>
    </row>
    <row r="209" spans="19:19" x14ac:dyDescent="0.15">
      <c r="S209" t="str">
        <f>IF(O209="drucken",COUNTIF($O$5:O209,"drucken"),"")</f>
        <v/>
      </c>
    </row>
    <row r="210" spans="19:19" x14ac:dyDescent="0.15">
      <c r="S210" t="str">
        <f>IF(O210="drucken",COUNTIF($O$5:O210,"drucken"),"")</f>
        <v/>
      </c>
    </row>
    <row r="211" spans="19:19" x14ac:dyDescent="0.15">
      <c r="S211" t="str">
        <f>IF(O211="drucken",COUNTIF($O$5:O211,"drucken"),"")</f>
        <v/>
      </c>
    </row>
    <row r="212" spans="19:19" x14ac:dyDescent="0.15">
      <c r="S212" t="str">
        <f>IF(O212="drucken",COUNTIF($O$5:O212,"drucken"),"")</f>
        <v/>
      </c>
    </row>
    <row r="213" spans="19:19" x14ac:dyDescent="0.15">
      <c r="S213" t="str">
        <f>IF(O213="drucken",COUNTIF($O$5:O213,"drucken"),"")</f>
        <v/>
      </c>
    </row>
    <row r="214" spans="19:19" x14ac:dyDescent="0.15">
      <c r="S214" t="str">
        <f>IF(O214="drucken",COUNTIF($O$5:O214,"drucken"),"")</f>
        <v/>
      </c>
    </row>
    <row r="215" spans="19:19" x14ac:dyDescent="0.15">
      <c r="S215" t="str">
        <f>IF(O215="drucken",COUNTIF($O$5:O215,"drucken"),"")</f>
        <v/>
      </c>
    </row>
    <row r="216" spans="19:19" x14ac:dyDescent="0.15">
      <c r="S216" t="str">
        <f>IF(O216="drucken",COUNTIF($O$5:O216,"drucken"),"")</f>
        <v/>
      </c>
    </row>
    <row r="217" spans="19:19" x14ac:dyDescent="0.15">
      <c r="S217" t="str">
        <f>IF(O217="drucken",COUNTIF($O$5:O217,"drucken"),"")</f>
        <v/>
      </c>
    </row>
    <row r="218" spans="19:19" x14ac:dyDescent="0.15">
      <c r="S218" t="str">
        <f>IF(O218="drucken",COUNTIF($O$5:O218,"drucken"),"")</f>
        <v/>
      </c>
    </row>
    <row r="219" spans="19:19" x14ac:dyDescent="0.15">
      <c r="S219" t="str">
        <f>IF(O219="drucken",COUNTIF($O$5:O219,"drucken"),"")</f>
        <v/>
      </c>
    </row>
    <row r="220" spans="19:19" x14ac:dyDescent="0.15">
      <c r="S220" t="str">
        <f>IF(O220="drucken",COUNTIF($O$5:O220,"drucken"),"")</f>
        <v/>
      </c>
    </row>
    <row r="221" spans="19:19" x14ac:dyDescent="0.15">
      <c r="S221" t="str">
        <f>IF(O221="drucken",COUNTIF($O$5:O221,"drucken"),"")</f>
        <v/>
      </c>
    </row>
    <row r="222" spans="19:19" x14ac:dyDescent="0.15">
      <c r="S222" t="str">
        <f>IF(O222="drucken",COUNTIF($O$5:O222,"drucken"),"")</f>
        <v/>
      </c>
    </row>
    <row r="223" spans="19:19" x14ac:dyDescent="0.15">
      <c r="S223" t="str">
        <f>IF(O223="drucken",COUNTIF($O$5:O223,"drucken"),"")</f>
        <v/>
      </c>
    </row>
    <row r="224" spans="19:19" x14ac:dyDescent="0.15">
      <c r="S224" t="str">
        <f>IF(O224="drucken",COUNTIF($O$5:O224,"drucken"),"")</f>
        <v/>
      </c>
    </row>
    <row r="225" spans="19:19" x14ac:dyDescent="0.15">
      <c r="S225" t="str">
        <f>IF(O225="drucken",COUNTIF($O$5:O225,"drucken"),"")</f>
        <v/>
      </c>
    </row>
    <row r="226" spans="19:19" x14ac:dyDescent="0.15">
      <c r="S226" t="str">
        <f>IF(O226="drucken",COUNTIF($O$5:O226,"drucken"),"")</f>
        <v/>
      </c>
    </row>
    <row r="227" spans="19:19" x14ac:dyDescent="0.15">
      <c r="S227" t="str">
        <f>IF(O227="drucken",COUNTIF($O$5:O227,"drucken"),"")</f>
        <v/>
      </c>
    </row>
    <row r="228" spans="19:19" x14ac:dyDescent="0.15">
      <c r="S228" t="str">
        <f>IF(O228="drucken",COUNTIF($O$5:O228,"drucken"),"")</f>
        <v/>
      </c>
    </row>
    <row r="229" spans="19:19" x14ac:dyDescent="0.15">
      <c r="S229" t="str">
        <f>IF(O229="drucken",COUNTIF($O$5:O229,"drucken"),"")</f>
        <v/>
      </c>
    </row>
    <row r="230" spans="19:19" x14ac:dyDescent="0.15">
      <c r="S230" t="str">
        <f>IF(O230="drucken",COUNTIF($O$5:O230,"drucken"),"")</f>
        <v/>
      </c>
    </row>
    <row r="231" spans="19:19" x14ac:dyDescent="0.15">
      <c r="S231" t="str">
        <f>IF(O231="drucken",COUNTIF($O$5:O231,"drucken"),"")</f>
        <v/>
      </c>
    </row>
    <row r="232" spans="19:19" x14ac:dyDescent="0.15">
      <c r="S232" t="str">
        <f>IF(O232="drucken",COUNTIF($O$5:O232,"drucken"),"")</f>
        <v/>
      </c>
    </row>
    <row r="233" spans="19:19" x14ac:dyDescent="0.15">
      <c r="S233" t="str">
        <f>IF(O233="drucken",COUNTIF($O$5:O233,"drucken"),"")</f>
        <v/>
      </c>
    </row>
    <row r="234" spans="19:19" x14ac:dyDescent="0.15">
      <c r="S234" t="str">
        <f>IF(O234="drucken",COUNTIF($O$5:O234,"drucken"),"")</f>
        <v/>
      </c>
    </row>
    <row r="235" spans="19:19" x14ac:dyDescent="0.15">
      <c r="S235" t="str">
        <f>IF(O235="drucken",COUNTIF($O$5:O235,"drucken"),"")</f>
        <v/>
      </c>
    </row>
    <row r="236" spans="19:19" x14ac:dyDescent="0.15">
      <c r="S236" t="str">
        <f>IF(O236="drucken",COUNTIF($O$5:O236,"drucken"),"")</f>
        <v/>
      </c>
    </row>
    <row r="237" spans="19:19" x14ac:dyDescent="0.15">
      <c r="S237" t="str">
        <f>IF(O237="drucken",COUNTIF($O$5:O237,"drucken"),"")</f>
        <v/>
      </c>
    </row>
    <row r="238" spans="19:19" x14ac:dyDescent="0.15">
      <c r="S238" t="str">
        <f>IF(O238="drucken",COUNTIF($O$5:O238,"drucken"),"")</f>
        <v/>
      </c>
    </row>
    <row r="239" spans="19:19" x14ac:dyDescent="0.15">
      <c r="S239" t="str">
        <f>IF(O239="drucken",COUNTIF($O$5:O239,"drucken"),"")</f>
        <v/>
      </c>
    </row>
    <row r="240" spans="19:19" x14ac:dyDescent="0.15">
      <c r="S240" t="str">
        <f>IF(O240="drucken",COUNTIF($O$5:O240,"drucken"),"")</f>
        <v/>
      </c>
    </row>
    <row r="241" spans="19:19" x14ac:dyDescent="0.15">
      <c r="S241" t="str">
        <f>IF(O241="drucken",COUNTIF($O$5:O241,"drucken"),"")</f>
        <v/>
      </c>
    </row>
    <row r="242" spans="19:19" x14ac:dyDescent="0.15">
      <c r="S242" t="str">
        <f>IF(O242="drucken",COUNTIF($O$5:O242,"drucken"),"")</f>
        <v/>
      </c>
    </row>
    <row r="243" spans="19:19" x14ac:dyDescent="0.15">
      <c r="S243" t="str">
        <f>IF(O243="drucken",COUNTIF($O$5:O243,"drucken"),"")</f>
        <v/>
      </c>
    </row>
    <row r="244" spans="19:19" x14ac:dyDescent="0.15">
      <c r="S244" t="str">
        <f>IF(O244="drucken",COUNTIF($O$5:O244,"drucken"),"")</f>
        <v/>
      </c>
    </row>
    <row r="245" spans="19:19" x14ac:dyDescent="0.15">
      <c r="S245" t="str">
        <f>IF(O245="drucken",COUNTIF($O$5:O245,"drucken"),"")</f>
        <v/>
      </c>
    </row>
    <row r="246" spans="19:19" x14ac:dyDescent="0.15">
      <c r="S246" t="str">
        <f>IF(O246="drucken",COUNTIF($O$5:O246,"drucken"),"")</f>
        <v/>
      </c>
    </row>
    <row r="247" spans="19:19" x14ac:dyDescent="0.15">
      <c r="S247" t="str">
        <f>IF(O247="drucken",COUNTIF($O$5:O247,"drucken"),"")</f>
        <v/>
      </c>
    </row>
    <row r="248" spans="19:19" x14ac:dyDescent="0.15">
      <c r="S248" t="str">
        <f>IF(O248="drucken",COUNTIF($O$5:O248,"drucken"),"")</f>
        <v/>
      </c>
    </row>
    <row r="249" spans="19:19" x14ac:dyDescent="0.15">
      <c r="S249" t="str">
        <f>IF(O249="drucken",COUNTIF($O$5:O249,"drucken"),"")</f>
        <v/>
      </c>
    </row>
    <row r="250" spans="19:19" x14ac:dyDescent="0.15">
      <c r="S250" t="str">
        <f>IF(O250="drucken",COUNTIF($O$5:O250,"drucken"),"")</f>
        <v/>
      </c>
    </row>
    <row r="251" spans="19:19" x14ac:dyDescent="0.15">
      <c r="S251" t="str">
        <f>IF(O251="drucken",COUNTIF($O$5:O251,"drucken"),"")</f>
        <v/>
      </c>
    </row>
    <row r="252" spans="19:19" x14ac:dyDescent="0.15">
      <c r="S252" t="str">
        <f>IF(O252="drucken",COUNTIF($O$5:O252,"drucken"),"")</f>
        <v/>
      </c>
    </row>
    <row r="253" spans="19:19" x14ac:dyDescent="0.15">
      <c r="S253" t="str">
        <f>IF(O253="drucken",COUNTIF($O$5:O253,"drucken"),"")</f>
        <v/>
      </c>
    </row>
    <row r="254" spans="19:19" x14ac:dyDescent="0.15">
      <c r="S254" t="str">
        <f>IF(O254="drucken",COUNTIF($O$5:O254,"drucken"),"")</f>
        <v/>
      </c>
    </row>
    <row r="255" spans="19:19" x14ac:dyDescent="0.15">
      <c r="S255" t="str">
        <f>IF(O255="drucken",COUNTIF($O$5:O255,"drucken"),"")</f>
        <v/>
      </c>
    </row>
    <row r="256" spans="19:19" x14ac:dyDescent="0.15">
      <c r="S256" t="str">
        <f>IF(O256="drucken",COUNTIF($O$5:O256,"drucken"),"")</f>
        <v/>
      </c>
    </row>
    <row r="257" spans="19:19" x14ac:dyDescent="0.15">
      <c r="S257" t="str">
        <f>IF(O257="drucken",COUNTIF($O$5:O257,"drucken"),"")</f>
        <v/>
      </c>
    </row>
    <row r="258" spans="19:19" x14ac:dyDescent="0.15">
      <c r="S258" t="str">
        <f>IF(O258="drucken",COUNTIF($O$5:O258,"drucken"),"")</f>
        <v/>
      </c>
    </row>
    <row r="259" spans="19:19" x14ac:dyDescent="0.15">
      <c r="S259" t="str">
        <f>IF(O259="drucken",COUNTIF($O$5:O259,"drucken"),"")</f>
        <v/>
      </c>
    </row>
    <row r="260" spans="19:19" x14ac:dyDescent="0.15">
      <c r="S260" t="str">
        <f>IF(O260="drucken",COUNTIF($O$5:O260,"drucken"),"")</f>
        <v/>
      </c>
    </row>
    <row r="261" spans="19:19" x14ac:dyDescent="0.15">
      <c r="S261" t="str">
        <f>IF(O261="drucken",COUNTIF($O$5:O261,"drucken"),"")</f>
        <v/>
      </c>
    </row>
    <row r="262" spans="19:19" x14ac:dyDescent="0.15">
      <c r="S262" t="str">
        <f>IF(O262="drucken",COUNTIF($O$5:O262,"drucken"),"")</f>
        <v/>
      </c>
    </row>
    <row r="263" spans="19:19" x14ac:dyDescent="0.15">
      <c r="S263" t="str">
        <f>IF(O263="drucken",COUNTIF($O$5:O263,"drucken"),"")</f>
        <v/>
      </c>
    </row>
    <row r="264" spans="19:19" x14ac:dyDescent="0.15">
      <c r="S264" t="str">
        <f>IF(O264="drucken",COUNTIF($O$5:O264,"drucken"),"")</f>
        <v/>
      </c>
    </row>
    <row r="265" spans="19:19" x14ac:dyDescent="0.15">
      <c r="S265" t="str">
        <f>IF(O265="drucken",COUNTIF($O$5:O265,"drucken"),"")</f>
        <v/>
      </c>
    </row>
    <row r="266" spans="19:19" x14ac:dyDescent="0.15">
      <c r="S266" t="str">
        <f>IF(O266="drucken",COUNTIF($O$5:O266,"drucken"),"")</f>
        <v/>
      </c>
    </row>
    <row r="267" spans="19:19" x14ac:dyDescent="0.15">
      <c r="S267" t="str">
        <f>IF(O267="drucken",COUNTIF($O$5:O267,"drucken"),"")</f>
        <v/>
      </c>
    </row>
    <row r="268" spans="19:19" x14ac:dyDescent="0.15">
      <c r="S268" t="str">
        <f>IF(O268="drucken",COUNTIF($O$5:O268,"drucken"),"")</f>
        <v/>
      </c>
    </row>
    <row r="269" spans="19:19" x14ac:dyDescent="0.15">
      <c r="S269" t="str">
        <f>IF(O269="drucken",COUNTIF($O$5:O269,"drucken"),"")</f>
        <v/>
      </c>
    </row>
    <row r="270" spans="19:19" x14ac:dyDescent="0.15">
      <c r="S270" t="str">
        <f>IF(O270="drucken",COUNTIF($O$5:O270,"drucken"),"")</f>
        <v/>
      </c>
    </row>
    <row r="271" spans="19:19" x14ac:dyDescent="0.15">
      <c r="S271" t="str">
        <f>IF(O271="drucken",COUNTIF($O$5:O271,"drucken"),"")</f>
        <v/>
      </c>
    </row>
    <row r="272" spans="19:19" x14ac:dyDescent="0.15">
      <c r="S272" t="str">
        <f>IF(O272="drucken",COUNTIF($O$5:O272,"drucken"),"")</f>
        <v/>
      </c>
    </row>
    <row r="273" spans="19:19" x14ac:dyDescent="0.15">
      <c r="S273" t="str">
        <f>IF(O273="drucken",COUNTIF($O$5:O273,"drucken"),"")</f>
        <v/>
      </c>
    </row>
    <row r="274" spans="19:19" x14ac:dyDescent="0.15">
      <c r="S274" t="str">
        <f>IF(O274="drucken",COUNTIF($O$5:O274,"drucken"),"")</f>
        <v/>
      </c>
    </row>
    <row r="275" spans="19:19" x14ac:dyDescent="0.15">
      <c r="S275" t="str">
        <f>IF(O275="drucken",COUNTIF($O$5:O275,"drucken"),"")</f>
        <v/>
      </c>
    </row>
    <row r="276" spans="19:19" x14ac:dyDescent="0.15">
      <c r="S276" t="str">
        <f>IF(O276="drucken",COUNTIF($O$5:O276,"drucken"),"")</f>
        <v/>
      </c>
    </row>
    <row r="277" spans="19:19" x14ac:dyDescent="0.15">
      <c r="S277" t="str">
        <f>IF(O277="drucken",COUNTIF($O$5:O277,"drucken"),"")</f>
        <v/>
      </c>
    </row>
    <row r="278" spans="19:19" x14ac:dyDescent="0.15">
      <c r="S278" t="str">
        <f>IF(O278="drucken",COUNTIF($O$5:O278,"drucken"),"")</f>
        <v/>
      </c>
    </row>
    <row r="279" spans="19:19" x14ac:dyDescent="0.15">
      <c r="S279" t="str">
        <f>IF(O279="drucken",COUNTIF($O$5:O279,"drucken"),"")</f>
        <v/>
      </c>
    </row>
    <row r="280" spans="19:19" x14ac:dyDescent="0.15">
      <c r="S280" t="str">
        <f>IF(O280="drucken",COUNTIF($O$5:O280,"drucken"),"")</f>
        <v/>
      </c>
    </row>
    <row r="281" spans="19:19" x14ac:dyDescent="0.15">
      <c r="S281" t="str">
        <f>IF(O281="drucken",COUNTIF($O$5:O281,"drucken"),"")</f>
        <v/>
      </c>
    </row>
    <row r="282" spans="19:19" x14ac:dyDescent="0.15">
      <c r="S282" t="str">
        <f>IF(O282="drucken",COUNTIF($O$5:O282,"drucken"),"")</f>
        <v/>
      </c>
    </row>
    <row r="283" spans="19:19" x14ac:dyDescent="0.15">
      <c r="S283" t="str">
        <f>IF(O283="drucken",COUNTIF($O$5:O283,"drucken"),"")</f>
        <v/>
      </c>
    </row>
    <row r="284" spans="19:19" x14ac:dyDescent="0.15">
      <c r="S284" t="str">
        <f>IF(O284="drucken",COUNTIF($O$5:O284,"drucken"),"")</f>
        <v/>
      </c>
    </row>
    <row r="285" spans="19:19" x14ac:dyDescent="0.15">
      <c r="S285" t="str">
        <f>IF(O285="drucken",COUNTIF($O$5:O285,"drucken"),"")</f>
        <v/>
      </c>
    </row>
    <row r="286" spans="19:19" x14ac:dyDescent="0.15">
      <c r="S286" t="str">
        <f>IF(O286="drucken",COUNTIF($O$5:O286,"drucken"),"")</f>
        <v/>
      </c>
    </row>
    <row r="287" spans="19:19" x14ac:dyDescent="0.15">
      <c r="S287" t="str">
        <f>IF(O287="drucken",COUNTIF($O$5:O287,"drucken"),"")</f>
        <v/>
      </c>
    </row>
    <row r="288" spans="19:19" x14ac:dyDescent="0.15">
      <c r="S288" t="str">
        <f>IF(O288="drucken",COUNTIF($O$5:O288,"drucken"),"")</f>
        <v/>
      </c>
    </row>
    <row r="289" spans="19:19" x14ac:dyDescent="0.15">
      <c r="S289" t="str">
        <f>IF(O289="drucken",COUNTIF($O$5:O289,"drucken"),"")</f>
        <v/>
      </c>
    </row>
    <row r="290" spans="19:19" x14ac:dyDescent="0.15">
      <c r="S290" t="str">
        <f>IF(O290="drucken",COUNTIF($O$5:O290,"drucken"),"")</f>
        <v/>
      </c>
    </row>
    <row r="291" spans="19:19" x14ac:dyDescent="0.15">
      <c r="S291" t="str">
        <f>IF(O291="drucken",COUNTIF($O$5:O291,"drucken"),"")</f>
        <v/>
      </c>
    </row>
    <row r="292" spans="19:19" x14ac:dyDescent="0.15">
      <c r="S292" t="str">
        <f>IF(O292="drucken",COUNTIF($O$5:O292,"drucken"),"")</f>
        <v/>
      </c>
    </row>
    <row r="293" spans="19:19" x14ac:dyDescent="0.15">
      <c r="S293" t="str">
        <f>IF(O293="drucken",COUNTIF($O$5:O293,"drucken"),"")</f>
        <v/>
      </c>
    </row>
    <row r="294" spans="19:19" x14ac:dyDescent="0.15">
      <c r="S294" t="str">
        <f>IF(O294="drucken",COUNTIF($O$5:O294,"drucken"),"")</f>
        <v/>
      </c>
    </row>
    <row r="295" spans="19:19" x14ac:dyDescent="0.15">
      <c r="S295" t="str">
        <f>IF(O295="drucken",COUNTIF($O$5:O295,"drucken"),"")</f>
        <v/>
      </c>
    </row>
    <row r="296" spans="19:19" x14ac:dyDescent="0.15">
      <c r="S296" t="str">
        <f>IF(O296="drucken",COUNTIF($O$5:O296,"drucken"),"")</f>
        <v/>
      </c>
    </row>
    <row r="297" spans="19:19" x14ac:dyDescent="0.15">
      <c r="S297" t="str">
        <f>IF(O297="drucken",COUNTIF($O$5:O297,"drucken"),"")</f>
        <v/>
      </c>
    </row>
    <row r="298" spans="19:19" x14ac:dyDescent="0.15">
      <c r="S298" t="str">
        <f>IF(O298="drucken",COUNTIF($O$5:O298,"drucken"),"")</f>
        <v/>
      </c>
    </row>
    <row r="299" spans="19:19" x14ac:dyDescent="0.15">
      <c r="S299" t="str">
        <f>IF(O299="drucken",COUNTIF($O$5:O299,"drucken"),"")</f>
        <v/>
      </c>
    </row>
    <row r="300" spans="19:19" x14ac:dyDescent="0.15">
      <c r="S300" t="str">
        <f>IF(O300="drucken",COUNTIF($O$5:O300,"drucken"),"")</f>
        <v/>
      </c>
    </row>
    <row r="301" spans="19:19" x14ac:dyDescent="0.15">
      <c r="S301" t="str">
        <f>IF(O301="drucken",COUNTIF($O$5:O301,"drucken"),"")</f>
        <v/>
      </c>
    </row>
    <row r="302" spans="19:19" x14ac:dyDescent="0.15">
      <c r="S302" t="str">
        <f>IF(O302="drucken",COUNTIF($O$5:O302,"drucken"),"")</f>
        <v/>
      </c>
    </row>
    <row r="303" spans="19:19" x14ac:dyDescent="0.15">
      <c r="S303" t="str">
        <f>IF(O303="drucken",COUNTIF($O$5:O303,"drucken"),"")</f>
        <v/>
      </c>
    </row>
    <row r="304" spans="19:19" x14ac:dyDescent="0.15">
      <c r="S304" t="str">
        <f>IF(O304="drucken",COUNTIF($O$5:O304,"drucken"),"")</f>
        <v/>
      </c>
    </row>
    <row r="305" spans="19:19" x14ac:dyDescent="0.15">
      <c r="S305" t="str">
        <f>IF(O305="drucken",COUNTIF($O$5:O305,"drucken"),"")</f>
        <v/>
      </c>
    </row>
    <row r="306" spans="19:19" x14ac:dyDescent="0.15">
      <c r="S306" t="str">
        <f>IF(O306="drucken",COUNTIF($O$5:O306,"drucken"),"")</f>
        <v/>
      </c>
    </row>
    <row r="307" spans="19:19" x14ac:dyDescent="0.15">
      <c r="S307" t="str">
        <f>IF(O307="drucken",COUNTIF($O$5:O307,"drucken"),"")</f>
        <v/>
      </c>
    </row>
    <row r="308" spans="19:19" x14ac:dyDescent="0.15">
      <c r="S308" t="str">
        <f>IF(O308="drucken",COUNTIF($O$5:O308,"drucken"),"")</f>
        <v/>
      </c>
    </row>
    <row r="309" spans="19:19" x14ac:dyDescent="0.15">
      <c r="S309" t="str">
        <f>IF(O309="drucken",COUNTIF($O$5:O309,"drucken"),"")</f>
        <v/>
      </c>
    </row>
    <row r="310" spans="19:19" x14ac:dyDescent="0.15">
      <c r="S310" t="str">
        <f>IF(O310="drucken",COUNTIF($O$5:O310,"drucken"),"")</f>
        <v/>
      </c>
    </row>
    <row r="311" spans="19:19" x14ac:dyDescent="0.15">
      <c r="S311" t="str">
        <f>IF(O311="drucken",COUNTIF($O$5:O311,"drucken"),"")</f>
        <v/>
      </c>
    </row>
    <row r="312" spans="19:19" x14ac:dyDescent="0.15">
      <c r="S312" t="str">
        <f>IF(O312="drucken",COUNTIF($O$5:O312,"drucken"),"")</f>
        <v/>
      </c>
    </row>
    <row r="313" spans="19:19" x14ac:dyDescent="0.15">
      <c r="S313" t="str">
        <f>IF(O313="drucken",COUNTIF($O$5:O313,"drucken"),"")</f>
        <v/>
      </c>
    </row>
    <row r="314" spans="19:19" x14ac:dyDescent="0.15">
      <c r="S314" t="str">
        <f>IF(O314="drucken",COUNTIF($O$5:O314,"drucken"),"")</f>
        <v/>
      </c>
    </row>
    <row r="315" spans="19:19" x14ac:dyDescent="0.15">
      <c r="S315" t="str">
        <f>IF(O315="drucken",COUNTIF($O$5:O315,"drucken"),"")</f>
        <v/>
      </c>
    </row>
    <row r="316" spans="19:19" x14ac:dyDescent="0.15">
      <c r="S316" t="str">
        <f>IF(O316="drucken",COUNTIF($O$5:O316,"drucken"),"")</f>
        <v/>
      </c>
    </row>
    <row r="317" spans="19:19" x14ac:dyDescent="0.15">
      <c r="S317" t="str">
        <f>IF(O317="drucken",COUNTIF($O$5:O317,"drucken"),"")</f>
        <v/>
      </c>
    </row>
    <row r="318" spans="19:19" x14ac:dyDescent="0.15">
      <c r="S318" t="str">
        <f>IF(O318="drucken",COUNTIF($O$5:O318,"drucken"),"")</f>
        <v/>
      </c>
    </row>
    <row r="319" spans="19:19" x14ac:dyDescent="0.15">
      <c r="S319" t="str">
        <f>IF(O319="drucken",COUNTIF($O$5:O319,"drucken"),"")</f>
        <v/>
      </c>
    </row>
    <row r="320" spans="19:19" x14ac:dyDescent="0.15">
      <c r="S320" t="str">
        <f>IF(O320="drucken",COUNTIF($O$5:O320,"drucken"),"")</f>
        <v/>
      </c>
    </row>
    <row r="321" spans="19:19" x14ac:dyDescent="0.15">
      <c r="S321" t="str">
        <f>IF(O321="drucken",COUNTIF($O$5:O321,"drucken"),"")</f>
        <v/>
      </c>
    </row>
    <row r="322" spans="19:19" x14ac:dyDescent="0.15">
      <c r="S322" t="str">
        <f>IF(O322="drucken",COUNTIF($O$5:O322,"drucken"),"")</f>
        <v/>
      </c>
    </row>
    <row r="323" spans="19:19" x14ac:dyDescent="0.15">
      <c r="S323" t="str">
        <f>IF(O323="drucken",COUNTIF($O$5:O323,"drucken"),"")</f>
        <v/>
      </c>
    </row>
    <row r="324" spans="19:19" x14ac:dyDescent="0.15">
      <c r="S324" t="str">
        <f>IF(O324="drucken",COUNTIF($O$5:O324,"drucken"),"")</f>
        <v/>
      </c>
    </row>
    <row r="325" spans="19:19" x14ac:dyDescent="0.15">
      <c r="S325" t="str">
        <f>IF(O325="drucken",COUNTIF($O$5:O325,"drucken"),"")</f>
        <v/>
      </c>
    </row>
    <row r="326" spans="19:19" x14ac:dyDescent="0.15">
      <c r="S326" t="str">
        <f>IF(O326="drucken",COUNTIF($O$5:O326,"drucken"),"")</f>
        <v/>
      </c>
    </row>
    <row r="327" spans="19:19" x14ac:dyDescent="0.15">
      <c r="S327" t="str">
        <f>IF(O327="drucken",COUNTIF($O$5:O327,"drucken"),"")</f>
        <v/>
      </c>
    </row>
    <row r="328" spans="19:19" x14ac:dyDescent="0.15">
      <c r="S328" t="str">
        <f>IF(O328="drucken",COUNTIF($O$5:O328,"drucken"),"")</f>
        <v/>
      </c>
    </row>
    <row r="329" spans="19:19" x14ac:dyDescent="0.15">
      <c r="S329" t="str">
        <f>IF(O329="drucken",COUNTIF($O$5:O329,"drucken"),"")</f>
        <v/>
      </c>
    </row>
    <row r="330" spans="19:19" x14ac:dyDescent="0.15">
      <c r="S330" t="str">
        <f>IF(O330="drucken",COUNTIF($O$5:O330,"drucken"),"")</f>
        <v/>
      </c>
    </row>
    <row r="331" spans="19:19" x14ac:dyDescent="0.15">
      <c r="S331" t="str">
        <f>IF(O331="drucken",COUNTIF($O$5:O331,"drucken"),"")</f>
        <v/>
      </c>
    </row>
    <row r="332" spans="19:19" x14ac:dyDescent="0.15">
      <c r="S332" t="str">
        <f>IF(O332="drucken",COUNTIF($O$5:O332,"drucken"),"")</f>
        <v/>
      </c>
    </row>
    <row r="333" spans="19:19" x14ac:dyDescent="0.15">
      <c r="S333" t="str">
        <f>IF(O333="drucken",COUNTIF($O$5:O333,"drucken"),"")</f>
        <v/>
      </c>
    </row>
    <row r="334" spans="19:19" x14ac:dyDescent="0.15">
      <c r="S334" t="str">
        <f>IF(O334="drucken",COUNTIF($O$5:O334,"drucken"),"")</f>
        <v/>
      </c>
    </row>
    <row r="335" spans="19:19" x14ac:dyDescent="0.15">
      <c r="S335" t="str">
        <f>IF(O335="drucken",COUNTIF($O$5:O335,"drucken"),"")</f>
        <v/>
      </c>
    </row>
    <row r="336" spans="19:19" x14ac:dyDescent="0.15">
      <c r="S336" t="str">
        <f>IF(O336="drucken",COUNTIF($O$5:O336,"drucken"),"")</f>
        <v/>
      </c>
    </row>
    <row r="337" spans="19:19" x14ac:dyDescent="0.15">
      <c r="S337" t="str">
        <f>IF(O337="drucken",COUNTIF($O$5:O337,"drucken"),"")</f>
        <v/>
      </c>
    </row>
    <row r="338" spans="19:19" x14ac:dyDescent="0.15">
      <c r="S338" t="str">
        <f>IF(O338="drucken",COUNTIF($O$5:O338,"drucken"),"")</f>
        <v/>
      </c>
    </row>
    <row r="339" spans="19:19" x14ac:dyDescent="0.15">
      <c r="S339" t="str">
        <f>IF(O339="drucken",COUNTIF($O$5:O339,"drucken"),"")</f>
        <v/>
      </c>
    </row>
    <row r="340" spans="19:19" x14ac:dyDescent="0.15">
      <c r="S340" t="str">
        <f>IF(O340="drucken",COUNTIF($O$5:O340,"drucken"),"")</f>
        <v/>
      </c>
    </row>
    <row r="341" spans="19:19" x14ac:dyDescent="0.15">
      <c r="S341" t="str">
        <f>IF(O341="drucken",COUNTIF($O$5:O341,"drucken"),"")</f>
        <v/>
      </c>
    </row>
    <row r="342" spans="19:19" x14ac:dyDescent="0.15">
      <c r="S342" t="str">
        <f>IF(O342="drucken",COUNTIF($O$5:O342,"drucken"),"")</f>
        <v/>
      </c>
    </row>
    <row r="343" spans="19:19" x14ac:dyDescent="0.15">
      <c r="S343" t="str">
        <f>IF(O343="drucken",COUNTIF($O$5:O343,"drucken"),"")</f>
        <v/>
      </c>
    </row>
    <row r="344" spans="19:19" x14ac:dyDescent="0.15">
      <c r="S344" t="str">
        <f>IF(O344="drucken",COUNTIF($O$5:O344,"drucken"),"")</f>
        <v/>
      </c>
    </row>
    <row r="345" spans="19:19" x14ac:dyDescent="0.15">
      <c r="S345" t="str">
        <f>IF(O345="drucken",COUNTIF($O$5:O345,"drucken"),"")</f>
        <v/>
      </c>
    </row>
    <row r="346" spans="19:19" x14ac:dyDescent="0.15">
      <c r="S346" t="str">
        <f>IF(O346="drucken",COUNTIF($O$5:O346,"drucken"),"")</f>
        <v/>
      </c>
    </row>
    <row r="347" spans="19:19" x14ac:dyDescent="0.15">
      <c r="S347" t="str">
        <f>IF(O347="drucken",COUNTIF($O$5:O347,"drucken"),"")</f>
        <v/>
      </c>
    </row>
    <row r="348" spans="19:19" x14ac:dyDescent="0.15">
      <c r="S348" t="str">
        <f>IF(O348="drucken",COUNTIF($O$5:O348,"drucken"),"")</f>
        <v/>
      </c>
    </row>
    <row r="349" spans="19:19" x14ac:dyDescent="0.15">
      <c r="S349" t="str">
        <f>IF(O349="drucken",COUNTIF($O$5:O349,"drucken"),"")</f>
        <v/>
      </c>
    </row>
    <row r="350" spans="19:19" x14ac:dyDescent="0.15">
      <c r="S350" t="str">
        <f>IF(O350="drucken",COUNTIF($O$5:O350,"drucken"),"")</f>
        <v/>
      </c>
    </row>
    <row r="351" spans="19:19" x14ac:dyDescent="0.15">
      <c r="S351" t="str">
        <f>IF(O351="drucken",COUNTIF($O$5:O351,"drucken"),"")</f>
        <v/>
      </c>
    </row>
    <row r="352" spans="19:19" x14ac:dyDescent="0.15">
      <c r="S352" t="str">
        <f>IF(O352="drucken",COUNTIF($O$5:O352,"drucken"),"")</f>
        <v/>
      </c>
    </row>
    <row r="353" spans="19:19" x14ac:dyDescent="0.15">
      <c r="S353" t="str">
        <f>IF(O353="drucken",COUNTIF($O$5:O353,"drucken"),"")</f>
        <v/>
      </c>
    </row>
    <row r="354" spans="19:19" x14ac:dyDescent="0.15">
      <c r="S354" t="str">
        <f>IF(O354="drucken",COUNTIF($O$5:O354,"drucken"),"")</f>
        <v/>
      </c>
    </row>
    <row r="355" spans="19:19" x14ac:dyDescent="0.15">
      <c r="S355" t="str">
        <f>IF(O355="drucken",COUNTIF($O$5:O355,"drucken"),"")</f>
        <v/>
      </c>
    </row>
    <row r="356" spans="19:19" x14ac:dyDescent="0.15">
      <c r="S356" t="str">
        <f>IF(O356="drucken",COUNTIF($O$5:O356,"drucken"),"")</f>
        <v/>
      </c>
    </row>
    <row r="357" spans="19:19" x14ac:dyDescent="0.15">
      <c r="S357" t="str">
        <f>IF(O357="drucken",COUNTIF($O$5:O357,"drucken"),"")</f>
        <v/>
      </c>
    </row>
    <row r="358" spans="19:19" x14ac:dyDescent="0.15">
      <c r="S358" t="str">
        <f>IF(O358="drucken",COUNTIF($O$5:O358,"drucken"),"")</f>
        <v/>
      </c>
    </row>
    <row r="359" spans="19:19" x14ac:dyDescent="0.15">
      <c r="S359" t="str">
        <f>IF(O359="drucken",COUNTIF($O$5:O359,"drucken"),"")</f>
        <v/>
      </c>
    </row>
    <row r="360" spans="19:19" x14ac:dyDescent="0.15">
      <c r="S360" t="str">
        <f>IF(O360="drucken",COUNTIF($O$5:O360,"drucken"),"")</f>
        <v/>
      </c>
    </row>
    <row r="361" spans="19:19" x14ac:dyDescent="0.15">
      <c r="S361" t="str">
        <f>IF(O361="drucken",COUNTIF($O$5:O361,"drucken"),"")</f>
        <v/>
      </c>
    </row>
    <row r="362" spans="19:19" x14ac:dyDescent="0.15">
      <c r="S362" t="str">
        <f>IF(O362="drucken",COUNTIF($O$5:O362,"drucken"),"")</f>
        <v/>
      </c>
    </row>
    <row r="363" spans="19:19" x14ac:dyDescent="0.15">
      <c r="S363" t="str">
        <f>IF(O363="drucken",COUNTIF($O$5:O363,"drucken"),"")</f>
        <v/>
      </c>
    </row>
    <row r="364" spans="19:19" x14ac:dyDescent="0.15">
      <c r="S364" t="str">
        <f>IF(O364="drucken",COUNTIF($O$5:O364,"drucken"),"")</f>
        <v/>
      </c>
    </row>
    <row r="365" spans="19:19" x14ac:dyDescent="0.15">
      <c r="S365" t="str">
        <f>IF(O365="drucken",COUNTIF($O$5:O365,"drucken"),"")</f>
        <v/>
      </c>
    </row>
    <row r="366" spans="19:19" x14ac:dyDescent="0.15">
      <c r="S366" t="str">
        <f>IF(O366="drucken",COUNTIF($O$5:O366,"drucken"),"")</f>
        <v/>
      </c>
    </row>
    <row r="367" spans="19:19" x14ac:dyDescent="0.15">
      <c r="S367" t="str">
        <f>IF(O367="drucken",COUNTIF($O$5:O367,"drucken"),"")</f>
        <v/>
      </c>
    </row>
    <row r="368" spans="19:19" x14ac:dyDescent="0.15">
      <c r="S368" t="str">
        <f>IF(O368="drucken",COUNTIF($O$5:O368,"drucken"),"")</f>
        <v/>
      </c>
    </row>
    <row r="369" spans="19:19" x14ac:dyDescent="0.15">
      <c r="S369" t="str">
        <f>IF(O369="drucken",COUNTIF($O$5:O369,"drucken"),"")</f>
        <v/>
      </c>
    </row>
    <row r="370" spans="19:19" x14ac:dyDescent="0.15">
      <c r="S370" t="str">
        <f>IF(O370="drucken",COUNTIF($O$5:O370,"drucken"),"")</f>
        <v/>
      </c>
    </row>
    <row r="371" spans="19:19" x14ac:dyDescent="0.15">
      <c r="S371" t="str">
        <f>IF(O371="drucken",COUNTIF($O$5:O371,"drucken"),"")</f>
        <v/>
      </c>
    </row>
    <row r="372" spans="19:19" x14ac:dyDescent="0.15">
      <c r="S372" t="str">
        <f>IF(O372="drucken",COUNTIF($O$5:O372,"drucken"),"")</f>
        <v/>
      </c>
    </row>
    <row r="373" spans="19:19" x14ac:dyDescent="0.15">
      <c r="S373" t="str">
        <f>IF(O373="drucken",COUNTIF($O$5:O373,"drucken"),"")</f>
        <v/>
      </c>
    </row>
    <row r="374" spans="19:19" x14ac:dyDescent="0.15">
      <c r="S374" t="str">
        <f>IF(O374="drucken",COUNTIF($O$5:O374,"drucken"),"")</f>
        <v/>
      </c>
    </row>
    <row r="375" spans="19:19" x14ac:dyDescent="0.15">
      <c r="S375" t="str">
        <f>IF(O375="drucken",COUNTIF($O$5:O375,"drucken"),"")</f>
        <v/>
      </c>
    </row>
    <row r="376" spans="19:19" x14ac:dyDescent="0.15">
      <c r="S376" t="str">
        <f>IF(O376="drucken",COUNTIF($O$5:O376,"drucken"),"")</f>
        <v/>
      </c>
    </row>
    <row r="377" spans="19:19" x14ac:dyDescent="0.15">
      <c r="S377" t="str">
        <f>IF(O377="drucken",COUNTIF($O$5:O377,"drucken"),"")</f>
        <v/>
      </c>
    </row>
    <row r="378" spans="19:19" x14ac:dyDescent="0.15">
      <c r="S378" t="str">
        <f>IF(O378="drucken",COUNTIF($O$5:O378,"drucken"),"")</f>
        <v/>
      </c>
    </row>
    <row r="379" spans="19:19" x14ac:dyDescent="0.15">
      <c r="S379" t="str">
        <f>IF(O379="drucken",COUNTIF($O$5:O379,"drucken"),"")</f>
        <v/>
      </c>
    </row>
    <row r="380" spans="19:19" x14ac:dyDescent="0.15">
      <c r="S380" t="str">
        <f>IF(O380="drucken",COUNTIF($O$5:O380,"drucken"),"")</f>
        <v/>
      </c>
    </row>
    <row r="381" spans="19:19" x14ac:dyDescent="0.15">
      <c r="S381" t="str">
        <f>IF(O381="drucken",COUNTIF($O$5:O381,"drucken"),"")</f>
        <v/>
      </c>
    </row>
    <row r="382" spans="19:19" x14ac:dyDescent="0.15">
      <c r="S382" t="str">
        <f>IF(O382="drucken",COUNTIF($O$5:O382,"drucken"),"")</f>
        <v/>
      </c>
    </row>
    <row r="383" spans="19:19" x14ac:dyDescent="0.15">
      <c r="S383" t="str">
        <f>IF(O383="drucken",COUNTIF($O$5:O383,"drucken"),"")</f>
        <v/>
      </c>
    </row>
    <row r="384" spans="19:19" x14ac:dyDescent="0.15">
      <c r="S384" t="str">
        <f>IF(O384="drucken",COUNTIF($O$5:O384,"drucken"),"")</f>
        <v/>
      </c>
    </row>
    <row r="385" spans="19:19" x14ac:dyDescent="0.15">
      <c r="S385" t="str">
        <f>IF(O385="drucken",COUNTIF($O$5:O385,"drucken"),"")</f>
        <v/>
      </c>
    </row>
    <row r="386" spans="19:19" x14ac:dyDescent="0.15">
      <c r="S386" t="str">
        <f>IF(O386="drucken",COUNTIF($O$5:O386,"drucken"),"")</f>
        <v/>
      </c>
    </row>
    <row r="387" spans="19:19" x14ac:dyDescent="0.15">
      <c r="S387" t="str">
        <f>IF(O387="drucken",COUNTIF($O$5:O387,"drucken"),"")</f>
        <v/>
      </c>
    </row>
    <row r="388" spans="19:19" x14ac:dyDescent="0.15">
      <c r="S388" t="str">
        <f>IF(O388="drucken",COUNTIF($O$5:O388,"drucken"),"")</f>
        <v/>
      </c>
    </row>
    <row r="389" spans="19:19" x14ac:dyDescent="0.15">
      <c r="S389" t="str">
        <f>IF(O389="drucken",COUNTIF($O$5:O389,"drucken"),"")</f>
        <v/>
      </c>
    </row>
    <row r="390" spans="19:19" x14ac:dyDescent="0.15">
      <c r="S390" t="str">
        <f>IF(O390="drucken",COUNTIF($O$5:O390,"drucken"),"")</f>
        <v/>
      </c>
    </row>
    <row r="391" spans="19:19" x14ac:dyDescent="0.15">
      <c r="S391" t="str">
        <f>IF(O391="drucken",COUNTIF($O$5:O391,"drucken"),"")</f>
        <v/>
      </c>
    </row>
    <row r="392" spans="19:19" x14ac:dyDescent="0.15">
      <c r="S392" t="str">
        <f>IF(O392="drucken",COUNTIF($O$5:O392,"drucken"),"")</f>
        <v/>
      </c>
    </row>
    <row r="393" spans="19:19" x14ac:dyDescent="0.15">
      <c r="S393" t="str">
        <f>IF(O393="drucken",COUNTIF($O$5:O393,"drucken"),"")</f>
        <v/>
      </c>
    </row>
    <row r="394" spans="19:19" x14ac:dyDescent="0.15">
      <c r="S394" t="str">
        <f>IF(O394="drucken",COUNTIF($O$5:O394,"drucken"),"")</f>
        <v/>
      </c>
    </row>
    <row r="395" spans="19:19" x14ac:dyDescent="0.15">
      <c r="S395" t="str">
        <f>IF(O395="drucken",COUNTIF($O$5:O395,"drucken"),"")</f>
        <v/>
      </c>
    </row>
    <row r="396" spans="19:19" x14ac:dyDescent="0.15">
      <c r="S396" t="str">
        <f>IF(O396="drucken",COUNTIF($O$5:O396,"drucken"),"")</f>
        <v/>
      </c>
    </row>
    <row r="397" spans="19:19" x14ac:dyDescent="0.15">
      <c r="S397" t="str">
        <f>IF(O397="drucken",COUNTIF($O$5:O397,"drucken"),"")</f>
        <v/>
      </c>
    </row>
    <row r="398" spans="19:19" x14ac:dyDescent="0.15">
      <c r="S398" t="str">
        <f>IF(O398="drucken",COUNTIF($O$5:O398,"drucken"),"")</f>
        <v/>
      </c>
    </row>
    <row r="399" spans="19:19" x14ac:dyDescent="0.15">
      <c r="S399" t="str">
        <f>IF(O399="drucken",COUNTIF($O$5:O399,"drucken"),"")</f>
        <v/>
      </c>
    </row>
    <row r="400" spans="19:19" x14ac:dyDescent="0.15">
      <c r="S400" t="str">
        <f>IF(O400="drucken",COUNTIF($O$5:O400,"drucken"),"")</f>
        <v/>
      </c>
    </row>
    <row r="401" spans="19:19" x14ac:dyDescent="0.15">
      <c r="S401" t="str">
        <f>IF(O401="drucken",COUNTIF($O$5:O401,"drucken"),"")</f>
        <v/>
      </c>
    </row>
    <row r="402" spans="19:19" x14ac:dyDescent="0.15">
      <c r="S402" t="str">
        <f>IF(O402="drucken",COUNTIF($O$5:O402,"drucken"),"")</f>
        <v/>
      </c>
    </row>
    <row r="403" spans="19:19" x14ac:dyDescent="0.15">
      <c r="S403" t="str">
        <f>IF(O403="drucken",COUNTIF($O$5:O403,"drucken"),"")</f>
        <v/>
      </c>
    </row>
    <row r="404" spans="19:19" x14ac:dyDescent="0.15">
      <c r="S404" t="str">
        <f>IF(O404="drucken",COUNTIF($O$5:O404,"drucken"),"")</f>
        <v/>
      </c>
    </row>
    <row r="405" spans="19:19" x14ac:dyDescent="0.15">
      <c r="S405" t="str">
        <f>IF(O405="drucken",COUNTIF($O$5:O405,"drucken"),"")</f>
        <v/>
      </c>
    </row>
    <row r="406" spans="19:19" x14ac:dyDescent="0.15">
      <c r="S406" t="str">
        <f>IF(O406="drucken",COUNTIF($O$5:O406,"drucken"),"")</f>
        <v/>
      </c>
    </row>
    <row r="407" spans="19:19" x14ac:dyDescent="0.15">
      <c r="S407" t="str">
        <f>IF(O407="drucken",COUNTIF($O$5:O407,"drucken"),"")</f>
        <v/>
      </c>
    </row>
    <row r="408" spans="19:19" x14ac:dyDescent="0.15">
      <c r="S408" t="str">
        <f>IF(O408="drucken",COUNTIF($O$5:O408,"drucken"),"")</f>
        <v/>
      </c>
    </row>
    <row r="409" spans="19:19" x14ac:dyDescent="0.15">
      <c r="S409" t="str">
        <f>IF(O409="drucken",COUNTIF($O$5:O409,"drucken"),"")</f>
        <v/>
      </c>
    </row>
    <row r="410" spans="19:19" x14ac:dyDescent="0.15">
      <c r="S410" t="str">
        <f>IF(O410="drucken",COUNTIF($O$5:O410,"drucken"),"")</f>
        <v/>
      </c>
    </row>
    <row r="411" spans="19:19" x14ac:dyDescent="0.15">
      <c r="S411" t="str">
        <f>IF(O411="drucken",COUNTIF($O$5:O411,"drucken"),"")</f>
        <v/>
      </c>
    </row>
    <row r="412" spans="19:19" x14ac:dyDescent="0.15">
      <c r="S412" t="str">
        <f>IF(O412="drucken",COUNTIF($O$5:O412,"drucken"),"")</f>
        <v/>
      </c>
    </row>
    <row r="413" spans="19:19" x14ac:dyDescent="0.15">
      <c r="S413" t="str">
        <f>IF(O413="drucken",COUNTIF($O$5:O413,"drucken"),"")</f>
        <v/>
      </c>
    </row>
    <row r="414" spans="19:19" x14ac:dyDescent="0.15">
      <c r="S414" t="str">
        <f>IF(O414="drucken",COUNTIF($O$5:O414,"drucken"),"")</f>
        <v/>
      </c>
    </row>
    <row r="415" spans="19:19" x14ac:dyDescent="0.15">
      <c r="S415" t="str">
        <f>IF(O415="drucken",COUNTIF($O$5:O415,"drucken"),"")</f>
        <v/>
      </c>
    </row>
    <row r="416" spans="19:19" x14ac:dyDescent="0.15">
      <c r="S416" t="str">
        <f>IF(O416="drucken",COUNTIF($O$5:O416,"drucken"),"")</f>
        <v/>
      </c>
    </row>
    <row r="417" spans="19:19" x14ac:dyDescent="0.15">
      <c r="S417" t="str">
        <f>IF(O417="drucken",COUNTIF($O$5:O417,"drucken"),"")</f>
        <v/>
      </c>
    </row>
    <row r="418" spans="19:19" x14ac:dyDescent="0.15">
      <c r="S418" t="str">
        <f>IF(O418="drucken",COUNTIF($O$5:O418,"drucken"),"")</f>
        <v/>
      </c>
    </row>
    <row r="419" spans="19:19" x14ac:dyDescent="0.15">
      <c r="S419" t="str">
        <f>IF(O419="drucken",COUNTIF($O$5:O419,"drucken"),"")</f>
        <v/>
      </c>
    </row>
    <row r="420" spans="19:19" x14ac:dyDescent="0.15">
      <c r="S420" t="str">
        <f>IF(O420="drucken",COUNTIF($O$5:O420,"drucken"),"")</f>
        <v/>
      </c>
    </row>
    <row r="421" spans="19:19" x14ac:dyDescent="0.15">
      <c r="S421" t="str">
        <f>IF(O421="drucken",COUNTIF($O$5:O421,"drucken"),"")</f>
        <v/>
      </c>
    </row>
    <row r="422" spans="19:19" x14ac:dyDescent="0.15">
      <c r="S422" t="str">
        <f>IF(O422="drucken",COUNTIF($O$5:O422,"drucken"),"")</f>
        <v/>
      </c>
    </row>
    <row r="423" spans="19:19" x14ac:dyDescent="0.15">
      <c r="S423" t="str">
        <f>IF(O423="drucken",COUNTIF($O$5:O423,"drucken"),"")</f>
        <v/>
      </c>
    </row>
    <row r="424" spans="19:19" x14ac:dyDescent="0.15">
      <c r="S424" t="str">
        <f>IF(O424="drucken",COUNTIF($O$5:O424,"drucken"),"")</f>
        <v/>
      </c>
    </row>
    <row r="425" spans="19:19" x14ac:dyDescent="0.15">
      <c r="S425" t="str">
        <f>IF(O425="drucken",COUNTIF($O$5:O425,"drucken"),"")</f>
        <v/>
      </c>
    </row>
    <row r="426" spans="19:19" x14ac:dyDescent="0.15">
      <c r="S426" t="str">
        <f>IF(O426="drucken",COUNTIF($O$5:O426,"drucken"),"")</f>
        <v/>
      </c>
    </row>
    <row r="427" spans="19:19" x14ac:dyDescent="0.15">
      <c r="S427" t="str">
        <f>IF(O427="drucken",COUNTIF($O$5:O427,"drucken"),"")</f>
        <v/>
      </c>
    </row>
    <row r="428" spans="19:19" x14ac:dyDescent="0.15">
      <c r="S428" t="str">
        <f>IF(O428="drucken",COUNTIF($O$5:O428,"drucken"),"")</f>
        <v/>
      </c>
    </row>
    <row r="429" spans="19:19" x14ac:dyDescent="0.15">
      <c r="S429" t="str">
        <f>IF(O429="drucken",COUNTIF($O$5:O429,"drucken"),"")</f>
        <v/>
      </c>
    </row>
    <row r="430" spans="19:19" x14ac:dyDescent="0.15">
      <c r="S430" t="str">
        <f>IF(O430="drucken",COUNTIF($O$5:O430,"drucken"),"")</f>
        <v/>
      </c>
    </row>
    <row r="431" spans="19:19" x14ac:dyDescent="0.15">
      <c r="S431" t="str">
        <f>IF(O431="drucken",COUNTIF($O$5:O431,"drucken"),"")</f>
        <v/>
      </c>
    </row>
    <row r="432" spans="19:19" x14ac:dyDescent="0.15">
      <c r="S432" t="str">
        <f>IF(O432="drucken",COUNTIF($O$5:O432,"drucken"),"")</f>
        <v/>
      </c>
    </row>
    <row r="433" spans="19:19" x14ac:dyDescent="0.15">
      <c r="S433" t="str">
        <f>IF(O433="drucken",COUNTIF($O$5:O433,"drucken"),"")</f>
        <v/>
      </c>
    </row>
    <row r="434" spans="19:19" x14ac:dyDescent="0.15">
      <c r="S434" t="str">
        <f>IF(O434="drucken",COUNTIF($O$5:O434,"drucken"),"")</f>
        <v/>
      </c>
    </row>
    <row r="435" spans="19:19" x14ac:dyDescent="0.15">
      <c r="S435" t="str">
        <f>IF(O435="drucken",COUNTIF($O$5:O435,"drucken"),"")</f>
        <v/>
      </c>
    </row>
    <row r="436" spans="19:19" x14ac:dyDescent="0.15">
      <c r="S436" t="str">
        <f>IF(O436="drucken",COUNTIF($O$5:O436,"drucken"),"")</f>
        <v/>
      </c>
    </row>
    <row r="437" spans="19:19" x14ac:dyDescent="0.15">
      <c r="S437" t="str">
        <f>IF(O437="drucken",COUNTIF($O$5:O437,"drucken"),"")</f>
        <v/>
      </c>
    </row>
    <row r="438" spans="19:19" x14ac:dyDescent="0.15">
      <c r="S438" t="str">
        <f>IF(O438="drucken",COUNTIF($O$5:O438,"drucken"),"")</f>
        <v/>
      </c>
    </row>
    <row r="439" spans="19:19" x14ac:dyDescent="0.15">
      <c r="S439" t="str">
        <f>IF(O439="drucken",COUNTIF($O$5:O439,"drucken"),"")</f>
        <v/>
      </c>
    </row>
    <row r="440" spans="19:19" x14ac:dyDescent="0.15">
      <c r="S440" t="str">
        <f>IF(O440="drucken",COUNTIF($O$5:O440,"drucken"),"")</f>
        <v/>
      </c>
    </row>
    <row r="441" spans="19:19" x14ac:dyDescent="0.15">
      <c r="S441" t="str">
        <f>IF(O441="drucken",COUNTIF($O$5:O441,"drucken"),"")</f>
        <v/>
      </c>
    </row>
    <row r="442" spans="19:19" x14ac:dyDescent="0.15">
      <c r="S442" t="str">
        <f>IF(O442="drucken",COUNTIF($O$5:O442,"drucken"),"")</f>
        <v/>
      </c>
    </row>
    <row r="443" spans="19:19" x14ac:dyDescent="0.15">
      <c r="S443" t="str">
        <f>IF(O443="drucken",COUNTIF($O$5:O443,"drucken"),"")</f>
        <v/>
      </c>
    </row>
    <row r="444" spans="19:19" x14ac:dyDescent="0.15">
      <c r="S444" t="str">
        <f>IF(O444="drucken",COUNTIF($O$5:O444,"drucken"),"")</f>
        <v/>
      </c>
    </row>
    <row r="445" spans="19:19" x14ac:dyDescent="0.15">
      <c r="S445" t="str">
        <f>IF(O445="drucken",COUNTIF($O$5:O445,"drucken"),"")</f>
        <v/>
      </c>
    </row>
    <row r="446" spans="19:19" x14ac:dyDescent="0.15">
      <c r="S446" t="str">
        <f>IF(O446="drucken",COUNTIF($O$5:O446,"drucken"),"")</f>
        <v/>
      </c>
    </row>
    <row r="447" spans="19:19" x14ac:dyDescent="0.15">
      <c r="S447" t="str">
        <f>IF(O447="drucken",COUNTIF($O$5:O447,"drucken"),"")</f>
        <v/>
      </c>
    </row>
    <row r="448" spans="19:19" x14ac:dyDescent="0.15">
      <c r="S448" t="str">
        <f>IF(O448="drucken",COUNTIF($O$5:O448,"drucken"),"")</f>
        <v/>
      </c>
    </row>
    <row r="449" spans="19:19" x14ac:dyDescent="0.15">
      <c r="S449" t="str">
        <f>IF(O449="drucken",COUNTIF($O$5:O449,"drucken"),"")</f>
        <v/>
      </c>
    </row>
    <row r="450" spans="19:19" x14ac:dyDescent="0.15">
      <c r="S450" t="str">
        <f>IF(O450="drucken",COUNTIF($O$5:O450,"drucken"),"")</f>
        <v/>
      </c>
    </row>
    <row r="451" spans="19:19" x14ac:dyDescent="0.15">
      <c r="S451" t="str">
        <f>IF(O451="drucken",COUNTIF($O$5:O451,"drucken"),"")</f>
        <v/>
      </c>
    </row>
    <row r="452" spans="19:19" x14ac:dyDescent="0.15">
      <c r="S452" t="str">
        <f>IF(O452="drucken",COUNTIF($O$5:O452,"drucken"),"")</f>
        <v/>
      </c>
    </row>
    <row r="453" spans="19:19" x14ac:dyDescent="0.15">
      <c r="S453" t="str">
        <f>IF(O453="drucken",COUNTIF($O$5:O453,"drucken"),"")</f>
        <v/>
      </c>
    </row>
    <row r="454" spans="19:19" x14ac:dyDescent="0.15">
      <c r="S454" t="str">
        <f>IF(O454="drucken",COUNTIF($O$5:O454,"drucken"),"")</f>
        <v/>
      </c>
    </row>
    <row r="455" spans="19:19" x14ac:dyDescent="0.15">
      <c r="S455" t="str">
        <f>IF(O455="drucken",COUNTIF($O$5:O455,"drucken"),"")</f>
        <v/>
      </c>
    </row>
    <row r="456" spans="19:19" x14ac:dyDescent="0.15">
      <c r="S456" t="str">
        <f>IF(O456="drucken",COUNTIF($O$5:O456,"drucken"),"")</f>
        <v/>
      </c>
    </row>
    <row r="457" spans="19:19" x14ac:dyDescent="0.15">
      <c r="S457" t="str">
        <f>IF(O457="drucken",COUNTIF($O$5:O457,"drucken"),"")</f>
        <v/>
      </c>
    </row>
    <row r="458" spans="19:19" x14ac:dyDescent="0.15">
      <c r="S458" t="str">
        <f>IF(O458="drucken",COUNTIF($O$5:O458,"drucken"),"")</f>
        <v/>
      </c>
    </row>
    <row r="459" spans="19:19" x14ac:dyDescent="0.15">
      <c r="S459" t="str">
        <f>IF(O459="drucken",COUNTIF($O$5:O459,"drucken"),"")</f>
        <v/>
      </c>
    </row>
    <row r="460" spans="19:19" x14ac:dyDescent="0.15">
      <c r="S460" t="str">
        <f>IF(O460="drucken",COUNTIF($O$5:O460,"drucken"),"")</f>
        <v/>
      </c>
    </row>
    <row r="461" spans="19:19" x14ac:dyDescent="0.15">
      <c r="S461" t="str">
        <f>IF(O461="drucken",COUNTIF($O$5:O461,"drucken"),"")</f>
        <v/>
      </c>
    </row>
    <row r="462" spans="19:19" x14ac:dyDescent="0.15">
      <c r="S462" t="str">
        <f>IF(O462="drucken",COUNTIF($O$5:O462,"drucken"),"")</f>
        <v/>
      </c>
    </row>
    <row r="463" spans="19:19" x14ac:dyDescent="0.15">
      <c r="S463" t="str">
        <f>IF(O463="drucken",COUNTIF($O$5:O463,"drucken"),"")</f>
        <v/>
      </c>
    </row>
    <row r="464" spans="19:19" x14ac:dyDescent="0.15">
      <c r="S464" t="str">
        <f>IF(O464="drucken",COUNTIF($O$5:O464,"drucken"),"")</f>
        <v/>
      </c>
    </row>
    <row r="465" spans="19:19" x14ac:dyDescent="0.15">
      <c r="S465" t="str">
        <f>IF(O465="drucken",COUNTIF($O$5:O465,"drucken"),"")</f>
        <v/>
      </c>
    </row>
    <row r="466" spans="19:19" x14ac:dyDescent="0.15">
      <c r="S466" t="str">
        <f>IF(O466="drucken",COUNTIF($O$5:O466,"drucken"),"")</f>
        <v/>
      </c>
    </row>
    <row r="467" spans="19:19" x14ac:dyDescent="0.15">
      <c r="S467" t="str">
        <f>IF(O467="drucken",COUNTIF($O$5:O467,"drucken"),"")</f>
        <v/>
      </c>
    </row>
    <row r="468" spans="19:19" x14ac:dyDescent="0.15">
      <c r="S468" t="str">
        <f>IF(O468="drucken",COUNTIF($O$5:O468,"drucken"),"")</f>
        <v/>
      </c>
    </row>
    <row r="469" spans="19:19" x14ac:dyDescent="0.15">
      <c r="S469" t="str">
        <f>IF(O469="drucken",COUNTIF($O$5:O469,"drucken"),"")</f>
        <v/>
      </c>
    </row>
    <row r="470" spans="19:19" x14ac:dyDescent="0.15">
      <c r="S470" t="str">
        <f>IF(O470="drucken",COUNTIF($O$5:O470,"drucken"),"")</f>
        <v/>
      </c>
    </row>
    <row r="471" spans="19:19" x14ac:dyDescent="0.15">
      <c r="S471" t="str">
        <f>IF(O471="drucken",COUNTIF($O$5:O471,"drucken"),"")</f>
        <v/>
      </c>
    </row>
    <row r="472" spans="19:19" x14ac:dyDescent="0.15">
      <c r="S472" t="str">
        <f>IF(O472="drucken",COUNTIF($O$5:O472,"drucken"),"")</f>
        <v/>
      </c>
    </row>
    <row r="473" spans="19:19" x14ac:dyDescent="0.15">
      <c r="S473" t="str">
        <f>IF(O473="drucken",COUNTIF($O$5:O473,"drucken"),"")</f>
        <v/>
      </c>
    </row>
    <row r="474" spans="19:19" x14ac:dyDescent="0.15">
      <c r="S474" t="str">
        <f>IF(O474="drucken",COUNTIF($O$5:O474,"drucken"),"")</f>
        <v/>
      </c>
    </row>
    <row r="475" spans="19:19" x14ac:dyDescent="0.15">
      <c r="S475" t="str">
        <f>IF(O475="drucken",COUNTIF($O$5:O475,"drucken"),"")</f>
        <v/>
      </c>
    </row>
    <row r="476" spans="19:19" x14ac:dyDescent="0.15">
      <c r="S476" t="str">
        <f>IF(O476="drucken",COUNTIF($O$5:O476,"drucken"),"")</f>
        <v/>
      </c>
    </row>
    <row r="477" spans="19:19" x14ac:dyDescent="0.15">
      <c r="S477" t="str">
        <f>IF(O477="drucken",COUNTIF($O$5:O477,"drucken"),"")</f>
        <v/>
      </c>
    </row>
    <row r="478" spans="19:19" x14ac:dyDescent="0.15">
      <c r="S478" t="str">
        <f>IF(O478="drucken",COUNTIF($O$5:O478,"drucken"),"")</f>
        <v/>
      </c>
    </row>
    <row r="479" spans="19:19" x14ac:dyDescent="0.15">
      <c r="S479" t="str">
        <f>IF(O479="drucken",COUNTIF($O$5:O479,"drucken"),"")</f>
        <v/>
      </c>
    </row>
    <row r="480" spans="19:19" x14ac:dyDescent="0.15">
      <c r="S480" t="str">
        <f>IF(O480="drucken",COUNTIF($O$5:O480,"drucken"),"")</f>
        <v/>
      </c>
    </row>
    <row r="481" spans="19:19" x14ac:dyDescent="0.15">
      <c r="S481" t="str">
        <f>IF(O481="drucken",COUNTIF($O$5:O481,"drucken"),"")</f>
        <v/>
      </c>
    </row>
    <row r="482" spans="19:19" x14ac:dyDescent="0.15">
      <c r="S482" t="str">
        <f>IF(O482="drucken",COUNTIF($O$5:O482,"drucken"),"")</f>
        <v/>
      </c>
    </row>
    <row r="483" spans="19:19" x14ac:dyDescent="0.15">
      <c r="S483" t="str">
        <f>IF(O483="drucken",COUNTIF($O$5:O483,"drucken"),"")</f>
        <v/>
      </c>
    </row>
    <row r="484" spans="19:19" x14ac:dyDescent="0.15">
      <c r="S484" t="str">
        <f>IF(O484="drucken",COUNTIF($O$5:O484,"drucken"),"")</f>
        <v/>
      </c>
    </row>
    <row r="485" spans="19:19" x14ac:dyDescent="0.15">
      <c r="S485" t="str">
        <f>IF(O485="drucken",COUNTIF($O$5:O485,"drucken"),"")</f>
        <v/>
      </c>
    </row>
    <row r="486" spans="19:19" x14ac:dyDescent="0.15">
      <c r="S486" t="str">
        <f>IF(O486="drucken",COUNTIF($O$5:O486,"drucken"),"")</f>
        <v/>
      </c>
    </row>
    <row r="487" spans="19:19" x14ac:dyDescent="0.15">
      <c r="S487" t="str">
        <f>IF(O487="drucken",COUNTIF($O$5:O487,"drucken"),"")</f>
        <v/>
      </c>
    </row>
    <row r="488" spans="19:19" x14ac:dyDescent="0.15">
      <c r="S488" t="str">
        <f>IF(O488="drucken",COUNTIF($O$5:O488,"drucken"),"")</f>
        <v/>
      </c>
    </row>
    <row r="489" spans="19:19" x14ac:dyDescent="0.15">
      <c r="S489" t="str">
        <f>IF(O489="drucken",COUNTIF($O$5:O489,"drucken"),"")</f>
        <v/>
      </c>
    </row>
    <row r="490" spans="19:19" x14ac:dyDescent="0.15">
      <c r="S490" t="str">
        <f>IF(O490="drucken",COUNTIF($O$5:O490,"drucken"),"")</f>
        <v/>
      </c>
    </row>
    <row r="491" spans="19:19" x14ac:dyDescent="0.15">
      <c r="S491" t="str">
        <f>IF(O491="drucken",COUNTIF($O$5:O491,"drucken"),"")</f>
        <v/>
      </c>
    </row>
    <row r="492" spans="19:19" x14ac:dyDescent="0.15">
      <c r="S492" t="str">
        <f>IF(O492="drucken",COUNTIF($O$5:O492,"drucken"),"")</f>
        <v/>
      </c>
    </row>
    <row r="493" spans="19:19" x14ac:dyDescent="0.15">
      <c r="S493" t="str">
        <f>IF(O493="drucken",COUNTIF($O$5:O493,"drucken"),"")</f>
        <v/>
      </c>
    </row>
    <row r="494" spans="19:19" x14ac:dyDescent="0.15">
      <c r="S494" t="str">
        <f>IF(O494="drucken",COUNTIF($O$5:O494,"drucken"),"")</f>
        <v/>
      </c>
    </row>
    <row r="495" spans="19:19" x14ac:dyDescent="0.15">
      <c r="S495" t="str">
        <f>IF(O495="drucken",COUNTIF($O$5:O495,"drucken"),"")</f>
        <v/>
      </c>
    </row>
    <row r="496" spans="19:19" x14ac:dyDescent="0.15">
      <c r="S496" t="str">
        <f>IF(O496="drucken",COUNTIF($O$5:O496,"drucken"),"")</f>
        <v/>
      </c>
    </row>
    <row r="497" spans="19:19" x14ac:dyDescent="0.15">
      <c r="S497" t="str">
        <f>IF(O497="drucken",COUNTIF($O$5:O497,"drucken"),"")</f>
        <v/>
      </c>
    </row>
    <row r="498" spans="19:19" x14ac:dyDescent="0.15">
      <c r="S498" t="str">
        <f>IF(O498="drucken",COUNTIF($O$5:O498,"drucken"),"")</f>
        <v/>
      </c>
    </row>
    <row r="499" spans="19:19" x14ac:dyDescent="0.15">
      <c r="S499" t="str">
        <f>IF(O499="drucken",COUNTIF($O$5:O499,"drucken"),"")</f>
        <v/>
      </c>
    </row>
    <row r="500" spans="19:19" x14ac:dyDescent="0.15">
      <c r="S500" t="str">
        <f>IF(O500="drucken",COUNTIF($O$5:O500,"drucken"),"")</f>
        <v/>
      </c>
    </row>
  </sheetData>
  <mergeCells count="3">
    <mergeCell ref="A1:N1"/>
    <mergeCell ref="Q1:R1"/>
    <mergeCell ref="A2:N2"/>
  </mergeCells>
  <dataValidations count="3">
    <dataValidation type="whole" sqref="J5:K83" xr:uid="{00000000-0002-0000-0400-000000000000}">
      <formula1>0</formula1>
      <formula2>999999</formula2>
    </dataValidation>
    <dataValidation type="list" sqref="O5:O105" xr:uid="{00000000-0002-0000-0400-000001000000}">
      <formula1>"drucken,nicht drucken"</formula1>
      <formula2>0</formula2>
    </dataValidation>
    <dataValidation type="whole" sqref="R2" xr:uid="{00000000-0002-0000-0400-000002000000}">
      <formula1>1</formula1>
      <formula2>24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3000000}">
          <x14:formula1>
            <xm:f>Suppliers!$A$2:$A$10</xm:f>
          </x14:formula1>
          <x14:formula2>
            <xm:f>0</xm:f>
          </x14:formula2>
          <xm:sqref>H5:H105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32"/>
  <sheetViews>
    <sheetView showGridLines="0" tabSelected="1" zoomScaleNormal="100" workbookViewId="0"/>
  </sheetViews>
  <sheetFormatPr baseColWidth="10" defaultColWidth="8.6640625" defaultRowHeight="13" x14ac:dyDescent="0.15"/>
  <cols>
    <col min="1" max="3" width="33" customWidth="1"/>
  </cols>
  <sheetData>
    <row r="1" spans="1:3" ht="22" customHeight="1" x14ac:dyDescent="0.2">
      <c r="A1" s="63" t="str">
        <f>IFERROR(IF(1&lt;Stock!$R$2,"",INDEX(Stock!$A$5:$A$500,MATCH(1-Stock!$R$2+1,Stock!$S$5:$S$500,0))),"")</f>
        <v/>
      </c>
      <c r="B1" s="63" t="str">
        <f>"  "&amp;(IFERROR(IF(2&lt;Stock!$R$2,"",INDEX(Stock!$A$5:$A$500,MATCH(2-Stock!$R$2+1,Stock!$S$5:$S$500,0))),""))</f>
        <v xml:space="preserve">  </v>
      </c>
      <c r="C1" s="63" t="str">
        <f>"    "&amp;(IFERROR(IF(3&lt;Stock!$R$2,"",INDEX(Stock!$A$5:$A$500,MATCH(3-Stock!$R$2+1,Stock!$S$5:$S$500,0))),""))</f>
        <v xml:space="preserve">    </v>
      </c>
    </row>
    <row r="2" spans="1:3" ht="28" customHeight="1" x14ac:dyDescent="0.15">
      <c r="A2" s="64" t="str">
        <f>IFERROR(IF(1&lt;Stock!$R$2,"",IF(IF(OR(INDEX(Stock!$D$5:$D$500,MATCH(1-Stock!$R$2+1,Stock!$S$5:$S$500,0))="",INDEX(Stock!$D$5:$D$500,MATCH(1-Stock!$R$2+1,Stock!$S$5:$S$500,0))=0,INDEX(Stock!$D$5:$D$500,MATCH(1-Stock!$R$2+1,Stock!$S$5:$S$500,0))="0"),"",INDEX(Stock!$D$5:$D$500,MATCH(1-Stock!$R$2+1,Stock!$S$5:$S$500,0)))&lt;&gt;"",IF(OR(INDEX(Stock!$D$5:$D$500,MATCH(1-Stock!$R$2+1,Stock!$S$5:$S$500,0))="",INDEX(Stock!$D$5:$D$500,MATCH(1-Stock!$R$2+1,Stock!$S$5:$S$500,0))=0,INDEX(Stock!$D$5:$D$500,MATCH(1-Stock!$R$2+1,Stock!$S$5:$S$500,0))="0"),"",INDEX(Stock!$D$5:$D$500,MATCH(1-Stock!$R$2+1,Stock!$S$5:$S$500,0))),IF(OR(INDEX(Stock!$C$5:$C$500,MATCH(1-Stock!$R$2+1,Stock!$S$5:$S$500,0))="",INDEX(Stock!$C$5:$C$500,MATCH(1-Stock!$R$2+1,Stock!$S$5:$S$500,0))=0,INDEX(Stock!$C$5:$C$500,MATCH(1-Stock!$R$2+1,Stock!$S$5:$S$500,0))="0"),"",INDEX(Stock!$C$5:$C$500,MATCH(1-Stock!$R$2+1,Stock!$S$5:$S$500,0))))),"")</f>
        <v/>
      </c>
      <c r="B2" s="64" t="str">
        <f>"  "&amp;(IFERROR(IF(2&lt;Stock!$R$2,"",IF(IF(OR(INDEX(Stock!$D$5:$D$500,MATCH(2-Stock!$R$2+1,Stock!$S$5:$S$500,0))="",INDEX(Stock!$D$5:$D$500,MATCH(2-Stock!$R$2+1,Stock!$S$5:$S$500,0))=0,INDEX(Stock!$D$5:$D$500,MATCH(2-Stock!$R$2+1,Stock!$S$5:$S$500,0))="0"),"",INDEX(Stock!$D$5:$D$500,MATCH(2-Stock!$R$2+1,Stock!$S$5:$S$500,0)))&lt;&gt;"",IF(OR(INDEX(Stock!$D$5:$D$500,MATCH(2-Stock!$R$2+1,Stock!$S$5:$S$500,0))="",INDEX(Stock!$D$5:$D$500,MATCH(2-Stock!$R$2+1,Stock!$S$5:$S$500,0))=0,INDEX(Stock!$D$5:$D$500,MATCH(2-Stock!$R$2+1,Stock!$S$5:$S$500,0))="0"),"",INDEX(Stock!$D$5:$D$500,MATCH(2-Stock!$R$2+1,Stock!$S$5:$S$500,0))),IF(OR(INDEX(Stock!$C$5:$C$500,MATCH(2-Stock!$R$2+1,Stock!$S$5:$S$500,0))="",INDEX(Stock!$C$5:$C$500,MATCH(2-Stock!$R$2+1,Stock!$S$5:$S$500,0))=0,INDEX(Stock!$C$5:$C$500,MATCH(2-Stock!$R$2+1,Stock!$S$5:$S$500,0))="0"),"",INDEX(Stock!$C$5:$C$500,MATCH(2-Stock!$R$2+1,Stock!$S$5:$S$500,0))))),""))</f>
        <v xml:space="preserve">  </v>
      </c>
      <c r="C2" s="64" t="str">
        <f>"    "&amp;(IFERROR(IF(3&lt;Stock!$R$2,"",IF(IF(OR(INDEX(Stock!$D$5:$D$500,MATCH(3-Stock!$R$2+1,Stock!$S$5:$S$500,0))="",INDEX(Stock!$D$5:$D$500,MATCH(3-Stock!$R$2+1,Stock!$S$5:$S$500,0))=0,INDEX(Stock!$D$5:$D$500,MATCH(3-Stock!$R$2+1,Stock!$S$5:$S$500,0))="0"),"",INDEX(Stock!$D$5:$D$500,MATCH(3-Stock!$R$2+1,Stock!$S$5:$S$500,0)))&lt;&gt;"",IF(OR(INDEX(Stock!$D$5:$D$500,MATCH(3-Stock!$R$2+1,Stock!$S$5:$S$500,0))="",INDEX(Stock!$D$5:$D$500,MATCH(3-Stock!$R$2+1,Stock!$S$5:$S$500,0))=0,INDEX(Stock!$D$5:$D$500,MATCH(3-Stock!$R$2+1,Stock!$S$5:$S$500,0))="0"),"",INDEX(Stock!$D$5:$D$500,MATCH(3-Stock!$R$2+1,Stock!$S$5:$S$500,0))),IF(OR(INDEX(Stock!$C$5:$C$500,MATCH(3-Stock!$R$2+1,Stock!$S$5:$S$500,0))="",INDEX(Stock!$C$5:$C$500,MATCH(3-Stock!$R$2+1,Stock!$S$5:$S$500,0))=0,INDEX(Stock!$C$5:$C$500,MATCH(3-Stock!$R$2+1,Stock!$S$5:$S$500,0))="0"),"",INDEX(Stock!$C$5:$C$500,MATCH(3-Stock!$R$2+1,Stock!$S$5:$S$500,0))))),""))</f>
        <v xml:space="preserve">    </v>
      </c>
    </row>
    <row r="3" spans="1:3" ht="26" customHeight="1" x14ac:dyDescent="0.15">
      <c r="A3" s="65" t="str">
        <f>IFERROR(IF(1&lt;Stock!$R$2,"",IF(IF(OR(INDEX(Stock!$D$5:$D$500,MATCH(1-Stock!$R$2+1,Stock!$S$5:$S$500,0))="",INDEX(Stock!$D$5:$D$500,MATCH(1-Stock!$R$2+1,Stock!$S$5:$S$500,0))=0,INDEX(Stock!$D$5:$D$500,MATCH(1-Stock!$R$2+1,Stock!$S$5:$S$500,0))="0"),"",INDEX(Stock!$D$5:$D$500,MATCH(1-Stock!$R$2+1,Stock!$S$5:$S$500,0)))&lt;&gt;"",IF(OR(INDEX(Stock!$C$5:$C$500,MATCH(1-Stock!$R$2+1,Stock!$S$5:$S$500,0))="",INDEX(Stock!$C$5:$C$500,MATCH(1-Stock!$R$2+1,Stock!$S$5:$S$500,0))=0,INDEX(Stock!$C$5:$C$500,MATCH(1-Stock!$R$2+1,Stock!$S$5:$S$500,0))="0"),"",INDEX(Stock!$C$5:$C$500,MATCH(1-Stock!$R$2+1,Stock!$S$5:$S$500,0))),IF(OR(INDEX(Stock!$E$5:$E$500,MATCH(1-Stock!$R$2+1,Stock!$S$5:$S$500,0))="",INDEX(Stock!$E$5:$E$500,MATCH(1-Stock!$R$2+1,Stock!$S$5:$S$500,0))=0,INDEX(Stock!$E$5:$E$500,MATCH(1-Stock!$R$2+1,Stock!$S$5:$S$500,0))="0"),"",INDEX(Stock!$E$5:$E$500,MATCH(1-Stock!$R$2+1,Stock!$S$5:$S$500,0))))),"")</f>
        <v/>
      </c>
      <c r="B3" s="65" t="str">
        <f>"  "&amp;(IFERROR(IF(2&lt;Stock!$R$2,"",IF(IF(OR(INDEX(Stock!$D$5:$D$500,MATCH(2-Stock!$R$2+1,Stock!$S$5:$S$500,0))="",INDEX(Stock!$D$5:$D$500,MATCH(2-Stock!$R$2+1,Stock!$S$5:$S$500,0))=0,INDEX(Stock!$D$5:$D$500,MATCH(2-Stock!$R$2+1,Stock!$S$5:$S$500,0))="0"),"",INDEX(Stock!$D$5:$D$500,MATCH(2-Stock!$R$2+1,Stock!$S$5:$S$500,0)))&lt;&gt;"",IF(OR(INDEX(Stock!$C$5:$C$500,MATCH(2-Stock!$R$2+1,Stock!$S$5:$S$500,0))="",INDEX(Stock!$C$5:$C$500,MATCH(2-Stock!$R$2+1,Stock!$S$5:$S$500,0))=0,INDEX(Stock!$C$5:$C$500,MATCH(2-Stock!$R$2+1,Stock!$S$5:$S$500,0))="0"),"",INDEX(Stock!$C$5:$C$500,MATCH(2-Stock!$R$2+1,Stock!$S$5:$S$500,0))),IF(OR(INDEX(Stock!$E$5:$E$500,MATCH(2-Stock!$R$2+1,Stock!$S$5:$S$500,0))="",INDEX(Stock!$E$5:$E$500,MATCH(2-Stock!$R$2+1,Stock!$S$5:$S$500,0))=0,INDEX(Stock!$E$5:$E$500,MATCH(2-Stock!$R$2+1,Stock!$S$5:$S$500,0))="0"),"",INDEX(Stock!$E$5:$E$500,MATCH(2-Stock!$R$2+1,Stock!$S$5:$S$500,0))))),""))</f>
        <v xml:space="preserve">  </v>
      </c>
      <c r="C3" s="65" t="str">
        <f>"    "&amp;(IFERROR(IF(3&lt;Stock!$R$2,"",IF(IF(OR(INDEX(Stock!$D$5:$D$500,MATCH(3-Stock!$R$2+1,Stock!$S$5:$S$500,0))="",INDEX(Stock!$D$5:$D$500,MATCH(3-Stock!$R$2+1,Stock!$S$5:$S$500,0))=0,INDEX(Stock!$D$5:$D$500,MATCH(3-Stock!$R$2+1,Stock!$S$5:$S$500,0))="0"),"",INDEX(Stock!$D$5:$D$500,MATCH(3-Stock!$R$2+1,Stock!$S$5:$S$500,0)))&lt;&gt;"",IF(OR(INDEX(Stock!$C$5:$C$500,MATCH(3-Stock!$R$2+1,Stock!$S$5:$S$500,0))="",INDEX(Stock!$C$5:$C$500,MATCH(3-Stock!$R$2+1,Stock!$S$5:$S$500,0))=0,INDEX(Stock!$C$5:$C$500,MATCH(3-Stock!$R$2+1,Stock!$S$5:$S$500,0))="0"),"",INDEX(Stock!$C$5:$C$500,MATCH(3-Stock!$R$2+1,Stock!$S$5:$S$500,0))),IF(OR(INDEX(Stock!$E$5:$E$500,MATCH(3-Stock!$R$2+1,Stock!$S$5:$S$500,0))="",INDEX(Stock!$E$5:$E$500,MATCH(3-Stock!$R$2+1,Stock!$S$5:$S$500,0))=0,INDEX(Stock!$E$5:$E$500,MATCH(3-Stock!$R$2+1,Stock!$S$5:$S$500,0))="0"),"",INDEX(Stock!$E$5:$E$500,MATCH(3-Stock!$R$2+1,Stock!$S$5:$S$500,0))))),""))</f>
        <v xml:space="preserve">    </v>
      </c>
    </row>
    <row r="4" spans="1:3" ht="29" customHeight="1" x14ac:dyDescent="0.15">
      <c r="A4" s="66" t="str">
        <f>IFERROR(IF(1&lt;Stock!$R$2,"",IF(OR(INDEX(Stock!$B$5:$B$500,MATCH(1-Stock!$R$2+1,Stock!$S$5:$S$500,0))="",INDEX(Stock!$B$5:$B$500,MATCH(1-Stock!$R$2+1,Stock!$S$5:$S$500,0))=0,INDEX(Stock!$B$5:$B$500,MATCH(1-Stock!$R$2+1,Stock!$S$5:$S$500,0))="0"),"",INDEX(Stock!$B$5:$B$500,MATCH(1-Stock!$R$2+1,Stock!$S$5:$S$500,0)))&amp;IF(AND(IF(OR(INDEX(Stock!$B$5:$B$500,MATCH(1-Stock!$R$2+1,Stock!$S$5:$S$500,0))="",INDEX(Stock!$B$5:$B$500,MATCH(1-Stock!$R$2+1,Stock!$S$5:$S$500,0))=0,INDEX(Stock!$B$5:$B$500,MATCH(1-Stock!$R$2+1,Stock!$S$5:$S$500,0))="0"),"",INDEX(Stock!$B$5:$B$500,MATCH(1-Stock!$R$2+1,Stock!$S$5:$S$500,0)))&lt;&gt;"",IF(OR(INDEX(Stock!$G$5:$G$500,MATCH(1-Stock!$R$2+1,Stock!$S$5:$S$500,0))="",INDEX(Stock!$G$5:$G$500,MATCH(1-Stock!$R$2+1,Stock!$S$5:$S$500,0))=0,INDEX(Stock!$G$5:$G$500,MATCH(1-Stock!$R$2+1,Stock!$S$5:$S$500,0))="0"),"",INDEX(Stock!$G$5:$G$500,MATCH(1-Stock!$R$2+1,Stock!$S$5:$S$500,0)))&lt;&gt;"")," · ","")&amp;IF(OR(INDEX(Stock!$G$5:$G$500,MATCH(1-Stock!$R$2+1,Stock!$S$5:$S$500,0))="",INDEX(Stock!$G$5:$G$500,MATCH(1-Stock!$R$2+1,Stock!$S$5:$S$500,0))=0,INDEX(Stock!$G$5:$G$500,MATCH(1-Stock!$R$2+1,Stock!$S$5:$S$500,0))="0"),"",INDEX(Stock!$G$5:$G$500,MATCH(1-Stock!$R$2+1,Stock!$S$5:$S$500,0)))),"")</f>
        <v/>
      </c>
      <c r="B4" s="66" t="str">
        <f>"  "&amp;(IFERROR(IF(2&lt;Stock!$R$2,"",IF(OR(INDEX(Stock!$B$5:$B$500,MATCH(2-Stock!$R$2+1,Stock!$S$5:$S$500,0))="",INDEX(Stock!$B$5:$B$500,MATCH(2-Stock!$R$2+1,Stock!$S$5:$S$500,0))=0,INDEX(Stock!$B$5:$B$500,MATCH(2-Stock!$R$2+1,Stock!$S$5:$S$500,0))="0"),"",INDEX(Stock!$B$5:$B$500,MATCH(2-Stock!$R$2+1,Stock!$S$5:$S$500,0)))&amp;IF(AND(IF(OR(INDEX(Stock!$B$5:$B$500,MATCH(2-Stock!$R$2+1,Stock!$S$5:$S$500,0))="",INDEX(Stock!$B$5:$B$500,MATCH(2-Stock!$R$2+1,Stock!$S$5:$S$500,0))=0,INDEX(Stock!$B$5:$B$500,MATCH(2-Stock!$R$2+1,Stock!$S$5:$S$500,0))="0"),"",INDEX(Stock!$B$5:$B$500,MATCH(2-Stock!$R$2+1,Stock!$S$5:$S$500,0)))&lt;&gt;"",IF(OR(INDEX(Stock!$G$5:$G$500,MATCH(2-Stock!$R$2+1,Stock!$S$5:$S$500,0))="",INDEX(Stock!$G$5:$G$500,MATCH(2-Stock!$R$2+1,Stock!$S$5:$S$500,0))=0,INDEX(Stock!$G$5:$G$500,MATCH(2-Stock!$R$2+1,Stock!$S$5:$S$500,0))="0"),"",INDEX(Stock!$G$5:$G$500,MATCH(2-Stock!$R$2+1,Stock!$S$5:$S$500,0)))&lt;&gt;"")," · ","")&amp;IF(OR(INDEX(Stock!$G$5:$G$500,MATCH(2-Stock!$R$2+1,Stock!$S$5:$S$500,0))="",INDEX(Stock!$G$5:$G$500,MATCH(2-Stock!$R$2+1,Stock!$S$5:$S$500,0))=0,INDEX(Stock!$G$5:$G$500,MATCH(2-Stock!$R$2+1,Stock!$S$5:$S$500,0))="0"),"",INDEX(Stock!$G$5:$G$500,MATCH(2-Stock!$R$2+1,Stock!$S$5:$S$500,0)))),""))</f>
        <v xml:space="preserve">  </v>
      </c>
      <c r="C4" s="66" t="str">
        <f>"    "&amp;(IFERROR(IF(3&lt;Stock!$R$2,"",IF(OR(INDEX(Stock!$B$5:$B$500,MATCH(3-Stock!$R$2+1,Stock!$S$5:$S$500,0))="",INDEX(Stock!$B$5:$B$500,MATCH(3-Stock!$R$2+1,Stock!$S$5:$S$500,0))=0,INDEX(Stock!$B$5:$B$500,MATCH(3-Stock!$R$2+1,Stock!$S$5:$S$500,0))="0"),"",INDEX(Stock!$B$5:$B$500,MATCH(3-Stock!$R$2+1,Stock!$S$5:$S$500,0)))&amp;IF(AND(IF(OR(INDEX(Stock!$B$5:$B$500,MATCH(3-Stock!$R$2+1,Stock!$S$5:$S$500,0))="",INDEX(Stock!$B$5:$B$500,MATCH(3-Stock!$R$2+1,Stock!$S$5:$S$500,0))=0,INDEX(Stock!$B$5:$B$500,MATCH(3-Stock!$R$2+1,Stock!$S$5:$S$500,0))="0"),"",INDEX(Stock!$B$5:$B$500,MATCH(3-Stock!$R$2+1,Stock!$S$5:$S$500,0)))&lt;&gt;"",IF(OR(INDEX(Stock!$G$5:$G$500,MATCH(3-Stock!$R$2+1,Stock!$S$5:$S$500,0))="",INDEX(Stock!$G$5:$G$500,MATCH(3-Stock!$R$2+1,Stock!$S$5:$S$500,0))=0,INDEX(Stock!$G$5:$G$500,MATCH(3-Stock!$R$2+1,Stock!$S$5:$S$500,0))="0"),"",INDEX(Stock!$G$5:$G$500,MATCH(3-Stock!$R$2+1,Stock!$S$5:$S$500,0)))&lt;&gt;"")," · ","")&amp;IF(OR(INDEX(Stock!$G$5:$G$500,MATCH(3-Stock!$R$2+1,Stock!$S$5:$S$500,0))="",INDEX(Stock!$G$5:$G$500,MATCH(3-Stock!$R$2+1,Stock!$S$5:$S$500,0))=0,INDEX(Stock!$G$5:$G$500,MATCH(3-Stock!$R$2+1,Stock!$S$5:$S$500,0))="0"),"",INDEX(Stock!$G$5:$G$500,MATCH(3-Stock!$R$2+1,Stock!$S$5:$S$500,0)))),""))</f>
        <v xml:space="preserve">    </v>
      </c>
    </row>
    <row r="5" spans="1:3" ht="22" customHeight="1" x14ac:dyDescent="0.2">
      <c r="A5" s="63" t="str">
        <f>IFERROR(IF(4&lt;Stock!$R$2,"",INDEX(Stock!$A$5:$A$500,MATCH(4-Stock!$R$2+1,Stock!$S$5:$S$500,0))),"")</f>
        <v/>
      </c>
      <c r="B5" s="63" t="str">
        <f>"  "&amp;(IFERROR(IF(5&lt;Stock!$R$2,"",INDEX(Stock!$A$5:$A$500,MATCH(5-Stock!$R$2+1,Stock!$S$5:$S$500,0))),""))</f>
        <v xml:space="preserve">  </v>
      </c>
      <c r="C5" s="63" t="str">
        <f>"    "&amp;(IFERROR(IF(6&lt;Stock!$R$2,"",INDEX(Stock!$A$5:$A$500,MATCH(6-Stock!$R$2+1,Stock!$S$5:$S$500,0))),""))</f>
        <v xml:space="preserve">    </v>
      </c>
    </row>
    <row r="6" spans="1:3" ht="28" customHeight="1" x14ac:dyDescent="0.15">
      <c r="A6" s="64" t="str">
        <f>IFERROR(IF(4&lt;Stock!$R$2,"",IF(IF(OR(INDEX(Stock!$D$5:$D$500,MATCH(4-Stock!$R$2+1,Stock!$S$5:$S$500,0))="",INDEX(Stock!$D$5:$D$500,MATCH(4-Stock!$R$2+1,Stock!$S$5:$S$500,0))=0,INDEX(Stock!$D$5:$D$500,MATCH(4-Stock!$R$2+1,Stock!$S$5:$S$500,0))="0"),"",INDEX(Stock!$D$5:$D$500,MATCH(4-Stock!$R$2+1,Stock!$S$5:$S$500,0)))&lt;&gt;"",IF(OR(INDEX(Stock!$D$5:$D$500,MATCH(4-Stock!$R$2+1,Stock!$S$5:$S$500,0))="",INDEX(Stock!$D$5:$D$500,MATCH(4-Stock!$R$2+1,Stock!$S$5:$S$500,0))=0,INDEX(Stock!$D$5:$D$500,MATCH(4-Stock!$R$2+1,Stock!$S$5:$S$500,0))="0"),"",INDEX(Stock!$D$5:$D$500,MATCH(4-Stock!$R$2+1,Stock!$S$5:$S$500,0))),IF(OR(INDEX(Stock!$C$5:$C$500,MATCH(4-Stock!$R$2+1,Stock!$S$5:$S$500,0))="",INDEX(Stock!$C$5:$C$500,MATCH(4-Stock!$R$2+1,Stock!$S$5:$S$500,0))=0,INDEX(Stock!$C$5:$C$500,MATCH(4-Stock!$R$2+1,Stock!$S$5:$S$500,0))="0"),"",INDEX(Stock!$C$5:$C$500,MATCH(4-Stock!$R$2+1,Stock!$S$5:$S$500,0))))),"")</f>
        <v/>
      </c>
      <c r="B6" s="64" t="str">
        <f>"  "&amp;(IFERROR(IF(5&lt;Stock!$R$2,"",IF(IF(OR(INDEX(Stock!$D$5:$D$500,MATCH(5-Stock!$R$2+1,Stock!$S$5:$S$500,0))="",INDEX(Stock!$D$5:$D$500,MATCH(5-Stock!$R$2+1,Stock!$S$5:$S$500,0))=0,INDEX(Stock!$D$5:$D$500,MATCH(5-Stock!$R$2+1,Stock!$S$5:$S$500,0))="0"),"",INDEX(Stock!$D$5:$D$500,MATCH(5-Stock!$R$2+1,Stock!$S$5:$S$500,0)))&lt;&gt;"",IF(OR(INDEX(Stock!$D$5:$D$500,MATCH(5-Stock!$R$2+1,Stock!$S$5:$S$500,0))="",INDEX(Stock!$D$5:$D$500,MATCH(5-Stock!$R$2+1,Stock!$S$5:$S$500,0))=0,INDEX(Stock!$D$5:$D$500,MATCH(5-Stock!$R$2+1,Stock!$S$5:$S$500,0))="0"),"",INDEX(Stock!$D$5:$D$500,MATCH(5-Stock!$R$2+1,Stock!$S$5:$S$500,0))),IF(OR(INDEX(Stock!$C$5:$C$500,MATCH(5-Stock!$R$2+1,Stock!$S$5:$S$500,0))="",INDEX(Stock!$C$5:$C$500,MATCH(5-Stock!$R$2+1,Stock!$S$5:$S$500,0))=0,INDEX(Stock!$C$5:$C$500,MATCH(5-Stock!$R$2+1,Stock!$S$5:$S$500,0))="0"),"",INDEX(Stock!$C$5:$C$500,MATCH(5-Stock!$R$2+1,Stock!$S$5:$S$500,0))))),""))</f>
        <v xml:space="preserve">  </v>
      </c>
      <c r="C6" s="64" t="str">
        <f>"    "&amp;(IFERROR(IF(6&lt;Stock!$R$2,"",IF(IF(OR(INDEX(Stock!$D$5:$D$500,MATCH(6-Stock!$R$2+1,Stock!$S$5:$S$500,0))="",INDEX(Stock!$D$5:$D$500,MATCH(6-Stock!$R$2+1,Stock!$S$5:$S$500,0))=0,INDEX(Stock!$D$5:$D$500,MATCH(6-Stock!$R$2+1,Stock!$S$5:$S$500,0))="0"),"",INDEX(Stock!$D$5:$D$500,MATCH(6-Stock!$R$2+1,Stock!$S$5:$S$500,0)))&lt;&gt;"",IF(OR(INDEX(Stock!$D$5:$D$500,MATCH(6-Stock!$R$2+1,Stock!$S$5:$S$500,0))="",INDEX(Stock!$D$5:$D$500,MATCH(6-Stock!$R$2+1,Stock!$S$5:$S$500,0))=0,INDEX(Stock!$D$5:$D$500,MATCH(6-Stock!$R$2+1,Stock!$S$5:$S$500,0))="0"),"",INDEX(Stock!$D$5:$D$500,MATCH(6-Stock!$R$2+1,Stock!$S$5:$S$500,0))),IF(OR(INDEX(Stock!$C$5:$C$500,MATCH(6-Stock!$R$2+1,Stock!$S$5:$S$500,0))="",INDEX(Stock!$C$5:$C$500,MATCH(6-Stock!$R$2+1,Stock!$S$5:$S$500,0))=0,INDEX(Stock!$C$5:$C$500,MATCH(6-Stock!$R$2+1,Stock!$S$5:$S$500,0))="0"),"",INDEX(Stock!$C$5:$C$500,MATCH(6-Stock!$R$2+1,Stock!$S$5:$S$500,0))))),""))</f>
        <v xml:space="preserve">    </v>
      </c>
    </row>
    <row r="7" spans="1:3" ht="26" customHeight="1" x14ac:dyDescent="0.15">
      <c r="A7" s="65" t="str">
        <f>IFERROR(IF(4&lt;Stock!$R$2,"",IF(IF(OR(INDEX(Stock!$D$5:$D$500,MATCH(4-Stock!$R$2+1,Stock!$S$5:$S$500,0))="",INDEX(Stock!$D$5:$D$500,MATCH(4-Stock!$R$2+1,Stock!$S$5:$S$500,0))=0,INDEX(Stock!$D$5:$D$500,MATCH(4-Stock!$R$2+1,Stock!$S$5:$S$500,0))="0"),"",INDEX(Stock!$D$5:$D$500,MATCH(4-Stock!$R$2+1,Stock!$S$5:$S$500,0)))&lt;&gt;"",IF(OR(INDEX(Stock!$C$5:$C$500,MATCH(4-Stock!$R$2+1,Stock!$S$5:$S$500,0))="",INDEX(Stock!$C$5:$C$500,MATCH(4-Stock!$R$2+1,Stock!$S$5:$S$500,0))=0,INDEX(Stock!$C$5:$C$500,MATCH(4-Stock!$R$2+1,Stock!$S$5:$S$500,0))="0"),"",INDEX(Stock!$C$5:$C$500,MATCH(4-Stock!$R$2+1,Stock!$S$5:$S$500,0))),IF(OR(INDEX(Stock!$E$5:$E$500,MATCH(4-Stock!$R$2+1,Stock!$S$5:$S$500,0))="",INDEX(Stock!$E$5:$E$500,MATCH(4-Stock!$R$2+1,Stock!$S$5:$S$500,0))=0,INDEX(Stock!$E$5:$E$500,MATCH(4-Stock!$R$2+1,Stock!$S$5:$S$500,0))="0"),"",INDEX(Stock!$E$5:$E$500,MATCH(4-Stock!$R$2+1,Stock!$S$5:$S$500,0))))),"")</f>
        <v/>
      </c>
      <c r="B7" s="65" t="str">
        <f>"  "&amp;(IFERROR(IF(5&lt;Stock!$R$2,"",IF(IF(OR(INDEX(Stock!$D$5:$D$500,MATCH(5-Stock!$R$2+1,Stock!$S$5:$S$500,0))="",INDEX(Stock!$D$5:$D$500,MATCH(5-Stock!$R$2+1,Stock!$S$5:$S$500,0))=0,INDEX(Stock!$D$5:$D$500,MATCH(5-Stock!$R$2+1,Stock!$S$5:$S$500,0))="0"),"",INDEX(Stock!$D$5:$D$500,MATCH(5-Stock!$R$2+1,Stock!$S$5:$S$500,0)))&lt;&gt;"",IF(OR(INDEX(Stock!$C$5:$C$500,MATCH(5-Stock!$R$2+1,Stock!$S$5:$S$500,0))="",INDEX(Stock!$C$5:$C$500,MATCH(5-Stock!$R$2+1,Stock!$S$5:$S$500,0))=0,INDEX(Stock!$C$5:$C$500,MATCH(5-Stock!$R$2+1,Stock!$S$5:$S$500,0))="0"),"",INDEX(Stock!$C$5:$C$500,MATCH(5-Stock!$R$2+1,Stock!$S$5:$S$500,0))),IF(OR(INDEX(Stock!$E$5:$E$500,MATCH(5-Stock!$R$2+1,Stock!$S$5:$S$500,0))="",INDEX(Stock!$E$5:$E$500,MATCH(5-Stock!$R$2+1,Stock!$S$5:$S$500,0))=0,INDEX(Stock!$E$5:$E$500,MATCH(5-Stock!$R$2+1,Stock!$S$5:$S$500,0))="0"),"",INDEX(Stock!$E$5:$E$500,MATCH(5-Stock!$R$2+1,Stock!$S$5:$S$500,0))))),""))</f>
        <v xml:space="preserve">  </v>
      </c>
      <c r="C7" s="65" t="str">
        <f>"    "&amp;(IFERROR(IF(6&lt;Stock!$R$2,"",IF(IF(OR(INDEX(Stock!$D$5:$D$500,MATCH(6-Stock!$R$2+1,Stock!$S$5:$S$500,0))="",INDEX(Stock!$D$5:$D$500,MATCH(6-Stock!$R$2+1,Stock!$S$5:$S$500,0))=0,INDEX(Stock!$D$5:$D$500,MATCH(6-Stock!$R$2+1,Stock!$S$5:$S$500,0))="0"),"",INDEX(Stock!$D$5:$D$500,MATCH(6-Stock!$R$2+1,Stock!$S$5:$S$500,0)))&lt;&gt;"",IF(OR(INDEX(Stock!$C$5:$C$500,MATCH(6-Stock!$R$2+1,Stock!$S$5:$S$500,0))="",INDEX(Stock!$C$5:$C$500,MATCH(6-Stock!$R$2+1,Stock!$S$5:$S$500,0))=0,INDEX(Stock!$C$5:$C$500,MATCH(6-Stock!$R$2+1,Stock!$S$5:$S$500,0))="0"),"",INDEX(Stock!$C$5:$C$500,MATCH(6-Stock!$R$2+1,Stock!$S$5:$S$500,0))),IF(OR(INDEX(Stock!$E$5:$E$500,MATCH(6-Stock!$R$2+1,Stock!$S$5:$S$500,0))="",INDEX(Stock!$E$5:$E$500,MATCH(6-Stock!$R$2+1,Stock!$S$5:$S$500,0))=0,INDEX(Stock!$E$5:$E$500,MATCH(6-Stock!$R$2+1,Stock!$S$5:$S$500,0))="0"),"",INDEX(Stock!$E$5:$E$500,MATCH(6-Stock!$R$2+1,Stock!$S$5:$S$500,0))))),""))</f>
        <v xml:space="preserve">    </v>
      </c>
    </row>
    <row r="8" spans="1:3" ht="29" customHeight="1" x14ac:dyDescent="0.15">
      <c r="A8" s="66" t="str">
        <f>IFERROR(IF(4&lt;Stock!$R$2,"",IF(OR(INDEX(Stock!$B$5:$B$500,MATCH(4-Stock!$R$2+1,Stock!$S$5:$S$500,0))="",INDEX(Stock!$B$5:$B$500,MATCH(4-Stock!$R$2+1,Stock!$S$5:$S$500,0))=0,INDEX(Stock!$B$5:$B$500,MATCH(4-Stock!$R$2+1,Stock!$S$5:$S$500,0))="0"),"",INDEX(Stock!$B$5:$B$500,MATCH(4-Stock!$R$2+1,Stock!$S$5:$S$500,0)))&amp;IF(AND(IF(OR(INDEX(Stock!$B$5:$B$500,MATCH(4-Stock!$R$2+1,Stock!$S$5:$S$500,0))="",INDEX(Stock!$B$5:$B$500,MATCH(4-Stock!$R$2+1,Stock!$S$5:$S$500,0))=0,INDEX(Stock!$B$5:$B$500,MATCH(4-Stock!$R$2+1,Stock!$S$5:$S$500,0))="0"),"",INDEX(Stock!$B$5:$B$500,MATCH(4-Stock!$R$2+1,Stock!$S$5:$S$500,0)))&lt;&gt;"",IF(OR(INDEX(Stock!$G$5:$G$500,MATCH(4-Stock!$R$2+1,Stock!$S$5:$S$500,0))="",INDEX(Stock!$G$5:$G$500,MATCH(4-Stock!$R$2+1,Stock!$S$5:$S$500,0))=0,INDEX(Stock!$G$5:$G$500,MATCH(4-Stock!$R$2+1,Stock!$S$5:$S$500,0))="0"),"",INDEX(Stock!$G$5:$G$500,MATCH(4-Stock!$R$2+1,Stock!$S$5:$S$500,0)))&lt;&gt;"")," · ","")&amp;IF(OR(INDEX(Stock!$G$5:$G$500,MATCH(4-Stock!$R$2+1,Stock!$S$5:$S$500,0))="",INDEX(Stock!$G$5:$G$500,MATCH(4-Stock!$R$2+1,Stock!$S$5:$S$500,0))=0,INDEX(Stock!$G$5:$G$500,MATCH(4-Stock!$R$2+1,Stock!$S$5:$S$500,0))="0"),"",INDEX(Stock!$G$5:$G$500,MATCH(4-Stock!$R$2+1,Stock!$S$5:$S$500,0)))),"")</f>
        <v/>
      </c>
      <c r="B8" s="66" t="str">
        <f>"  "&amp;(IFERROR(IF(5&lt;Stock!$R$2,"",IF(OR(INDEX(Stock!$B$5:$B$500,MATCH(5-Stock!$R$2+1,Stock!$S$5:$S$500,0))="",INDEX(Stock!$B$5:$B$500,MATCH(5-Stock!$R$2+1,Stock!$S$5:$S$500,0))=0,INDEX(Stock!$B$5:$B$500,MATCH(5-Stock!$R$2+1,Stock!$S$5:$S$500,0))="0"),"",INDEX(Stock!$B$5:$B$500,MATCH(5-Stock!$R$2+1,Stock!$S$5:$S$500,0)))&amp;IF(AND(IF(OR(INDEX(Stock!$B$5:$B$500,MATCH(5-Stock!$R$2+1,Stock!$S$5:$S$500,0))="",INDEX(Stock!$B$5:$B$500,MATCH(5-Stock!$R$2+1,Stock!$S$5:$S$500,0))=0,INDEX(Stock!$B$5:$B$500,MATCH(5-Stock!$R$2+1,Stock!$S$5:$S$500,0))="0"),"",INDEX(Stock!$B$5:$B$500,MATCH(5-Stock!$R$2+1,Stock!$S$5:$S$500,0)))&lt;&gt;"",IF(OR(INDEX(Stock!$G$5:$G$500,MATCH(5-Stock!$R$2+1,Stock!$S$5:$S$500,0))="",INDEX(Stock!$G$5:$G$500,MATCH(5-Stock!$R$2+1,Stock!$S$5:$S$500,0))=0,INDEX(Stock!$G$5:$G$500,MATCH(5-Stock!$R$2+1,Stock!$S$5:$S$500,0))="0"),"",INDEX(Stock!$G$5:$G$500,MATCH(5-Stock!$R$2+1,Stock!$S$5:$S$500,0)))&lt;&gt;"")," · ","")&amp;IF(OR(INDEX(Stock!$G$5:$G$500,MATCH(5-Stock!$R$2+1,Stock!$S$5:$S$500,0))="",INDEX(Stock!$G$5:$G$500,MATCH(5-Stock!$R$2+1,Stock!$S$5:$S$500,0))=0,INDEX(Stock!$G$5:$G$500,MATCH(5-Stock!$R$2+1,Stock!$S$5:$S$500,0))="0"),"",INDEX(Stock!$G$5:$G$500,MATCH(5-Stock!$R$2+1,Stock!$S$5:$S$500,0)))),""))</f>
        <v xml:space="preserve">  </v>
      </c>
      <c r="C8" s="66" t="str">
        <f>"    "&amp;(IFERROR(IF(6&lt;Stock!$R$2,"",IF(OR(INDEX(Stock!$B$5:$B$500,MATCH(6-Stock!$R$2+1,Stock!$S$5:$S$500,0))="",INDEX(Stock!$B$5:$B$500,MATCH(6-Stock!$R$2+1,Stock!$S$5:$S$500,0))=0,INDEX(Stock!$B$5:$B$500,MATCH(6-Stock!$R$2+1,Stock!$S$5:$S$500,0))="0"),"",INDEX(Stock!$B$5:$B$500,MATCH(6-Stock!$R$2+1,Stock!$S$5:$S$500,0)))&amp;IF(AND(IF(OR(INDEX(Stock!$B$5:$B$500,MATCH(6-Stock!$R$2+1,Stock!$S$5:$S$500,0))="",INDEX(Stock!$B$5:$B$500,MATCH(6-Stock!$R$2+1,Stock!$S$5:$S$500,0))=0,INDEX(Stock!$B$5:$B$500,MATCH(6-Stock!$R$2+1,Stock!$S$5:$S$500,0))="0"),"",INDEX(Stock!$B$5:$B$500,MATCH(6-Stock!$R$2+1,Stock!$S$5:$S$500,0)))&lt;&gt;"",IF(OR(INDEX(Stock!$G$5:$G$500,MATCH(6-Stock!$R$2+1,Stock!$S$5:$S$500,0))="",INDEX(Stock!$G$5:$G$500,MATCH(6-Stock!$R$2+1,Stock!$S$5:$S$500,0))=0,INDEX(Stock!$G$5:$G$500,MATCH(6-Stock!$R$2+1,Stock!$S$5:$S$500,0))="0"),"",INDEX(Stock!$G$5:$G$500,MATCH(6-Stock!$R$2+1,Stock!$S$5:$S$500,0)))&lt;&gt;"")," · ","")&amp;IF(OR(INDEX(Stock!$G$5:$G$500,MATCH(6-Stock!$R$2+1,Stock!$S$5:$S$500,0))="",INDEX(Stock!$G$5:$G$500,MATCH(6-Stock!$R$2+1,Stock!$S$5:$S$500,0))=0,INDEX(Stock!$G$5:$G$500,MATCH(6-Stock!$R$2+1,Stock!$S$5:$S$500,0))="0"),"",INDEX(Stock!$G$5:$G$500,MATCH(6-Stock!$R$2+1,Stock!$S$5:$S$500,0)))),""))</f>
        <v xml:space="preserve">    </v>
      </c>
    </row>
    <row r="9" spans="1:3" ht="22" customHeight="1" x14ac:dyDescent="0.2">
      <c r="A9" s="63" t="str">
        <f>IFERROR(IF(7&lt;Stock!$R$2,"",INDEX(Stock!$A$5:$A$500,MATCH(7-Stock!$R$2+1,Stock!$S$5:$S$500,0))),"")</f>
        <v/>
      </c>
      <c r="B9" s="63" t="str">
        <f>"  "&amp;(IFERROR(IF(8&lt;Stock!$R$2,"",INDEX(Stock!$A$5:$A$500,MATCH(8-Stock!$R$2+1,Stock!$S$5:$S$500,0))),""))</f>
        <v xml:space="preserve">  </v>
      </c>
      <c r="C9" s="63" t="str">
        <f>"    "&amp;(IFERROR(IF(9&lt;Stock!$R$2,"",INDEX(Stock!$A$5:$A$500,MATCH(9-Stock!$R$2+1,Stock!$S$5:$S$500,0))),""))</f>
        <v xml:space="preserve">    </v>
      </c>
    </row>
    <row r="10" spans="1:3" ht="28" customHeight="1" x14ac:dyDescent="0.15">
      <c r="A10" s="64" t="str">
        <f>IFERROR(IF(7&lt;Stock!$R$2,"",IF(IF(OR(INDEX(Stock!$D$5:$D$500,MATCH(7-Stock!$R$2+1,Stock!$S$5:$S$500,0))="",INDEX(Stock!$D$5:$D$500,MATCH(7-Stock!$R$2+1,Stock!$S$5:$S$500,0))=0,INDEX(Stock!$D$5:$D$500,MATCH(7-Stock!$R$2+1,Stock!$S$5:$S$500,0))="0"),"",INDEX(Stock!$D$5:$D$500,MATCH(7-Stock!$R$2+1,Stock!$S$5:$S$500,0)))&lt;&gt;"",IF(OR(INDEX(Stock!$D$5:$D$500,MATCH(7-Stock!$R$2+1,Stock!$S$5:$S$500,0))="",INDEX(Stock!$D$5:$D$500,MATCH(7-Stock!$R$2+1,Stock!$S$5:$S$500,0))=0,INDEX(Stock!$D$5:$D$500,MATCH(7-Stock!$R$2+1,Stock!$S$5:$S$500,0))="0"),"",INDEX(Stock!$D$5:$D$500,MATCH(7-Stock!$R$2+1,Stock!$S$5:$S$500,0))),IF(OR(INDEX(Stock!$C$5:$C$500,MATCH(7-Stock!$R$2+1,Stock!$S$5:$S$500,0))="",INDEX(Stock!$C$5:$C$500,MATCH(7-Stock!$R$2+1,Stock!$S$5:$S$500,0))=0,INDEX(Stock!$C$5:$C$500,MATCH(7-Stock!$R$2+1,Stock!$S$5:$S$500,0))="0"),"",INDEX(Stock!$C$5:$C$500,MATCH(7-Stock!$R$2+1,Stock!$S$5:$S$500,0))))),"")</f>
        <v/>
      </c>
      <c r="B10" s="64" t="str">
        <f>"  "&amp;(IFERROR(IF(8&lt;Stock!$R$2,"",IF(IF(OR(INDEX(Stock!$D$5:$D$500,MATCH(8-Stock!$R$2+1,Stock!$S$5:$S$500,0))="",INDEX(Stock!$D$5:$D$500,MATCH(8-Stock!$R$2+1,Stock!$S$5:$S$500,0))=0,INDEX(Stock!$D$5:$D$500,MATCH(8-Stock!$R$2+1,Stock!$S$5:$S$500,0))="0"),"",INDEX(Stock!$D$5:$D$500,MATCH(8-Stock!$R$2+1,Stock!$S$5:$S$500,0)))&lt;&gt;"",IF(OR(INDEX(Stock!$D$5:$D$500,MATCH(8-Stock!$R$2+1,Stock!$S$5:$S$500,0))="",INDEX(Stock!$D$5:$D$500,MATCH(8-Stock!$R$2+1,Stock!$S$5:$S$500,0))=0,INDEX(Stock!$D$5:$D$500,MATCH(8-Stock!$R$2+1,Stock!$S$5:$S$500,0))="0"),"",INDEX(Stock!$D$5:$D$500,MATCH(8-Stock!$R$2+1,Stock!$S$5:$S$500,0))),IF(OR(INDEX(Stock!$C$5:$C$500,MATCH(8-Stock!$R$2+1,Stock!$S$5:$S$500,0))="",INDEX(Stock!$C$5:$C$500,MATCH(8-Stock!$R$2+1,Stock!$S$5:$S$500,0))=0,INDEX(Stock!$C$5:$C$500,MATCH(8-Stock!$R$2+1,Stock!$S$5:$S$500,0))="0"),"",INDEX(Stock!$C$5:$C$500,MATCH(8-Stock!$R$2+1,Stock!$S$5:$S$500,0))))),""))</f>
        <v xml:space="preserve">  </v>
      </c>
      <c r="C10" s="64" t="str">
        <f>"    "&amp;(IFERROR(IF(9&lt;Stock!$R$2,"",IF(IF(OR(INDEX(Stock!$D$5:$D$500,MATCH(9-Stock!$R$2+1,Stock!$S$5:$S$500,0))="",INDEX(Stock!$D$5:$D$500,MATCH(9-Stock!$R$2+1,Stock!$S$5:$S$500,0))=0,INDEX(Stock!$D$5:$D$500,MATCH(9-Stock!$R$2+1,Stock!$S$5:$S$500,0))="0"),"",INDEX(Stock!$D$5:$D$500,MATCH(9-Stock!$R$2+1,Stock!$S$5:$S$500,0)))&lt;&gt;"",IF(OR(INDEX(Stock!$D$5:$D$500,MATCH(9-Stock!$R$2+1,Stock!$S$5:$S$500,0))="",INDEX(Stock!$D$5:$D$500,MATCH(9-Stock!$R$2+1,Stock!$S$5:$S$500,0))=0,INDEX(Stock!$D$5:$D$500,MATCH(9-Stock!$R$2+1,Stock!$S$5:$S$500,0))="0"),"",INDEX(Stock!$D$5:$D$500,MATCH(9-Stock!$R$2+1,Stock!$S$5:$S$500,0))),IF(OR(INDEX(Stock!$C$5:$C$500,MATCH(9-Stock!$R$2+1,Stock!$S$5:$S$500,0))="",INDEX(Stock!$C$5:$C$500,MATCH(9-Stock!$R$2+1,Stock!$S$5:$S$500,0))=0,INDEX(Stock!$C$5:$C$500,MATCH(9-Stock!$R$2+1,Stock!$S$5:$S$500,0))="0"),"",INDEX(Stock!$C$5:$C$500,MATCH(9-Stock!$R$2+1,Stock!$S$5:$S$500,0))))),""))</f>
        <v xml:space="preserve">    </v>
      </c>
    </row>
    <row r="11" spans="1:3" ht="26" customHeight="1" x14ac:dyDescent="0.15">
      <c r="A11" s="65" t="str">
        <f>IFERROR(IF(7&lt;Stock!$R$2,"",IF(IF(OR(INDEX(Stock!$D$5:$D$500,MATCH(7-Stock!$R$2+1,Stock!$S$5:$S$500,0))="",INDEX(Stock!$D$5:$D$500,MATCH(7-Stock!$R$2+1,Stock!$S$5:$S$500,0))=0,INDEX(Stock!$D$5:$D$500,MATCH(7-Stock!$R$2+1,Stock!$S$5:$S$500,0))="0"),"",INDEX(Stock!$D$5:$D$500,MATCH(7-Stock!$R$2+1,Stock!$S$5:$S$500,0)))&lt;&gt;"",IF(OR(INDEX(Stock!$C$5:$C$500,MATCH(7-Stock!$R$2+1,Stock!$S$5:$S$500,0))="",INDEX(Stock!$C$5:$C$500,MATCH(7-Stock!$R$2+1,Stock!$S$5:$S$500,0))=0,INDEX(Stock!$C$5:$C$500,MATCH(7-Stock!$R$2+1,Stock!$S$5:$S$500,0))="0"),"",INDEX(Stock!$C$5:$C$500,MATCH(7-Stock!$R$2+1,Stock!$S$5:$S$500,0))),IF(OR(INDEX(Stock!$E$5:$E$500,MATCH(7-Stock!$R$2+1,Stock!$S$5:$S$500,0))="",INDEX(Stock!$E$5:$E$500,MATCH(7-Stock!$R$2+1,Stock!$S$5:$S$500,0))=0,INDEX(Stock!$E$5:$E$500,MATCH(7-Stock!$R$2+1,Stock!$S$5:$S$500,0))="0"),"",INDEX(Stock!$E$5:$E$500,MATCH(7-Stock!$R$2+1,Stock!$S$5:$S$500,0))))),"")</f>
        <v/>
      </c>
      <c r="B11" s="65" t="str">
        <f>"  "&amp;(IFERROR(IF(8&lt;Stock!$R$2,"",IF(IF(OR(INDEX(Stock!$D$5:$D$500,MATCH(8-Stock!$R$2+1,Stock!$S$5:$S$500,0))="",INDEX(Stock!$D$5:$D$500,MATCH(8-Stock!$R$2+1,Stock!$S$5:$S$500,0))=0,INDEX(Stock!$D$5:$D$500,MATCH(8-Stock!$R$2+1,Stock!$S$5:$S$500,0))="0"),"",INDEX(Stock!$D$5:$D$500,MATCH(8-Stock!$R$2+1,Stock!$S$5:$S$500,0)))&lt;&gt;"",IF(OR(INDEX(Stock!$C$5:$C$500,MATCH(8-Stock!$R$2+1,Stock!$S$5:$S$500,0))="",INDEX(Stock!$C$5:$C$500,MATCH(8-Stock!$R$2+1,Stock!$S$5:$S$500,0))=0,INDEX(Stock!$C$5:$C$500,MATCH(8-Stock!$R$2+1,Stock!$S$5:$S$500,0))="0"),"",INDEX(Stock!$C$5:$C$500,MATCH(8-Stock!$R$2+1,Stock!$S$5:$S$500,0))),IF(OR(INDEX(Stock!$E$5:$E$500,MATCH(8-Stock!$R$2+1,Stock!$S$5:$S$500,0))="",INDEX(Stock!$E$5:$E$500,MATCH(8-Stock!$R$2+1,Stock!$S$5:$S$500,0))=0,INDEX(Stock!$E$5:$E$500,MATCH(8-Stock!$R$2+1,Stock!$S$5:$S$500,0))="0"),"",INDEX(Stock!$E$5:$E$500,MATCH(8-Stock!$R$2+1,Stock!$S$5:$S$500,0))))),""))</f>
        <v xml:space="preserve">  </v>
      </c>
      <c r="C11" s="65" t="str">
        <f>"    "&amp;(IFERROR(IF(9&lt;Stock!$R$2,"",IF(IF(OR(INDEX(Stock!$D$5:$D$500,MATCH(9-Stock!$R$2+1,Stock!$S$5:$S$500,0))="",INDEX(Stock!$D$5:$D$500,MATCH(9-Stock!$R$2+1,Stock!$S$5:$S$500,0))=0,INDEX(Stock!$D$5:$D$500,MATCH(9-Stock!$R$2+1,Stock!$S$5:$S$500,0))="0"),"",INDEX(Stock!$D$5:$D$500,MATCH(9-Stock!$R$2+1,Stock!$S$5:$S$500,0)))&lt;&gt;"",IF(OR(INDEX(Stock!$C$5:$C$500,MATCH(9-Stock!$R$2+1,Stock!$S$5:$S$500,0))="",INDEX(Stock!$C$5:$C$500,MATCH(9-Stock!$R$2+1,Stock!$S$5:$S$500,0))=0,INDEX(Stock!$C$5:$C$500,MATCH(9-Stock!$R$2+1,Stock!$S$5:$S$500,0))="0"),"",INDEX(Stock!$C$5:$C$500,MATCH(9-Stock!$R$2+1,Stock!$S$5:$S$500,0))),IF(OR(INDEX(Stock!$E$5:$E$500,MATCH(9-Stock!$R$2+1,Stock!$S$5:$S$500,0))="",INDEX(Stock!$E$5:$E$500,MATCH(9-Stock!$R$2+1,Stock!$S$5:$S$500,0))=0,INDEX(Stock!$E$5:$E$500,MATCH(9-Stock!$R$2+1,Stock!$S$5:$S$500,0))="0"),"",INDEX(Stock!$E$5:$E$500,MATCH(9-Stock!$R$2+1,Stock!$S$5:$S$500,0))))),""))</f>
        <v xml:space="preserve">    </v>
      </c>
    </row>
    <row r="12" spans="1:3" ht="29" customHeight="1" x14ac:dyDescent="0.15">
      <c r="A12" s="66" t="str">
        <f>IFERROR(IF(7&lt;Stock!$R$2,"",IF(OR(INDEX(Stock!$B$5:$B$500,MATCH(7-Stock!$R$2+1,Stock!$S$5:$S$500,0))="",INDEX(Stock!$B$5:$B$500,MATCH(7-Stock!$R$2+1,Stock!$S$5:$S$500,0))=0,INDEX(Stock!$B$5:$B$500,MATCH(7-Stock!$R$2+1,Stock!$S$5:$S$500,0))="0"),"",INDEX(Stock!$B$5:$B$500,MATCH(7-Stock!$R$2+1,Stock!$S$5:$S$500,0)))&amp;IF(AND(IF(OR(INDEX(Stock!$B$5:$B$500,MATCH(7-Stock!$R$2+1,Stock!$S$5:$S$500,0))="",INDEX(Stock!$B$5:$B$500,MATCH(7-Stock!$R$2+1,Stock!$S$5:$S$500,0))=0,INDEX(Stock!$B$5:$B$500,MATCH(7-Stock!$R$2+1,Stock!$S$5:$S$500,0))="0"),"",INDEX(Stock!$B$5:$B$500,MATCH(7-Stock!$R$2+1,Stock!$S$5:$S$500,0)))&lt;&gt;"",IF(OR(INDEX(Stock!$G$5:$G$500,MATCH(7-Stock!$R$2+1,Stock!$S$5:$S$500,0))="",INDEX(Stock!$G$5:$G$500,MATCH(7-Stock!$R$2+1,Stock!$S$5:$S$500,0))=0,INDEX(Stock!$G$5:$G$500,MATCH(7-Stock!$R$2+1,Stock!$S$5:$S$500,0))="0"),"",INDEX(Stock!$G$5:$G$500,MATCH(7-Stock!$R$2+1,Stock!$S$5:$S$500,0)))&lt;&gt;"")," · ","")&amp;IF(OR(INDEX(Stock!$G$5:$G$500,MATCH(7-Stock!$R$2+1,Stock!$S$5:$S$500,0))="",INDEX(Stock!$G$5:$G$500,MATCH(7-Stock!$R$2+1,Stock!$S$5:$S$500,0))=0,INDEX(Stock!$G$5:$G$500,MATCH(7-Stock!$R$2+1,Stock!$S$5:$S$500,0))="0"),"",INDEX(Stock!$G$5:$G$500,MATCH(7-Stock!$R$2+1,Stock!$S$5:$S$500,0)))),"")</f>
        <v/>
      </c>
      <c r="B12" s="66" t="str">
        <f>"  "&amp;(IFERROR(IF(8&lt;Stock!$R$2,"",IF(OR(INDEX(Stock!$B$5:$B$500,MATCH(8-Stock!$R$2+1,Stock!$S$5:$S$500,0))="",INDEX(Stock!$B$5:$B$500,MATCH(8-Stock!$R$2+1,Stock!$S$5:$S$500,0))=0,INDEX(Stock!$B$5:$B$500,MATCH(8-Stock!$R$2+1,Stock!$S$5:$S$500,0))="0"),"",INDEX(Stock!$B$5:$B$500,MATCH(8-Stock!$R$2+1,Stock!$S$5:$S$500,0)))&amp;IF(AND(IF(OR(INDEX(Stock!$B$5:$B$500,MATCH(8-Stock!$R$2+1,Stock!$S$5:$S$500,0))="",INDEX(Stock!$B$5:$B$500,MATCH(8-Stock!$R$2+1,Stock!$S$5:$S$500,0))=0,INDEX(Stock!$B$5:$B$500,MATCH(8-Stock!$R$2+1,Stock!$S$5:$S$500,0))="0"),"",INDEX(Stock!$B$5:$B$500,MATCH(8-Stock!$R$2+1,Stock!$S$5:$S$500,0)))&lt;&gt;"",IF(OR(INDEX(Stock!$G$5:$G$500,MATCH(8-Stock!$R$2+1,Stock!$S$5:$S$500,0))="",INDEX(Stock!$G$5:$G$500,MATCH(8-Stock!$R$2+1,Stock!$S$5:$S$500,0))=0,INDEX(Stock!$G$5:$G$500,MATCH(8-Stock!$R$2+1,Stock!$S$5:$S$500,0))="0"),"",INDEX(Stock!$G$5:$G$500,MATCH(8-Stock!$R$2+1,Stock!$S$5:$S$500,0)))&lt;&gt;"")," · ","")&amp;IF(OR(INDEX(Stock!$G$5:$G$500,MATCH(8-Stock!$R$2+1,Stock!$S$5:$S$500,0))="",INDEX(Stock!$G$5:$G$500,MATCH(8-Stock!$R$2+1,Stock!$S$5:$S$500,0))=0,INDEX(Stock!$G$5:$G$500,MATCH(8-Stock!$R$2+1,Stock!$S$5:$S$500,0))="0"),"",INDEX(Stock!$G$5:$G$500,MATCH(8-Stock!$R$2+1,Stock!$S$5:$S$500,0)))),""))</f>
        <v xml:space="preserve">  </v>
      </c>
      <c r="C12" s="66" t="str">
        <f>"    "&amp;(IFERROR(IF(9&lt;Stock!$R$2,"",IF(OR(INDEX(Stock!$B$5:$B$500,MATCH(9-Stock!$R$2+1,Stock!$S$5:$S$500,0))="",INDEX(Stock!$B$5:$B$500,MATCH(9-Stock!$R$2+1,Stock!$S$5:$S$500,0))=0,INDEX(Stock!$B$5:$B$500,MATCH(9-Stock!$R$2+1,Stock!$S$5:$S$500,0))="0"),"",INDEX(Stock!$B$5:$B$500,MATCH(9-Stock!$R$2+1,Stock!$S$5:$S$500,0)))&amp;IF(AND(IF(OR(INDEX(Stock!$B$5:$B$500,MATCH(9-Stock!$R$2+1,Stock!$S$5:$S$500,0))="",INDEX(Stock!$B$5:$B$500,MATCH(9-Stock!$R$2+1,Stock!$S$5:$S$500,0))=0,INDEX(Stock!$B$5:$B$500,MATCH(9-Stock!$R$2+1,Stock!$S$5:$S$500,0))="0"),"",INDEX(Stock!$B$5:$B$500,MATCH(9-Stock!$R$2+1,Stock!$S$5:$S$500,0)))&lt;&gt;"",IF(OR(INDEX(Stock!$G$5:$G$500,MATCH(9-Stock!$R$2+1,Stock!$S$5:$S$500,0))="",INDEX(Stock!$G$5:$G$500,MATCH(9-Stock!$R$2+1,Stock!$S$5:$S$500,0))=0,INDEX(Stock!$G$5:$G$500,MATCH(9-Stock!$R$2+1,Stock!$S$5:$S$500,0))="0"),"",INDEX(Stock!$G$5:$G$500,MATCH(9-Stock!$R$2+1,Stock!$S$5:$S$500,0)))&lt;&gt;"")," · ","")&amp;IF(OR(INDEX(Stock!$G$5:$G$500,MATCH(9-Stock!$R$2+1,Stock!$S$5:$S$500,0))="",INDEX(Stock!$G$5:$G$500,MATCH(9-Stock!$R$2+1,Stock!$S$5:$S$500,0))=0,INDEX(Stock!$G$5:$G$500,MATCH(9-Stock!$R$2+1,Stock!$S$5:$S$500,0))="0"),"",INDEX(Stock!$G$5:$G$500,MATCH(9-Stock!$R$2+1,Stock!$S$5:$S$500,0)))),""))</f>
        <v xml:space="preserve">    </v>
      </c>
    </row>
    <row r="13" spans="1:3" ht="22" customHeight="1" x14ac:dyDescent="0.2">
      <c r="A13" s="63" t="str">
        <f>IFERROR(IF(10&lt;Stock!$R$2,"",INDEX(Stock!$A$5:$A$500,MATCH(10-Stock!$R$2+1,Stock!$S$5:$S$500,0))),"")</f>
        <v/>
      </c>
      <c r="B13" s="63" t="str">
        <f>"  "&amp;(IFERROR(IF(11&lt;Stock!$R$2,"",INDEX(Stock!$A$5:$A$500,MATCH(11-Stock!$R$2+1,Stock!$S$5:$S$500,0))),""))</f>
        <v xml:space="preserve">  </v>
      </c>
      <c r="C13" s="63" t="str">
        <f>"    "&amp;(IFERROR(IF(12&lt;Stock!$R$2,"",INDEX(Stock!$A$5:$A$500,MATCH(12-Stock!$R$2+1,Stock!$S$5:$S$500,0))),""))</f>
        <v xml:space="preserve">    </v>
      </c>
    </row>
    <row r="14" spans="1:3" ht="28" customHeight="1" x14ac:dyDescent="0.15">
      <c r="A14" s="64" t="str">
        <f>IFERROR(IF(10&lt;Stock!$R$2,"",IF(IF(OR(INDEX(Stock!$D$5:$D$500,MATCH(10-Stock!$R$2+1,Stock!$S$5:$S$500,0))="",INDEX(Stock!$D$5:$D$500,MATCH(10-Stock!$R$2+1,Stock!$S$5:$S$500,0))=0,INDEX(Stock!$D$5:$D$500,MATCH(10-Stock!$R$2+1,Stock!$S$5:$S$500,0))="0"),"",INDEX(Stock!$D$5:$D$500,MATCH(10-Stock!$R$2+1,Stock!$S$5:$S$500,0)))&lt;&gt;"",IF(OR(INDEX(Stock!$D$5:$D$500,MATCH(10-Stock!$R$2+1,Stock!$S$5:$S$500,0))="",INDEX(Stock!$D$5:$D$500,MATCH(10-Stock!$R$2+1,Stock!$S$5:$S$500,0))=0,INDEX(Stock!$D$5:$D$500,MATCH(10-Stock!$R$2+1,Stock!$S$5:$S$500,0))="0"),"",INDEX(Stock!$D$5:$D$500,MATCH(10-Stock!$R$2+1,Stock!$S$5:$S$500,0))),IF(OR(INDEX(Stock!$C$5:$C$500,MATCH(10-Stock!$R$2+1,Stock!$S$5:$S$500,0))="",INDEX(Stock!$C$5:$C$500,MATCH(10-Stock!$R$2+1,Stock!$S$5:$S$500,0))=0,INDEX(Stock!$C$5:$C$500,MATCH(10-Stock!$R$2+1,Stock!$S$5:$S$500,0))="0"),"",INDEX(Stock!$C$5:$C$500,MATCH(10-Stock!$R$2+1,Stock!$S$5:$S$500,0))))),"")</f>
        <v/>
      </c>
      <c r="B14" s="64" t="str">
        <f>"  "&amp;(IFERROR(IF(11&lt;Stock!$R$2,"",IF(IF(OR(INDEX(Stock!$D$5:$D$500,MATCH(11-Stock!$R$2+1,Stock!$S$5:$S$500,0))="",INDEX(Stock!$D$5:$D$500,MATCH(11-Stock!$R$2+1,Stock!$S$5:$S$500,0))=0,INDEX(Stock!$D$5:$D$500,MATCH(11-Stock!$R$2+1,Stock!$S$5:$S$500,0))="0"),"",INDEX(Stock!$D$5:$D$500,MATCH(11-Stock!$R$2+1,Stock!$S$5:$S$500,0)))&lt;&gt;"",IF(OR(INDEX(Stock!$D$5:$D$500,MATCH(11-Stock!$R$2+1,Stock!$S$5:$S$500,0))="",INDEX(Stock!$D$5:$D$500,MATCH(11-Stock!$R$2+1,Stock!$S$5:$S$500,0))=0,INDEX(Stock!$D$5:$D$500,MATCH(11-Stock!$R$2+1,Stock!$S$5:$S$500,0))="0"),"",INDEX(Stock!$D$5:$D$500,MATCH(11-Stock!$R$2+1,Stock!$S$5:$S$500,0))),IF(OR(INDEX(Stock!$C$5:$C$500,MATCH(11-Stock!$R$2+1,Stock!$S$5:$S$500,0))="",INDEX(Stock!$C$5:$C$500,MATCH(11-Stock!$R$2+1,Stock!$S$5:$S$500,0))=0,INDEX(Stock!$C$5:$C$500,MATCH(11-Stock!$R$2+1,Stock!$S$5:$S$500,0))="0"),"",INDEX(Stock!$C$5:$C$500,MATCH(11-Stock!$R$2+1,Stock!$S$5:$S$500,0))))),""))</f>
        <v xml:space="preserve">  </v>
      </c>
      <c r="C14" s="64" t="str">
        <f>"    "&amp;(IFERROR(IF(12&lt;Stock!$R$2,"",IF(IF(OR(INDEX(Stock!$D$5:$D$500,MATCH(12-Stock!$R$2+1,Stock!$S$5:$S$500,0))="",INDEX(Stock!$D$5:$D$500,MATCH(12-Stock!$R$2+1,Stock!$S$5:$S$500,0))=0,INDEX(Stock!$D$5:$D$500,MATCH(12-Stock!$R$2+1,Stock!$S$5:$S$500,0))="0"),"",INDEX(Stock!$D$5:$D$500,MATCH(12-Stock!$R$2+1,Stock!$S$5:$S$500,0)))&lt;&gt;"",IF(OR(INDEX(Stock!$D$5:$D$500,MATCH(12-Stock!$R$2+1,Stock!$S$5:$S$500,0))="",INDEX(Stock!$D$5:$D$500,MATCH(12-Stock!$R$2+1,Stock!$S$5:$S$500,0))=0,INDEX(Stock!$D$5:$D$500,MATCH(12-Stock!$R$2+1,Stock!$S$5:$S$500,0))="0"),"",INDEX(Stock!$D$5:$D$500,MATCH(12-Stock!$R$2+1,Stock!$S$5:$S$500,0))),IF(OR(INDEX(Stock!$C$5:$C$500,MATCH(12-Stock!$R$2+1,Stock!$S$5:$S$500,0))="",INDEX(Stock!$C$5:$C$500,MATCH(12-Stock!$R$2+1,Stock!$S$5:$S$500,0))=0,INDEX(Stock!$C$5:$C$500,MATCH(12-Stock!$R$2+1,Stock!$S$5:$S$500,0))="0"),"",INDEX(Stock!$C$5:$C$500,MATCH(12-Stock!$R$2+1,Stock!$S$5:$S$500,0))))),""))</f>
        <v xml:space="preserve">    </v>
      </c>
    </row>
    <row r="15" spans="1:3" ht="26" customHeight="1" x14ac:dyDescent="0.15">
      <c r="A15" s="65" t="str">
        <f>IFERROR(IF(10&lt;Stock!$R$2,"",IF(IF(OR(INDEX(Stock!$D$5:$D$500,MATCH(10-Stock!$R$2+1,Stock!$S$5:$S$500,0))="",INDEX(Stock!$D$5:$D$500,MATCH(10-Stock!$R$2+1,Stock!$S$5:$S$500,0))=0,INDEX(Stock!$D$5:$D$500,MATCH(10-Stock!$R$2+1,Stock!$S$5:$S$500,0))="0"),"",INDEX(Stock!$D$5:$D$500,MATCH(10-Stock!$R$2+1,Stock!$S$5:$S$500,0)))&lt;&gt;"",IF(OR(INDEX(Stock!$C$5:$C$500,MATCH(10-Stock!$R$2+1,Stock!$S$5:$S$500,0))="",INDEX(Stock!$C$5:$C$500,MATCH(10-Stock!$R$2+1,Stock!$S$5:$S$500,0))=0,INDEX(Stock!$C$5:$C$500,MATCH(10-Stock!$R$2+1,Stock!$S$5:$S$500,0))="0"),"",INDEX(Stock!$C$5:$C$500,MATCH(10-Stock!$R$2+1,Stock!$S$5:$S$500,0))),IF(OR(INDEX(Stock!$E$5:$E$500,MATCH(10-Stock!$R$2+1,Stock!$S$5:$S$500,0))="",INDEX(Stock!$E$5:$E$500,MATCH(10-Stock!$R$2+1,Stock!$S$5:$S$500,0))=0,INDEX(Stock!$E$5:$E$500,MATCH(10-Stock!$R$2+1,Stock!$S$5:$S$500,0))="0"),"",INDEX(Stock!$E$5:$E$500,MATCH(10-Stock!$R$2+1,Stock!$S$5:$S$500,0))))),"")</f>
        <v/>
      </c>
      <c r="B15" s="65" t="str">
        <f>"  "&amp;(IFERROR(IF(11&lt;Stock!$R$2,"",IF(IF(OR(INDEX(Stock!$D$5:$D$500,MATCH(11-Stock!$R$2+1,Stock!$S$5:$S$500,0))="",INDEX(Stock!$D$5:$D$500,MATCH(11-Stock!$R$2+1,Stock!$S$5:$S$500,0))=0,INDEX(Stock!$D$5:$D$500,MATCH(11-Stock!$R$2+1,Stock!$S$5:$S$500,0))="0"),"",INDEX(Stock!$D$5:$D$500,MATCH(11-Stock!$R$2+1,Stock!$S$5:$S$500,0)))&lt;&gt;"",IF(OR(INDEX(Stock!$C$5:$C$500,MATCH(11-Stock!$R$2+1,Stock!$S$5:$S$500,0))="",INDEX(Stock!$C$5:$C$500,MATCH(11-Stock!$R$2+1,Stock!$S$5:$S$500,0))=0,INDEX(Stock!$C$5:$C$500,MATCH(11-Stock!$R$2+1,Stock!$S$5:$S$500,0))="0"),"",INDEX(Stock!$C$5:$C$500,MATCH(11-Stock!$R$2+1,Stock!$S$5:$S$500,0))),IF(OR(INDEX(Stock!$E$5:$E$500,MATCH(11-Stock!$R$2+1,Stock!$S$5:$S$500,0))="",INDEX(Stock!$E$5:$E$500,MATCH(11-Stock!$R$2+1,Stock!$S$5:$S$500,0))=0,INDEX(Stock!$E$5:$E$500,MATCH(11-Stock!$R$2+1,Stock!$S$5:$S$500,0))="0"),"",INDEX(Stock!$E$5:$E$500,MATCH(11-Stock!$R$2+1,Stock!$S$5:$S$500,0))))),""))</f>
        <v xml:space="preserve">  </v>
      </c>
      <c r="C15" s="65" t="str">
        <f>"    "&amp;(IFERROR(IF(12&lt;Stock!$R$2,"",IF(IF(OR(INDEX(Stock!$D$5:$D$500,MATCH(12-Stock!$R$2+1,Stock!$S$5:$S$500,0))="",INDEX(Stock!$D$5:$D$500,MATCH(12-Stock!$R$2+1,Stock!$S$5:$S$500,0))=0,INDEX(Stock!$D$5:$D$500,MATCH(12-Stock!$R$2+1,Stock!$S$5:$S$500,0))="0"),"",INDEX(Stock!$D$5:$D$500,MATCH(12-Stock!$R$2+1,Stock!$S$5:$S$500,0)))&lt;&gt;"",IF(OR(INDEX(Stock!$C$5:$C$500,MATCH(12-Stock!$R$2+1,Stock!$S$5:$S$500,0))="",INDEX(Stock!$C$5:$C$500,MATCH(12-Stock!$R$2+1,Stock!$S$5:$S$500,0))=0,INDEX(Stock!$C$5:$C$500,MATCH(12-Stock!$R$2+1,Stock!$S$5:$S$500,0))="0"),"",INDEX(Stock!$C$5:$C$500,MATCH(12-Stock!$R$2+1,Stock!$S$5:$S$500,0))),IF(OR(INDEX(Stock!$E$5:$E$500,MATCH(12-Stock!$R$2+1,Stock!$S$5:$S$500,0))="",INDEX(Stock!$E$5:$E$500,MATCH(12-Stock!$R$2+1,Stock!$S$5:$S$500,0))=0,INDEX(Stock!$E$5:$E$500,MATCH(12-Stock!$R$2+1,Stock!$S$5:$S$500,0))="0"),"",INDEX(Stock!$E$5:$E$500,MATCH(12-Stock!$R$2+1,Stock!$S$5:$S$500,0))))),""))</f>
        <v xml:space="preserve">    </v>
      </c>
    </row>
    <row r="16" spans="1:3" ht="29" customHeight="1" x14ac:dyDescent="0.15">
      <c r="A16" s="66" t="str">
        <f>IFERROR(IF(10&lt;Stock!$R$2,"",IF(OR(INDEX(Stock!$B$5:$B$500,MATCH(10-Stock!$R$2+1,Stock!$S$5:$S$500,0))="",INDEX(Stock!$B$5:$B$500,MATCH(10-Stock!$R$2+1,Stock!$S$5:$S$500,0))=0,INDEX(Stock!$B$5:$B$500,MATCH(10-Stock!$R$2+1,Stock!$S$5:$S$500,0))="0"),"",INDEX(Stock!$B$5:$B$500,MATCH(10-Stock!$R$2+1,Stock!$S$5:$S$500,0)))&amp;IF(AND(IF(OR(INDEX(Stock!$B$5:$B$500,MATCH(10-Stock!$R$2+1,Stock!$S$5:$S$500,0))="",INDEX(Stock!$B$5:$B$500,MATCH(10-Stock!$R$2+1,Stock!$S$5:$S$500,0))=0,INDEX(Stock!$B$5:$B$500,MATCH(10-Stock!$R$2+1,Stock!$S$5:$S$500,0))="0"),"",INDEX(Stock!$B$5:$B$500,MATCH(10-Stock!$R$2+1,Stock!$S$5:$S$500,0)))&lt;&gt;"",IF(OR(INDEX(Stock!$G$5:$G$500,MATCH(10-Stock!$R$2+1,Stock!$S$5:$S$500,0))="",INDEX(Stock!$G$5:$G$500,MATCH(10-Stock!$R$2+1,Stock!$S$5:$S$500,0))=0,INDEX(Stock!$G$5:$G$500,MATCH(10-Stock!$R$2+1,Stock!$S$5:$S$500,0))="0"),"",INDEX(Stock!$G$5:$G$500,MATCH(10-Stock!$R$2+1,Stock!$S$5:$S$500,0)))&lt;&gt;"")," · ","")&amp;IF(OR(INDEX(Stock!$G$5:$G$500,MATCH(10-Stock!$R$2+1,Stock!$S$5:$S$500,0))="",INDEX(Stock!$G$5:$G$500,MATCH(10-Stock!$R$2+1,Stock!$S$5:$S$500,0))=0,INDEX(Stock!$G$5:$G$500,MATCH(10-Stock!$R$2+1,Stock!$S$5:$S$500,0))="0"),"",INDEX(Stock!$G$5:$G$500,MATCH(10-Stock!$R$2+1,Stock!$S$5:$S$500,0)))),"")</f>
        <v/>
      </c>
      <c r="B16" s="66" t="str">
        <f>"  "&amp;(IFERROR(IF(11&lt;Stock!$R$2,"",IF(OR(INDEX(Stock!$B$5:$B$500,MATCH(11-Stock!$R$2+1,Stock!$S$5:$S$500,0))="",INDEX(Stock!$B$5:$B$500,MATCH(11-Stock!$R$2+1,Stock!$S$5:$S$500,0))=0,INDEX(Stock!$B$5:$B$500,MATCH(11-Stock!$R$2+1,Stock!$S$5:$S$500,0))="0"),"",INDEX(Stock!$B$5:$B$500,MATCH(11-Stock!$R$2+1,Stock!$S$5:$S$500,0)))&amp;IF(AND(IF(OR(INDEX(Stock!$B$5:$B$500,MATCH(11-Stock!$R$2+1,Stock!$S$5:$S$500,0))="",INDEX(Stock!$B$5:$B$500,MATCH(11-Stock!$R$2+1,Stock!$S$5:$S$500,0))=0,INDEX(Stock!$B$5:$B$500,MATCH(11-Stock!$R$2+1,Stock!$S$5:$S$500,0))="0"),"",INDEX(Stock!$B$5:$B$500,MATCH(11-Stock!$R$2+1,Stock!$S$5:$S$500,0)))&lt;&gt;"",IF(OR(INDEX(Stock!$G$5:$G$500,MATCH(11-Stock!$R$2+1,Stock!$S$5:$S$500,0))="",INDEX(Stock!$G$5:$G$500,MATCH(11-Stock!$R$2+1,Stock!$S$5:$S$500,0))=0,INDEX(Stock!$G$5:$G$500,MATCH(11-Stock!$R$2+1,Stock!$S$5:$S$500,0))="0"),"",INDEX(Stock!$G$5:$G$500,MATCH(11-Stock!$R$2+1,Stock!$S$5:$S$500,0)))&lt;&gt;"")," · ","")&amp;IF(OR(INDEX(Stock!$G$5:$G$500,MATCH(11-Stock!$R$2+1,Stock!$S$5:$S$500,0))="",INDEX(Stock!$G$5:$G$500,MATCH(11-Stock!$R$2+1,Stock!$S$5:$S$500,0))=0,INDEX(Stock!$G$5:$G$500,MATCH(11-Stock!$R$2+1,Stock!$S$5:$S$500,0))="0"),"",INDEX(Stock!$G$5:$G$500,MATCH(11-Stock!$R$2+1,Stock!$S$5:$S$500,0)))),""))</f>
        <v xml:space="preserve">  </v>
      </c>
      <c r="C16" s="66" t="str">
        <f>"    "&amp;(IFERROR(IF(12&lt;Stock!$R$2,"",IF(OR(INDEX(Stock!$B$5:$B$500,MATCH(12-Stock!$R$2+1,Stock!$S$5:$S$500,0))="",INDEX(Stock!$B$5:$B$500,MATCH(12-Stock!$R$2+1,Stock!$S$5:$S$500,0))=0,INDEX(Stock!$B$5:$B$500,MATCH(12-Stock!$R$2+1,Stock!$S$5:$S$500,0))="0"),"",INDEX(Stock!$B$5:$B$500,MATCH(12-Stock!$R$2+1,Stock!$S$5:$S$500,0)))&amp;IF(AND(IF(OR(INDEX(Stock!$B$5:$B$500,MATCH(12-Stock!$R$2+1,Stock!$S$5:$S$500,0))="",INDEX(Stock!$B$5:$B$500,MATCH(12-Stock!$R$2+1,Stock!$S$5:$S$500,0))=0,INDEX(Stock!$B$5:$B$500,MATCH(12-Stock!$R$2+1,Stock!$S$5:$S$500,0))="0"),"",INDEX(Stock!$B$5:$B$500,MATCH(12-Stock!$R$2+1,Stock!$S$5:$S$500,0)))&lt;&gt;"",IF(OR(INDEX(Stock!$G$5:$G$500,MATCH(12-Stock!$R$2+1,Stock!$S$5:$S$500,0))="",INDEX(Stock!$G$5:$G$500,MATCH(12-Stock!$R$2+1,Stock!$S$5:$S$500,0))=0,INDEX(Stock!$G$5:$G$500,MATCH(12-Stock!$R$2+1,Stock!$S$5:$S$500,0))="0"),"",INDEX(Stock!$G$5:$G$500,MATCH(12-Stock!$R$2+1,Stock!$S$5:$S$500,0)))&lt;&gt;"")," · ","")&amp;IF(OR(INDEX(Stock!$G$5:$G$500,MATCH(12-Stock!$R$2+1,Stock!$S$5:$S$500,0))="",INDEX(Stock!$G$5:$G$500,MATCH(12-Stock!$R$2+1,Stock!$S$5:$S$500,0))=0,INDEX(Stock!$G$5:$G$500,MATCH(12-Stock!$R$2+1,Stock!$S$5:$S$500,0))="0"),"",INDEX(Stock!$G$5:$G$500,MATCH(12-Stock!$R$2+1,Stock!$S$5:$S$500,0)))),""))</f>
        <v xml:space="preserve">    </v>
      </c>
    </row>
    <row r="17" spans="1:3" ht="22" customHeight="1" x14ac:dyDescent="0.2">
      <c r="A17" s="63" t="str">
        <f>IFERROR(IF(13&lt;Stock!$R$2,"",INDEX(Stock!$A$5:$A$500,MATCH(13-Stock!$R$2+1,Stock!$S$5:$S$500,0))),"")</f>
        <v>ENP-00018</v>
      </c>
      <c r="B17" s="63" t="str">
        <f>"  "&amp;(IFERROR(IF(14&lt;Stock!$R$2,"",INDEX(Stock!$A$5:$A$500,MATCH(14-Stock!$R$2+1,Stock!$S$5:$S$500,0))),""))</f>
        <v xml:space="preserve">  ENP-00091</v>
      </c>
      <c r="C17" s="63" t="str">
        <f>"    "&amp;(IFERROR(IF(15&lt;Stock!$R$2,"",INDEX(Stock!$A$5:$A$500,MATCH(15-Stock!$R$2+1,Stock!$S$5:$S$500,0))),""))</f>
        <v xml:space="preserve">    ENP-00092</v>
      </c>
    </row>
    <row r="18" spans="1:3" ht="28" customHeight="1" x14ac:dyDescent="0.15">
      <c r="A18" s="64" t="str">
        <f>IFERROR(IF(13&lt;Stock!$R$2,"",IF(IF(OR(INDEX(Stock!$D$5:$D$500,MATCH(13-Stock!$R$2+1,Stock!$S$5:$S$500,0))="",INDEX(Stock!$D$5:$D$500,MATCH(13-Stock!$R$2+1,Stock!$S$5:$S$500,0))=0,INDEX(Stock!$D$5:$D$500,MATCH(13-Stock!$R$2+1,Stock!$S$5:$S$500,0))="0"),"",INDEX(Stock!$D$5:$D$500,MATCH(13-Stock!$R$2+1,Stock!$S$5:$S$500,0)))&lt;&gt;"",IF(OR(INDEX(Stock!$D$5:$D$500,MATCH(13-Stock!$R$2+1,Stock!$S$5:$S$500,0))="",INDEX(Stock!$D$5:$D$500,MATCH(13-Stock!$R$2+1,Stock!$S$5:$S$500,0))=0,INDEX(Stock!$D$5:$D$500,MATCH(13-Stock!$R$2+1,Stock!$S$5:$S$500,0))="0"),"",INDEX(Stock!$D$5:$D$500,MATCH(13-Stock!$R$2+1,Stock!$S$5:$S$500,0))),IF(OR(INDEX(Stock!$C$5:$C$500,MATCH(13-Stock!$R$2+1,Stock!$S$5:$S$500,0))="",INDEX(Stock!$C$5:$C$500,MATCH(13-Stock!$R$2+1,Stock!$S$5:$S$500,0))=0,INDEX(Stock!$C$5:$C$500,MATCH(13-Stock!$R$2+1,Stock!$S$5:$S$500,0))="0"),"",INDEX(Stock!$C$5:$C$500,MATCH(13-Stock!$R$2+1,Stock!$S$5:$S$500,0))))),"")</f>
        <v>10 kΩ, 0,1 %, 250 mW</v>
      </c>
      <c r="B18" s="64" t="str">
        <f>"  "&amp;(IFERROR(IF(14&lt;Stock!$R$2,"",IF(IF(OR(INDEX(Stock!$D$5:$D$500,MATCH(14-Stock!$R$2+1,Stock!$S$5:$S$500,0))="",INDEX(Stock!$D$5:$D$500,MATCH(14-Stock!$R$2+1,Stock!$S$5:$S$500,0))=0,INDEX(Stock!$D$5:$D$500,MATCH(14-Stock!$R$2+1,Stock!$S$5:$S$500,0))="0"),"",INDEX(Stock!$D$5:$D$500,MATCH(14-Stock!$R$2+1,Stock!$S$5:$S$500,0)))&lt;&gt;"",IF(OR(INDEX(Stock!$D$5:$D$500,MATCH(14-Stock!$R$2+1,Stock!$S$5:$S$500,0))="",INDEX(Stock!$D$5:$D$500,MATCH(14-Stock!$R$2+1,Stock!$S$5:$S$500,0))=0,INDEX(Stock!$D$5:$D$500,MATCH(14-Stock!$R$2+1,Stock!$S$5:$S$500,0))="0"),"",INDEX(Stock!$D$5:$D$500,MATCH(14-Stock!$R$2+1,Stock!$S$5:$S$500,0))),IF(OR(INDEX(Stock!$C$5:$C$500,MATCH(14-Stock!$R$2+1,Stock!$S$5:$S$500,0))="",INDEX(Stock!$C$5:$C$500,MATCH(14-Stock!$R$2+1,Stock!$S$5:$S$500,0))=0,INDEX(Stock!$C$5:$C$500,MATCH(14-Stock!$R$2+1,Stock!$S$5:$S$500,0))="0"),"",INDEX(Stock!$C$5:$C$500,MATCH(14-Stock!$R$2+1,Stock!$S$5:$S$500,0))))),""))</f>
        <v xml:space="preserve">  1x8, 2,54 mm, THT, gerade, Präzisionskontakte, 3 A / 150 V</v>
      </c>
      <c r="C18" s="64" t="str">
        <f>"    "&amp;(IFERROR(IF(15&lt;Stock!$R$2,"",IF(IF(OR(INDEX(Stock!$D$5:$D$500,MATCH(15-Stock!$R$2+1,Stock!$S$5:$S$500,0))="",INDEX(Stock!$D$5:$D$500,MATCH(15-Stock!$R$2+1,Stock!$S$5:$S$500,0))=0,INDEX(Stock!$D$5:$D$500,MATCH(15-Stock!$R$2+1,Stock!$S$5:$S$500,0))="0"),"",INDEX(Stock!$D$5:$D$500,MATCH(15-Stock!$R$2+1,Stock!$S$5:$S$500,0)))&lt;&gt;"",IF(OR(INDEX(Stock!$D$5:$D$500,MATCH(15-Stock!$R$2+1,Stock!$S$5:$S$500,0))="",INDEX(Stock!$D$5:$D$500,MATCH(15-Stock!$R$2+1,Stock!$S$5:$S$500,0))=0,INDEX(Stock!$D$5:$D$500,MATCH(15-Stock!$R$2+1,Stock!$S$5:$S$500,0))="0"),"",INDEX(Stock!$D$5:$D$500,MATCH(15-Stock!$R$2+1,Stock!$S$5:$S$500,0))),IF(OR(INDEX(Stock!$C$5:$C$500,MATCH(15-Stock!$R$2+1,Stock!$S$5:$S$500,0))="",INDEX(Stock!$C$5:$C$500,MATCH(15-Stock!$R$2+1,Stock!$S$5:$S$500,0))=0,INDEX(Stock!$C$5:$C$500,MATCH(15-Stock!$R$2+1,Stock!$S$5:$S$500,0))="0"),"",INDEX(Stock!$C$5:$C$500,MATCH(15-Stock!$R$2+1,Stock!$S$5:$S$500,0))))),""))</f>
        <v xml:space="preserve">    N-/P-Kanal, ±30 V, 1,4 W</v>
      </c>
    </row>
    <row r="19" spans="1:3" ht="26" customHeight="1" x14ac:dyDescent="0.15">
      <c r="A19" s="65" t="str">
        <f>IFERROR(IF(13&lt;Stock!$R$2,"",IF(IF(OR(INDEX(Stock!$D$5:$D$500,MATCH(13-Stock!$R$2+1,Stock!$S$5:$S$500,0))="",INDEX(Stock!$D$5:$D$500,MATCH(13-Stock!$R$2+1,Stock!$S$5:$S$500,0))=0,INDEX(Stock!$D$5:$D$500,MATCH(13-Stock!$R$2+1,Stock!$S$5:$S$500,0))="0"),"",INDEX(Stock!$D$5:$D$500,MATCH(13-Stock!$R$2+1,Stock!$S$5:$S$500,0)))&lt;&gt;"",IF(OR(INDEX(Stock!$C$5:$C$500,MATCH(13-Stock!$R$2+1,Stock!$S$5:$S$500,0))="",INDEX(Stock!$C$5:$C$500,MATCH(13-Stock!$R$2+1,Stock!$S$5:$S$500,0))=0,INDEX(Stock!$C$5:$C$500,MATCH(13-Stock!$R$2+1,Stock!$S$5:$S$500,0))="0"),"",INDEX(Stock!$C$5:$C$500,MATCH(13-Stock!$R$2+1,Stock!$S$5:$S$500,0))),IF(OR(INDEX(Stock!$E$5:$E$500,MATCH(13-Stock!$R$2+1,Stock!$S$5:$S$500,0))="",INDEX(Stock!$E$5:$E$500,MATCH(13-Stock!$R$2+1,Stock!$S$5:$S$500,0))=0,INDEX(Stock!$E$5:$E$500,MATCH(13-Stock!$R$2+1,Stock!$S$5:$S$500,0))="0"),"",INDEX(Stock!$E$5:$E$500,MATCH(13-Stock!$R$2+1,Stock!$S$5:$S$500,0))))),"")</f>
        <v>SMD-Widerstand, 1206, 10 kOhm, 250 mW, 0,1%</v>
      </c>
      <c r="B19" s="65" t="str">
        <f>"  "&amp;(IFERROR(IF(14&lt;Stock!$R$2,"",IF(IF(OR(INDEX(Stock!$D$5:$D$500,MATCH(14-Stock!$R$2+1,Stock!$S$5:$S$500,0))="",INDEX(Stock!$D$5:$D$500,MATCH(14-Stock!$R$2+1,Stock!$S$5:$S$500,0))=0,INDEX(Stock!$D$5:$D$500,MATCH(14-Stock!$R$2+1,Stock!$S$5:$S$500,0))="0"),"",INDEX(Stock!$D$5:$D$500,MATCH(14-Stock!$R$2+1,Stock!$S$5:$S$500,0)))&lt;&gt;"",IF(OR(INDEX(Stock!$C$5:$C$500,MATCH(14-Stock!$R$2+1,Stock!$S$5:$S$500,0))="",INDEX(Stock!$C$5:$C$500,MATCH(14-Stock!$R$2+1,Stock!$S$5:$S$500,0))=0,INDEX(Stock!$C$5:$C$500,MATCH(14-Stock!$R$2+1,Stock!$S$5:$S$500,0))="0"),"",INDEX(Stock!$C$5:$C$500,MATCH(14-Stock!$R$2+1,Stock!$S$5:$S$500,0))),IF(OR(INDEX(Stock!$E$5:$E$500,MATCH(14-Stock!$R$2+1,Stock!$S$5:$S$500,0))="",INDEX(Stock!$E$5:$E$500,MATCH(14-Stock!$R$2+1,Stock!$S$5:$S$500,0))=0,INDEX(Stock!$E$5:$E$500,MATCH(14-Stock!$R$2+1,Stock!$S$5:$S$500,0))="0"),"",INDEX(Stock!$E$5:$E$500,MATCH(14-Stock!$R$2+1,Stock!$S$5:$S$500,0))))),""))</f>
        <v xml:space="preserve">  Präzisions-Buchsenleiste 1x8, 2,54 mm, gerade</v>
      </c>
      <c r="C19" s="65" t="str">
        <f>"    "&amp;(IFERROR(IF(15&lt;Stock!$R$2,"",IF(IF(OR(INDEX(Stock!$D$5:$D$500,MATCH(15-Stock!$R$2+1,Stock!$S$5:$S$500,0))="",INDEX(Stock!$D$5:$D$500,MATCH(15-Stock!$R$2+1,Stock!$S$5:$S$500,0))=0,INDEX(Stock!$D$5:$D$500,MATCH(15-Stock!$R$2+1,Stock!$S$5:$S$500,0))="0"),"",INDEX(Stock!$D$5:$D$500,MATCH(15-Stock!$R$2+1,Stock!$S$5:$S$500,0)))&lt;&gt;"",IF(OR(INDEX(Stock!$C$5:$C$500,MATCH(15-Stock!$R$2+1,Stock!$S$5:$S$500,0))="",INDEX(Stock!$C$5:$C$500,MATCH(15-Stock!$R$2+1,Stock!$S$5:$S$500,0))=0,INDEX(Stock!$C$5:$C$500,MATCH(15-Stock!$R$2+1,Stock!$S$5:$S$500,0))="0"),"",INDEX(Stock!$C$5:$C$500,MATCH(15-Stock!$R$2+1,Stock!$S$5:$S$500,0))),IF(OR(INDEX(Stock!$E$5:$E$500,MATCH(15-Stock!$R$2+1,Stock!$S$5:$S$500,0))="",INDEX(Stock!$E$5:$E$500,MATCH(15-Stock!$R$2+1,Stock!$S$5:$S$500,0))=0,INDEX(Stock!$E$5:$E$500,MATCH(15-Stock!$R$2+1,Stock!$S$5:$S$500,0))="0"),"",INDEX(Stock!$E$5:$E$500,MATCH(15-Stock!$R$2+1,Stock!$S$5:$S$500,0))))),""))</f>
        <v xml:space="preserve">    Dual-MOSFET N-/P-Kanal, SO-8</v>
      </c>
    </row>
    <row r="20" spans="1:3" ht="29" customHeight="1" x14ac:dyDescent="0.15">
      <c r="A20" s="66" t="str">
        <f>IFERROR(IF(13&lt;Stock!$R$2,"",IF(OR(INDEX(Stock!$B$5:$B$500,MATCH(13-Stock!$R$2+1,Stock!$S$5:$S$500,0))="",INDEX(Stock!$B$5:$B$500,MATCH(13-Stock!$R$2+1,Stock!$S$5:$S$500,0))=0,INDEX(Stock!$B$5:$B$500,MATCH(13-Stock!$R$2+1,Stock!$S$5:$S$500,0))="0"),"",INDEX(Stock!$B$5:$B$500,MATCH(13-Stock!$R$2+1,Stock!$S$5:$S$500,0)))&amp;IF(AND(IF(OR(INDEX(Stock!$B$5:$B$500,MATCH(13-Stock!$R$2+1,Stock!$S$5:$S$500,0))="",INDEX(Stock!$B$5:$B$500,MATCH(13-Stock!$R$2+1,Stock!$S$5:$S$500,0))=0,INDEX(Stock!$B$5:$B$500,MATCH(13-Stock!$R$2+1,Stock!$S$5:$S$500,0))="0"),"",INDEX(Stock!$B$5:$B$500,MATCH(13-Stock!$R$2+1,Stock!$S$5:$S$500,0)))&lt;&gt;"",IF(OR(INDEX(Stock!$G$5:$G$500,MATCH(13-Stock!$R$2+1,Stock!$S$5:$S$500,0))="",INDEX(Stock!$G$5:$G$500,MATCH(13-Stock!$R$2+1,Stock!$S$5:$S$500,0))=0,INDEX(Stock!$G$5:$G$500,MATCH(13-Stock!$R$2+1,Stock!$S$5:$S$500,0))="0"),"",INDEX(Stock!$G$5:$G$500,MATCH(13-Stock!$R$2+1,Stock!$S$5:$S$500,0)))&lt;&gt;"")," · ","")&amp;IF(OR(INDEX(Stock!$G$5:$G$500,MATCH(13-Stock!$R$2+1,Stock!$S$5:$S$500,0))="",INDEX(Stock!$G$5:$G$500,MATCH(13-Stock!$R$2+1,Stock!$S$5:$S$500,0))=0,INDEX(Stock!$G$5:$G$500,MATCH(13-Stock!$R$2+1,Stock!$S$5:$S$500,0))="0"),"",INDEX(Stock!$G$5:$G$500,MATCH(13-Stock!$R$2+1,Stock!$S$5:$S$500,0)))),"")</f>
        <v>Widerstand · ERA8AEB103V</v>
      </c>
      <c r="B20" s="66" t="str">
        <f>"  "&amp;(IFERROR(IF(14&lt;Stock!$R$2,"",IF(OR(INDEX(Stock!$B$5:$B$500,MATCH(14-Stock!$R$2+1,Stock!$S$5:$S$500,0))="",INDEX(Stock!$B$5:$B$500,MATCH(14-Stock!$R$2+1,Stock!$S$5:$S$500,0))=0,INDEX(Stock!$B$5:$B$500,MATCH(14-Stock!$R$2+1,Stock!$S$5:$S$500,0))="0"),"",INDEX(Stock!$B$5:$B$500,MATCH(14-Stock!$R$2+1,Stock!$S$5:$S$500,0)))&amp;IF(AND(IF(OR(INDEX(Stock!$B$5:$B$500,MATCH(14-Stock!$R$2+1,Stock!$S$5:$S$500,0))="",INDEX(Stock!$B$5:$B$500,MATCH(14-Stock!$R$2+1,Stock!$S$5:$S$500,0))=0,INDEX(Stock!$B$5:$B$500,MATCH(14-Stock!$R$2+1,Stock!$S$5:$S$500,0))="0"),"",INDEX(Stock!$B$5:$B$500,MATCH(14-Stock!$R$2+1,Stock!$S$5:$S$500,0)))&lt;&gt;"",IF(OR(INDEX(Stock!$G$5:$G$500,MATCH(14-Stock!$R$2+1,Stock!$S$5:$S$500,0))="",INDEX(Stock!$G$5:$G$500,MATCH(14-Stock!$R$2+1,Stock!$S$5:$S$500,0))=0,INDEX(Stock!$G$5:$G$500,MATCH(14-Stock!$R$2+1,Stock!$S$5:$S$500,0))="0"),"",INDEX(Stock!$G$5:$G$500,MATCH(14-Stock!$R$2+1,Stock!$S$5:$S$500,0)))&lt;&gt;"")," · ","")&amp;IF(OR(INDEX(Stock!$G$5:$G$500,MATCH(14-Stock!$R$2+1,Stock!$S$5:$S$500,0))="",INDEX(Stock!$G$5:$G$500,MATCH(14-Stock!$R$2+1,Stock!$S$5:$S$500,0))=0,INDEX(Stock!$G$5:$G$500,MATCH(14-Stock!$R$2+1,Stock!$S$5:$S$500,0))="0"),"",INDEX(Stock!$G$5:$G$500,MATCH(14-Stock!$R$2+1,Stock!$S$5:$S$500,0)))),""))</f>
        <v xml:space="preserve">  Steckverbinder · 115-1-008-1-0-MTF-XS0</v>
      </c>
      <c r="C20" s="66" t="str">
        <f>"    "&amp;(IFERROR(IF(15&lt;Stock!$R$2,"",IF(OR(INDEX(Stock!$B$5:$B$500,MATCH(15-Stock!$R$2+1,Stock!$S$5:$S$500,0))="",INDEX(Stock!$B$5:$B$500,MATCH(15-Stock!$R$2+1,Stock!$S$5:$S$500,0))=0,INDEX(Stock!$B$5:$B$500,MATCH(15-Stock!$R$2+1,Stock!$S$5:$S$500,0))="0"),"",INDEX(Stock!$B$5:$B$500,MATCH(15-Stock!$R$2+1,Stock!$S$5:$S$500,0)))&amp;IF(AND(IF(OR(INDEX(Stock!$B$5:$B$500,MATCH(15-Stock!$R$2+1,Stock!$S$5:$S$500,0))="",INDEX(Stock!$B$5:$B$500,MATCH(15-Stock!$R$2+1,Stock!$S$5:$S$500,0))=0,INDEX(Stock!$B$5:$B$500,MATCH(15-Stock!$R$2+1,Stock!$S$5:$S$500,0))="0"),"",INDEX(Stock!$B$5:$B$500,MATCH(15-Stock!$R$2+1,Stock!$S$5:$S$500,0)))&lt;&gt;"",IF(OR(INDEX(Stock!$G$5:$G$500,MATCH(15-Stock!$R$2+1,Stock!$S$5:$S$500,0))="",INDEX(Stock!$G$5:$G$500,MATCH(15-Stock!$R$2+1,Stock!$S$5:$S$500,0))=0,INDEX(Stock!$G$5:$G$500,MATCH(15-Stock!$R$2+1,Stock!$S$5:$S$500,0))="0"),"",INDEX(Stock!$G$5:$G$500,MATCH(15-Stock!$R$2+1,Stock!$S$5:$S$500,0)))&lt;&gt;"")," · ","")&amp;IF(OR(INDEX(Stock!$G$5:$G$500,MATCH(15-Stock!$R$2+1,Stock!$S$5:$S$500,0))="",INDEX(Stock!$G$5:$G$500,MATCH(15-Stock!$R$2+1,Stock!$S$5:$S$500,0))=0,INDEX(Stock!$G$5:$G$500,MATCH(15-Stock!$R$2+1,Stock!$S$5:$S$500,0))="0"),"",INDEX(Stock!$G$5:$G$500,MATCH(15-Stock!$R$2+1,Stock!$S$5:$S$500,0)))),""))</f>
        <v xml:space="preserve">    MOSFET · IRF7309PBF</v>
      </c>
    </row>
    <row r="21" spans="1:3" ht="22" customHeight="1" x14ac:dyDescent="0.2">
      <c r="A21" s="63" t="str">
        <f>IFERROR(IF(16&lt;Stock!$R$2,"",INDEX(Stock!$A$5:$A$500,MATCH(16-Stock!$R$2+1,Stock!$S$5:$S$500,0))),"")</f>
        <v>ENP-00093</v>
      </c>
      <c r="B21" s="63" t="str">
        <f>"  "&amp;(IFERROR(IF(17&lt;Stock!$R$2,"",INDEX(Stock!$A$5:$A$500,MATCH(17-Stock!$R$2+1,Stock!$S$5:$S$500,0))),""))</f>
        <v xml:space="preserve">  ENP-00094</v>
      </c>
      <c r="C21" s="63" t="str">
        <f>"    "&amp;(IFERROR(IF(18&lt;Stock!$R$2,"",INDEX(Stock!$A$5:$A$500,MATCH(18-Stock!$R$2+1,Stock!$S$5:$S$500,0))),""))</f>
        <v xml:space="preserve">    ENP-00095</v>
      </c>
    </row>
    <row r="22" spans="1:3" ht="28" customHeight="1" x14ac:dyDescent="0.15">
      <c r="A22" s="64" t="str">
        <f>IFERROR(IF(16&lt;Stock!$R$2,"",IF(IF(OR(INDEX(Stock!$D$5:$D$500,MATCH(16-Stock!$R$2+1,Stock!$S$5:$S$500,0))="",INDEX(Stock!$D$5:$D$500,MATCH(16-Stock!$R$2+1,Stock!$S$5:$S$500,0))=0,INDEX(Stock!$D$5:$D$500,MATCH(16-Stock!$R$2+1,Stock!$S$5:$S$500,0))="0"),"",INDEX(Stock!$D$5:$D$500,MATCH(16-Stock!$R$2+1,Stock!$S$5:$S$500,0)))&lt;&gt;"",IF(OR(INDEX(Stock!$D$5:$D$500,MATCH(16-Stock!$R$2+1,Stock!$S$5:$S$500,0))="",INDEX(Stock!$D$5:$D$500,MATCH(16-Stock!$R$2+1,Stock!$S$5:$S$500,0))=0,INDEX(Stock!$D$5:$D$500,MATCH(16-Stock!$R$2+1,Stock!$S$5:$S$500,0))="0"),"",INDEX(Stock!$D$5:$D$500,MATCH(16-Stock!$R$2+1,Stock!$S$5:$S$500,0))),IF(OR(INDEX(Stock!$C$5:$C$500,MATCH(16-Stock!$R$2+1,Stock!$S$5:$S$500,0))="",INDEX(Stock!$C$5:$C$500,MATCH(16-Stock!$R$2+1,Stock!$S$5:$S$500,0))=0,INDEX(Stock!$C$5:$C$500,MATCH(16-Stock!$R$2+1,Stock!$S$5:$S$500,0))="0"),"",INDEX(Stock!$C$5:$C$500,MATCH(16-Stock!$R$2+1,Stock!$S$5:$S$500,0))))),"")</f>
        <v>100 kΩ, 5 %, 250 mW, 200 V, ±100 ppm/K</v>
      </c>
      <c r="B22" s="64" t="str">
        <f>"  "&amp;(IFERROR(IF(17&lt;Stock!$R$2,"",IF(IF(OR(INDEX(Stock!$D$5:$D$500,MATCH(17-Stock!$R$2+1,Stock!$S$5:$S$500,0))="",INDEX(Stock!$D$5:$D$500,MATCH(17-Stock!$R$2+1,Stock!$S$5:$S$500,0))=0,INDEX(Stock!$D$5:$D$500,MATCH(17-Stock!$R$2+1,Stock!$S$5:$S$500,0))="0"),"",INDEX(Stock!$D$5:$D$500,MATCH(17-Stock!$R$2+1,Stock!$S$5:$S$500,0)))&lt;&gt;"",IF(OR(INDEX(Stock!$D$5:$D$500,MATCH(17-Stock!$R$2+1,Stock!$S$5:$S$500,0))="",INDEX(Stock!$D$5:$D$500,MATCH(17-Stock!$R$2+1,Stock!$S$5:$S$500,0))=0,INDEX(Stock!$D$5:$D$500,MATCH(17-Stock!$R$2+1,Stock!$S$5:$S$500,0))="0"),"",INDEX(Stock!$D$5:$D$500,MATCH(17-Stock!$R$2+1,Stock!$S$5:$S$500,0))),IF(OR(INDEX(Stock!$C$5:$C$500,MATCH(17-Stock!$R$2+1,Stock!$S$5:$S$500,0))="",INDEX(Stock!$C$5:$C$500,MATCH(17-Stock!$R$2+1,Stock!$S$5:$S$500,0))=0,INDEX(Stock!$C$5:$C$500,MATCH(17-Stock!$R$2+1,Stock!$S$5:$S$500,0))="0"),"",INDEX(Stock!$C$5:$C$500,MATCH(17-Stock!$R$2+1,Stock!$S$5:$S$500,0))))),""))</f>
        <v xml:space="preserve">  10 kΩ, 5 %, 250 mW, 200 V, ±100 ppm/K</v>
      </c>
      <c r="C22" s="64" t="str">
        <f>"    "&amp;(IFERROR(IF(18&lt;Stock!$R$2,"",IF(IF(OR(INDEX(Stock!$D$5:$D$500,MATCH(18-Stock!$R$2+1,Stock!$S$5:$S$500,0))="",INDEX(Stock!$D$5:$D$500,MATCH(18-Stock!$R$2+1,Stock!$S$5:$S$500,0))=0,INDEX(Stock!$D$5:$D$500,MATCH(18-Stock!$R$2+1,Stock!$S$5:$S$500,0))="0"),"",INDEX(Stock!$D$5:$D$500,MATCH(18-Stock!$R$2+1,Stock!$S$5:$S$500,0)))&lt;&gt;"",IF(OR(INDEX(Stock!$D$5:$D$500,MATCH(18-Stock!$R$2+1,Stock!$S$5:$S$500,0))="",INDEX(Stock!$D$5:$D$500,MATCH(18-Stock!$R$2+1,Stock!$S$5:$S$500,0))=0,INDEX(Stock!$D$5:$D$500,MATCH(18-Stock!$R$2+1,Stock!$S$5:$S$500,0))="0"),"",INDEX(Stock!$D$5:$D$500,MATCH(18-Stock!$R$2+1,Stock!$S$5:$S$500,0))),IF(OR(INDEX(Stock!$C$5:$C$500,MATCH(18-Stock!$R$2+1,Stock!$S$5:$S$500,0))="",INDEX(Stock!$C$5:$C$500,MATCH(18-Stock!$R$2+1,Stock!$S$5:$S$500,0))=0,INDEX(Stock!$C$5:$C$500,MATCH(18-Stock!$R$2+1,Stock!$S$5:$S$500,0))="0"),"",INDEX(Stock!$C$5:$C$500,MATCH(18-Stock!$R$2+1,Stock!$S$5:$S$500,0))))),""))</f>
        <v xml:space="preserve">    4000B, 6-fach, 3–15 V, SO-14</v>
      </c>
    </row>
    <row r="23" spans="1:3" ht="26" customHeight="1" x14ac:dyDescent="0.15">
      <c r="A23" s="65" t="str">
        <f>IFERROR(IF(16&lt;Stock!$R$2,"",IF(IF(OR(INDEX(Stock!$D$5:$D$500,MATCH(16-Stock!$R$2+1,Stock!$S$5:$S$500,0))="",INDEX(Stock!$D$5:$D$500,MATCH(16-Stock!$R$2+1,Stock!$S$5:$S$500,0))=0,INDEX(Stock!$D$5:$D$500,MATCH(16-Stock!$R$2+1,Stock!$S$5:$S$500,0))="0"),"",INDEX(Stock!$D$5:$D$500,MATCH(16-Stock!$R$2+1,Stock!$S$5:$S$500,0)))&lt;&gt;"",IF(OR(INDEX(Stock!$C$5:$C$500,MATCH(16-Stock!$R$2+1,Stock!$S$5:$S$500,0))="",INDEX(Stock!$C$5:$C$500,MATCH(16-Stock!$R$2+1,Stock!$S$5:$S$500,0))=0,INDEX(Stock!$C$5:$C$500,MATCH(16-Stock!$R$2+1,Stock!$S$5:$S$500,0))="0"),"",INDEX(Stock!$C$5:$C$500,MATCH(16-Stock!$R$2+1,Stock!$S$5:$S$500,0))),IF(OR(INDEX(Stock!$E$5:$E$500,MATCH(16-Stock!$R$2+1,Stock!$S$5:$S$500,0))="",INDEX(Stock!$E$5:$E$500,MATCH(16-Stock!$R$2+1,Stock!$S$5:$S$500,0))=0,INDEX(Stock!$E$5:$E$500,MATCH(16-Stock!$R$2+1,Stock!$S$5:$S$500,0))="0"),"",INDEX(Stock!$E$5:$E$500,MATCH(16-Stock!$R$2+1,Stock!$S$5:$S$500,0))))),"")</f>
        <v>SMD-Widerstand 100 kOhm, 5 %, 1206</v>
      </c>
      <c r="B23" s="65" t="str">
        <f>"  "&amp;(IFERROR(IF(17&lt;Stock!$R$2,"",IF(IF(OR(INDEX(Stock!$D$5:$D$500,MATCH(17-Stock!$R$2+1,Stock!$S$5:$S$500,0))="",INDEX(Stock!$D$5:$D$500,MATCH(17-Stock!$R$2+1,Stock!$S$5:$S$500,0))=0,INDEX(Stock!$D$5:$D$500,MATCH(17-Stock!$R$2+1,Stock!$S$5:$S$500,0))="0"),"",INDEX(Stock!$D$5:$D$500,MATCH(17-Stock!$R$2+1,Stock!$S$5:$S$500,0)))&lt;&gt;"",IF(OR(INDEX(Stock!$C$5:$C$500,MATCH(17-Stock!$R$2+1,Stock!$S$5:$S$500,0))="",INDEX(Stock!$C$5:$C$500,MATCH(17-Stock!$R$2+1,Stock!$S$5:$S$500,0))=0,INDEX(Stock!$C$5:$C$500,MATCH(17-Stock!$R$2+1,Stock!$S$5:$S$500,0))="0"),"",INDEX(Stock!$C$5:$C$500,MATCH(17-Stock!$R$2+1,Stock!$S$5:$S$500,0))),IF(OR(INDEX(Stock!$E$5:$E$500,MATCH(17-Stock!$R$2+1,Stock!$S$5:$S$500,0))="",INDEX(Stock!$E$5:$E$500,MATCH(17-Stock!$R$2+1,Stock!$S$5:$S$500,0))=0,INDEX(Stock!$E$5:$E$500,MATCH(17-Stock!$R$2+1,Stock!$S$5:$S$500,0))="0"),"",INDEX(Stock!$E$5:$E$500,MATCH(17-Stock!$R$2+1,Stock!$S$5:$S$500,0))))),""))</f>
        <v xml:space="preserve">  SMD-Widerstand 10 kOhm, 5 %, 1206</v>
      </c>
      <c r="C23" s="65" t="str">
        <f>"    "&amp;(IFERROR(IF(18&lt;Stock!$R$2,"",IF(IF(OR(INDEX(Stock!$D$5:$D$500,MATCH(18-Stock!$R$2+1,Stock!$S$5:$S$500,0))="",INDEX(Stock!$D$5:$D$500,MATCH(18-Stock!$R$2+1,Stock!$S$5:$S$500,0))=0,INDEX(Stock!$D$5:$D$500,MATCH(18-Stock!$R$2+1,Stock!$S$5:$S$500,0))="0"),"",INDEX(Stock!$D$5:$D$500,MATCH(18-Stock!$R$2+1,Stock!$S$5:$S$500,0)))&lt;&gt;"",IF(OR(INDEX(Stock!$C$5:$C$500,MATCH(18-Stock!$R$2+1,Stock!$S$5:$S$500,0))="",INDEX(Stock!$C$5:$C$500,MATCH(18-Stock!$R$2+1,Stock!$S$5:$S$500,0))=0,INDEX(Stock!$C$5:$C$500,MATCH(18-Stock!$R$2+1,Stock!$S$5:$S$500,0))="0"),"",INDEX(Stock!$C$5:$C$500,MATCH(18-Stock!$R$2+1,Stock!$S$5:$S$500,0))),IF(OR(INDEX(Stock!$E$5:$E$500,MATCH(18-Stock!$R$2+1,Stock!$S$5:$S$500,0))="",INDEX(Stock!$E$5:$E$500,MATCH(18-Stock!$R$2+1,Stock!$S$5:$S$500,0))=0,INDEX(Stock!$E$5:$E$500,MATCH(18-Stock!$R$2+1,Stock!$S$5:$S$500,0))="0"),"",INDEX(Stock!$E$5:$E$500,MATCH(18-Stock!$R$2+1,Stock!$S$5:$S$500,0))))),""))</f>
        <v xml:space="preserve">    Hex-Inverter mit Schmitt-Trigger, SO-14</v>
      </c>
    </row>
    <row r="24" spans="1:3" ht="29" customHeight="1" x14ac:dyDescent="0.15">
      <c r="A24" s="66" t="str">
        <f>IFERROR(IF(16&lt;Stock!$R$2,"",IF(OR(INDEX(Stock!$B$5:$B$500,MATCH(16-Stock!$R$2+1,Stock!$S$5:$S$500,0))="",INDEX(Stock!$B$5:$B$500,MATCH(16-Stock!$R$2+1,Stock!$S$5:$S$500,0))=0,INDEX(Stock!$B$5:$B$500,MATCH(16-Stock!$R$2+1,Stock!$S$5:$S$500,0))="0"),"",INDEX(Stock!$B$5:$B$500,MATCH(16-Stock!$R$2+1,Stock!$S$5:$S$500,0)))&amp;IF(AND(IF(OR(INDEX(Stock!$B$5:$B$500,MATCH(16-Stock!$R$2+1,Stock!$S$5:$S$500,0))="",INDEX(Stock!$B$5:$B$500,MATCH(16-Stock!$R$2+1,Stock!$S$5:$S$500,0))=0,INDEX(Stock!$B$5:$B$500,MATCH(16-Stock!$R$2+1,Stock!$S$5:$S$500,0))="0"),"",INDEX(Stock!$B$5:$B$500,MATCH(16-Stock!$R$2+1,Stock!$S$5:$S$500,0)))&lt;&gt;"",IF(OR(INDEX(Stock!$G$5:$G$500,MATCH(16-Stock!$R$2+1,Stock!$S$5:$S$500,0))="",INDEX(Stock!$G$5:$G$500,MATCH(16-Stock!$R$2+1,Stock!$S$5:$S$500,0))=0,INDEX(Stock!$G$5:$G$500,MATCH(16-Stock!$R$2+1,Stock!$S$5:$S$500,0))="0"),"",INDEX(Stock!$G$5:$G$500,MATCH(16-Stock!$R$2+1,Stock!$S$5:$S$500,0)))&lt;&gt;"")," · ","")&amp;IF(OR(INDEX(Stock!$G$5:$G$500,MATCH(16-Stock!$R$2+1,Stock!$S$5:$S$500,0))="",INDEX(Stock!$G$5:$G$500,MATCH(16-Stock!$R$2+1,Stock!$S$5:$S$500,0))=0,INDEX(Stock!$G$5:$G$500,MATCH(16-Stock!$R$2+1,Stock!$S$5:$S$500,0))="0"),"",INDEX(Stock!$G$5:$G$500,MATCH(16-Stock!$R$2+1,Stock!$S$5:$S$500,0)))),"")</f>
        <v>Widerstand · RC1206JR-07100KL</v>
      </c>
      <c r="B24" s="66" t="str">
        <f>"  "&amp;(IFERROR(IF(17&lt;Stock!$R$2,"",IF(OR(INDEX(Stock!$B$5:$B$500,MATCH(17-Stock!$R$2+1,Stock!$S$5:$S$500,0))="",INDEX(Stock!$B$5:$B$500,MATCH(17-Stock!$R$2+1,Stock!$S$5:$S$500,0))=0,INDEX(Stock!$B$5:$B$500,MATCH(17-Stock!$R$2+1,Stock!$S$5:$S$500,0))="0"),"",INDEX(Stock!$B$5:$B$500,MATCH(17-Stock!$R$2+1,Stock!$S$5:$S$500,0)))&amp;IF(AND(IF(OR(INDEX(Stock!$B$5:$B$500,MATCH(17-Stock!$R$2+1,Stock!$S$5:$S$500,0))="",INDEX(Stock!$B$5:$B$500,MATCH(17-Stock!$R$2+1,Stock!$S$5:$S$500,0))=0,INDEX(Stock!$B$5:$B$500,MATCH(17-Stock!$R$2+1,Stock!$S$5:$S$500,0))="0"),"",INDEX(Stock!$B$5:$B$500,MATCH(17-Stock!$R$2+1,Stock!$S$5:$S$500,0)))&lt;&gt;"",IF(OR(INDEX(Stock!$G$5:$G$500,MATCH(17-Stock!$R$2+1,Stock!$S$5:$S$500,0))="",INDEX(Stock!$G$5:$G$500,MATCH(17-Stock!$R$2+1,Stock!$S$5:$S$500,0))=0,INDEX(Stock!$G$5:$G$500,MATCH(17-Stock!$R$2+1,Stock!$S$5:$S$500,0))="0"),"",INDEX(Stock!$G$5:$G$500,MATCH(17-Stock!$R$2+1,Stock!$S$5:$S$500,0)))&lt;&gt;"")," · ","")&amp;IF(OR(INDEX(Stock!$G$5:$G$500,MATCH(17-Stock!$R$2+1,Stock!$S$5:$S$500,0))="",INDEX(Stock!$G$5:$G$500,MATCH(17-Stock!$R$2+1,Stock!$S$5:$S$500,0))=0,INDEX(Stock!$G$5:$G$500,MATCH(17-Stock!$R$2+1,Stock!$S$5:$S$500,0))="0"),"",INDEX(Stock!$G$5:$G$500,MATCH(17-Stock!$R$2+1,Stock!$S$5:$S$500,0)))),""))</f>
        <v xml:space="preserve">  Widerstand · RC1206JR-0710KL</v>
      </c>
      <c r="C24" s="66" t="str">
        <f>"    "&amp;(IFERROR(IF(18&lt;Stock!$R$2,"",IF(OR(INDEX(Stock!$B$5:$B$500,MATCH(18-Stock!$R$2+1,Stock!$S$5:$S$500,0))="",INDEX(Stock!$B$5:$B$500,MATCH(18-Stock!$R$2+1,Stock!$S$5:$S$500,0))=0,INDEX(Stock!$B$5:$B$500,MATCH(18-Stock!$R$2+1,Stock!$S$5:$S$500,0))="0"),"",INDEX(Stock!$B$5:$B$500,MATCH(18-Stock!$R$2+1,Stock!$S$5:$S$500,0)))&amp;IF(AND(IF(OR(INDEX(Stock!$B$5:$B$500,MATCH(18-Stock!$R$2+1,Stock!$S$5:$S$500,0))="",INDEX(Stock!$B$5:$B$500,MATCH(18-Stock!$R$2+1,Stock!$S$5:$S$500,0))=0,INDEX(Stock!$B$5:$B$500,MATCH(18-Stock!$R$2+1,Stock!$S$5:$S$500,0))="0"),"",INDEX(Stock!$B$5:$B$500,MATCH(18-Stock!$R$2+1,Stock!$S$5:$S$500,0)))&lt;&gt;"",IF(OR(INDEX(Stock!$G$5:$G$500,MATCH(18-Stock!$R$2+1,Stock!$S$5:$S$500,0))="",INDEX(Stock!$G$5:$G$500,MATCH(18-Stock!$R$2+1,Stock!$S$5:$S$500,0))=0,INDEX(Stock!$G$5:$G$500,MATCH(18-Stock!$R$2+1,Stock!$S$5:$S$500,0))="0"),"",INDEX(Stock!$G$5:$G$500,MATCH(18-Stock!$R$2+1,Stock!$S$5:$S$500,0)))&lt;&gt;"")," · ","")&amp;IF(OR(INDEX(Stock!$G$5:$G$500,MATCH(18-Stock!$R$2+1,Stock!$S$5:$S$500,0))="",INDEX(Stock!$G$5:$G$500,MATCH(18-Stock!$R$2+1,Stock!$S$5:$S$500,0))=0,INDEX(Stock!$G$5:$G$500,MATCH(18-Stock!$R$2+1,Stock!$S$5:$S$500,0))="0"),"",INDEX(Stock!$G$5:$G$500,MATCH(18-Stock!$R$2+1,Stock!$S$5:$S$500,0)))),""))</f>
        <v xml:space="preserve">    IC</v>
      </c>
    </row>
    <row r="25" spans="1:3" ht="22" customHeight="1" x14ac:dyDescent="0.2">
      <c r="A25" s="63" t="str">
        <f>IFERROR(IF(19&lt;Stock!$R$2,"",INDEX(Stock!$A$5:$A$500,MATCH(19-Stock!$R$2+1,Stock!$S$5:$S$500,0))),"")</f>
        <v>ENP-00096</v>
      </c>
      <c r="B25" s="63" t="str">
        <f>"  "&amp;(IFERROR(IF(20&lt;Stock!$R$2,"",INDEX(Stock!$A$5:$A$500,MATCH(20-Stock!$R$2+1,Stock!$S$5:$S$500,0))),""))</f>
        <v xml:space="preserve">  ENP-00097</v>
      </c>
      <c r="C25" s="63" t="str">
        <f>"    "&amp;(IFERROR(IF(21&lt;Stock!$R$2,"",INDEX(Stock!$A$5:$A$500,MATCH(21-Stock!$R$2+1,Stock!$S$5:$S$500,0))),""))</f>
        <v xml:space="preserve">    ENP-00098</v>
      </c>
    </row>
    <row r="26" spans="1:3" ht="28" customHeight="1" x14ac:dyDescent="0.15">
      <c r="A26" s="64" t="str">
        <f>IFERROR(IF(19&lt;Stock!$R$2,"",IF(IF(OR(INDEX(Stock!$D$5:$D$500,MATCH(19-Stock!$R$2+1,Stock!$S$5:$S$500,0))="",INDEX(Stock!$D$5:$D$500,MATCH(19-Stock!$R$2+1,Stock!$S$5:$S$500,0))=0,INDEX(Stock!$D$5:$D$500,MATCH(19-Stock!$R$2+1,Stock!$S$5:$S$500,0))="0"),"",INDEX(Stock!$D$5:$D$500,MATCH(19-Stock!$R$2+1,Stock!$S$5:$S$500,0)))&lt;&gt;"",IF(OR(INDEX(Stock!$D$5:$D$500,MATCH(19-Stock!$R$2+1,Stock!$S$5:$S$500,0))="",INDEX(Stock!$D$5:$D$500,MATCH(19-Stock!$R$2+1,Stock!$S$5:$S$500,0))=0,INDEX(Stock!$D$5:$D$500,MATCH(19-Stock!$R$2+1,Stock!$S$5:$S$500,0))="0"),"",INDEX(Stock!$D$5:$D$500,MATCH(19-Stock!$R$2+1,Stock!$S$5:$S$500,0))),IF(OR(INDEX(Stock!$C$5:$C$500,MATCH(19-Stock!$R$2+1,Stock!$S$5:$S$500,0))="",INDEX(Stock!$C$5:$C$500,MATCH(19-Stock!$R$2+1,Stock!$S$5:$S$500,0))=0,INDEX(Stock!$C$5:$C$500,MATCH(19-Stock!$R$2+1,Stock!$S$5:$S$500,0))="0"),"",INDEX(Stock!$C$5:$C$500,MATCH(19-Stock!$R$2+1,Stock!$S$5:$S$500,0))))),"")</f>
        <v>220 µF, ±20 %, 16 V, 105 °C, 2000 h, ESR 160 mΩ</v>
      </c>
      <c r="B26" s="64" t="str">
        <f>"  "&amp;(IFERROR(IF(20&lt;Stock!$R$2,"",IF(IF(OR(INDEX(Stock!$D$5:$D$500,MATCH(20-Stock!$R$2+1,Stock!$S$5:$S$500,0))="",INDEX(Stock!$D$5:$D$500,MATCH(20-Stock!$R$2+1,Stock!$S$5:$S$500,0))=0,INDEX(Stock!$D$5:$D$500,MATCH(20-Stock!$R$2+1,Stock!$S$5:$S$500,0))="0"),"",INDEX(Stock!$D$5:$D$500,MATCH(20-Stock!$R$2+1,Stock!$S$5:$S$500,0)))&lt;&gt;"",IF(OR(INDEX(Stock!$D$5:$D$500,MATCH(20-Stock!$R$2+1,Stock!$S$5:$S$500,0))="",INDEX(Stock!$D$5:$D$500,MATCH(20-Stock!$R$2+1,Stock!$S$5:$S$500,0))=0,INDEX(Stock!$D$5:$D$500,MATCH(20-Stock!$R$2+1,Stock!$S$5:$S$500,0))="0"),"",INDEX(Stock!$D$5:$D$500,MATCH(20-Stock!$R$2+1,Stock!$S$5:$S$500,0))),IF(OR(INDEX(Stock!$C$5:$C$500,MATCH(20-Stock!$R$2+1,Stock!$S$5:$S$500,0))="",INDEX(Stock!$C$5:$C$500,MATCH(20-Stock!$R$2+1,Stock!$S$5:$S$500,0))=0,INDEX(Stock!$C$5:$C$500,MATCH(20-Stock!$R$2+1,Stock!$S$5:$S$500,0))="0"),"",INDEX(Stock!$C$5:$C$500,MATCH(20-Stock!$R$2+1,Stock!$S$5:$S$500,0))))),""))</f>
        <v xml:space="preserve">  470 µF, ±20 %, 16 V, 105 °C, 5000 h, ESR 160 mΩ</v>
      </c>
      <c r="C26" s="64" t="str">
        <f>"    "&amp;(IFERROR(IF(21&lt;Stock!$R$2,"",IF(IF(OR(INDEX(Stock!$D$5:$D$500,MATCH(21-Stock!$R$2+1,Stock!$S$5:$S$500,0))="",INDEX(Stock!$D$5:$D$500,MATCH(21-Stock!$R$2+1,Stock!$S$5:$S$500,0))=0,INDEX(Stock!$D$5:$D$500,MATCH(21-Stock!$R$2+1,Stock!$S$5:$S$500,0))="0"),"",INDEX(Stock!$D$5:$D$500,MATCH(21-Stock!$R$2+1,Stock!$S$5:$S$500,0)))&lt;&gt;"",IF(OR(INDEX(Stock!$D$5:$D$500,MATCH(21-Stock!$R$2+1,Stock!$S$5:$S$500,0))="",INDEX(Stock!$D$5:$D$500,MATCH(21-Stock!$R$2+1,Stock!$S$5:$S$500,0))=0,INDEX(Stock!$D$5:$D$500,MATCH(21-Stock!$R$2+1,Stock!$S$5:$S$500,0))="0"),"",INDEX(Stock!$D$5:$D$500,MATCH(21-Stock!$R$2+1,Stock!$S$5:$S$500,0))),IF(OR(INDEX(Stock!$C$5:$C$500,MATCH(21-Stock!$R$2+1,Stock!$S$5:$S$500,0))="",INDEX(Stock!$C$5:$C$500,MATCH(21-Stock!$R$2+1,Stock!$S$5:$S$500,0))=0,INDEX(Stock!$C$5:$C$500,MATCH(21-Stock!$R$2+1,Stock!$S$5:$S$500,0))="0"),"",INDEX(Stock!$C$5:$C$500,MATCH(21-Stock!$R$2+1,Stock!$S$5:$S$500,0))))),""))</f>
        <v xml:space="preserve">    1x2, 2,50 mm, THT, 90°, 250 V / 3 A</v>
      </c>
    </row>
    <row r="27" spans="1:3" ht="26" customHeight="1" x14ac:dyDescent="0.15">
      <c r="A27" s="65" t="str">
        <f>IFERROR(IF(19&lt;Stock!$R$2,"",IF(IF(OR(INDEX(Stock!$D$5:$D$500,MATCH(19-Stock!$R$2+1,Stock!$S$5:$S$500,0))="",INDEX(Stock!$D$5:$D$500,MATCH(19-Stock!$R$2+1,Stock!$S$5:$S$500,0))=0,INDEX(Stock!$D$5:$D$500,MATCH(19-Stock!$R$2+1,Stock!$S$5:$S$500,0))="0"),"",INDEX(Stock!$D$5:$D$500,MATCH(19-Stock!$R$2+1,Stock!$S$5:$S$500,0)))&lt;&gt;"",IF(OR(INDEX(Stock!$C$5:$C$500,MATCH(19-Stock!$R$2+1,Stock!$S$5:$S$500,0))="",INDEX(Stock!$C$5:$C$500,MATCH(19-Stock!$R$2+1,Stock!$S$5:$S$500,0))=0,INDEX(Stock!$C$5:$C$500,MATCH(19-Stock!$R$2+1,Stock!$S$5:$S$500,0))="0"),"",INDEX(Stock!$C$5:$C$500,MATCH(19-Stock!$R$2+1,Stock!$S$5:$S$500,0))),IF(OR(INDEX(Stock!$E$5:$E$500,MATCH(19-Stock!$R$2+1,Stock!$S$5:$S$500,0))="",INDEX(Stock!$E$5:$E$500,MATCH(19-Stock!$R$2+1,Stock!$S$5:$S$500,0))=0,INDEX(Stock!$E$5:$E$500,MATCH(19-Stock!$R$2+1,Stock!$S$5:$S$500,0))="0"),"",INDEX(Stock!$E$5:$E$500,MATCH(19-Stock!$R$2+1,Stock!$S$5:$S$500,0))))),"")</f>
        <v>Elektrolytkondensator 220 µF SMD, Low ESR</v>
      </c>
      <c r="B27" s="65" t="str">
        <f>"  "&amp;(IFERROR(IF(20&lt;Stock!$R$2,"",IF(IF(OR(INDEX(Stock!$D$5:$D$500,MATCH(20-Stock!$R$2+1,Stock!$S$5:$S$500,0))="",INDEX(Stock!$D$5:$D$500,MATCH(20-Stock!$R$2+1,Stock!$S$5:$S$500,0))=0,INDEX(Stock!$D$5:$D$500,MATCH(20-Stock!$R$2+1,Stock!$S$5:$S$500,0))="0"),"",INDEX(Stock!$D$5:$D$500,MATCH(20-Stock!$R$2+1,Stock!$S$5:$S$500,0)))&lt;&gt;"",IF(OR(INDEX(Stock!$C$5:$C$500,MATCH(20-Stock!$R$2+1,Stock!$S$5:$S$500,0))="",INDEX(Stock!$C$5:$C$500,MATCH(20-Stock!$R$2+1,Stock!$S$5:$S$500,0))=0,INDEX(Stock!$C$5:$C$500,MATCH(20-Stock!$R$2+1,Stock!$S$5:$S$500,0))="0"),"",INDEX(Stock!$C$5:$C$500,MATCH(20-Stock!$R$2+1,Stock!$S$5:$S$500,0))),IF(OR(INDEX(Stock!$E$5:$E$500,MATCH(20-Stock!$R$2+1,Stock!$S$5:$S$500,0))="",INDEX(Stock!$E$5:$E$500,MATCH(20-Stock!$R$2+1,Stock!$S$5:$S$500,0))=0,INDEX(Stock!$E$5:$E$500,MATCH(20-Stock!$R$2+1,Stock!$S$5:$S$500,0))="0"),"",INDEX(Stock!$E$5:$E$500,MATCH(20-Stock!$R$2+1,Stock!$S$5:$S$500,0))))),""))</f>
        <v xml:space="preserve">  Elektrolytkondensator 470 µF SMD, Low ESR</v>
      </c>
      <c r="C27" s="65" t="str">
        <f>"    "&amp;(IFERROR(IF(21&lt;Stock!$R$2,"",IF(IF(OR(INDEX(Stock!$D$5:$D$500,MATCH(21-Stock!$R$2+1,Stock!$S$5:$S$500,0))="",INDEX(Stock!$D$5:$D$500,MATCH(21-Stock!$R$2+1,Stock!$S$5:$S$500,0))=0,INDEX(Stock!$D$5:$D$500,MATCH(21-Stock!$R$2+1,Stock!$S$5:$S$500,0))="0"),"",INDEX(Stock!$D$5:$D$500,MATCH(21-Stock!$R$2+1,Stock!$S$5:$S$500,0)))&lt;&gt;"",IF(OR(INDEX(Stock!$C$5:$C$500,MATCH(21-Stock!$R$2+1,Stock!$S$5:$S$500,0))="",INDEX(Stock!$C$5:$C$500,MATCH(21-Stock!$R$2+1,Stock!$S$5:$S$500,0))=0,INDEX(Stock!$C$5:$C$500,MATCH(21-Stock!$R$2+1,Stock!$S$5:$S$500,0))="0"),"",INDEX(Stock!$C$5:$C$500,MATCH(21-Stock!$R$2+1,Stock!$S$5:$S$500,0))),IF(OR(INDEX(Stock!$E$5:$E$500,MATCH(21-Stock!$R$2+1,Stock!$S$5:$S$500,0))="",INDEX(Stock!$E$5:$E$500,MATCH(21-Stock!$R$2+1,Stock!$S$5:$S$500,0))=0,INDEX(Stock!$E$5:$E$500,MATCH(21-Stock!$R$2+1,Stock!$S$5:$S$500,0))="0"),"",INDEX(Stock!$E$5:$E$500,MATCH(21-Stock!$R$2+1,Stock!$S$5:$S$500,0))))),""))</f>
        <v xml:space="preserve">    JST-XH Stiftleiste 1x2, abgewinkelt</v>
      </c>
    </row>
    <row r="28" spans="1:3" ht="29" customHeight="1" x14ac:dyDescent="0.15">
      <c r="A28" s="66" t="str">
        <f>IFERROR(IF(19&lt;Stock!$R$2,"",IF(OR(INDEX(Stock!$B$5:$B$500,MATCH(19-Stock!$R$2+1,Stock!$S$5:$S$500,0))="",INDEX(Stock!$B$5:$B$500,MATCH(19-Stock!$R$2+1,Stock!$S$5:$S$500,0))=0,INDEX(Stock!$B$5:$B$500,MATCH(19-Stock!$R$2+1,Stock!$S$5:$S$500,0))="0"),"",INDEX(Stock!$B$5:$B$500,MATCH(19-Stock!$R$2+1,Stock!$S$5:$S$500,0)))&amp;IF(AND(IF(OR(INDEX(Stock!$B$5:$B$500,MATCH(19-Stock!$R$2+1,Stock!$S$5:$S$500,0))="",INDEX(Stock!$B$5:$B$500,MATCH(19-Stock!$R$2+1,Stock!$S$5:$S$500,0))=0,INDEX(Stock!$B$5:$B$500,MATCH(19-Stock!$R$2+1,Stock!$S$5:$S$500,0))="0"),"",INDEX(Stock!$B$5:$B$500,MATCH(19-Stock!$R$2+1,Stock!$S$5:$S$500,0)))&lt;&gt;"",IF(OR(INDEX(Stock!$G$5:$G$500,MATCH(19-Stock!$R$2+1,Stock!$S$5:$S$500,0))="",INDEX(Stock!$G$5:$G$500,MATCH(19-Stock!$R$2+1,Stock!$S$5:$S$500,0))=0,INDEX(Stock!$G$5:$G$500,MATCH(19-Stock!$R$2+1,Stock!$S$5:$S$500,0))="0"),"",INDEX(Stock!$G$5:$G$500,MATCH(19-Stock!$R$2+1,Stock!$S$5:$S$500,0)))&lt;&gt;"")," · ","")&amp;IF(OR(INDEX(Stock!$G$5:$G$500,MATCH(19-Stock!$R$2+1,Stock!$S$5:$S$500,0))="",INDEX(Stock!$G$5:$G$500,MATCH(19-Stock!$R$2+1,Stock!$S$5:$S$500,0))=0,INDEX(Stock!$G$5:$G$500,MATCH(19-Stock!$R$2+1,Stock!$S$5:$S$500,0))="0"),"",INDEX(Stock!$G$5:$G$500,MATCH(19-Stock!$R$2+1,Stock!$S$5:$S$500,0)))),"")</f>
        <v>Kondensator · EEEFPC221XAP</v>
      </c>
      <c r="B28" s="66" t="str">
        <f>"  "&amp;(IFERROR(IF(20&lt;Stock!$R$2,"",IF(OR(INDEX(Stock!$B$5:$B$500,MATCH(20-Stock!$R$2+1,Stock!$S$5:$S$500,0))="",INDEX(Stock!$B$5:$B$500,MATCH(20-Stock!$R$2+1,Stock!$S$5:$S$500,0))=0,INDEX(Stock!$B$5:$B$500,MATCH(20-Stock!$R$2+1,Stock!$S$5:$S$500,0))="0"),"",INDEX(Stock!$B$5:$B$500,MATCH(20-Stock!$R$2+1,Stock!$S$5:$S$500,0)))&amp;IF(AND(IF(OR(INDEX(Stock!$B$5:$B$500,MATCH(20-Stock!$R$2+1,Stock!$S$5:$S$500,0))="",INDEX(Stock!$B$5:$B$500,MATCH(20-Stock!$R$2+1,Stock!$S$5:$S$500,0))=0,INDEX(Stock!$B$5:$B$500,MATCH(20-Stock!$R$2+1,Stock!$S$5:$S$500,0))="0"),"",INDEX(Stock!$B$5:$B$500,MATCH(20-Stock!$R$2+1,Stock!$S$5:$S$500,0)))&lt;&gt;"",IF(OR(INDEX(Stock!$G$5:$G$500,MATCH(20-Stock!$R$2+1,Stock!$S$5:$S$500,0))="",INDEX(Stock!$G$5:$G$500,MATCH(20-Stock!$R$2+1,Stock!$S$5:$S$500,0))=0,INDEX(Stock!$G$5:$G$500,MATCH(20-Stock!$R$2+1,Stock!$S$5:$S$500,0))="0"),"",INDEX(Stock!$G$5:$G$500,MATCH(20-Stock!$R$2+1,Stock!$S$5:$S$500,0)))&lt;&gt;"")," · ","")&amp;IF(OR(INDEX(Stock!$G$5:$G$500,MATCH(20-Stock!$R$2+1,Stock!$S$5:$S$500,0))="",INDEX(Stock!$G$5:$G$500,MATCH(20-Stock!$R$2+1,Stock!$S$5:$S$500,0))=0,INDEX(Stock!$G$5:$G$500,MATCH(20-Stock!$R$2+1,Stock!$S$5:$S$500,0))="0"),"",INDEX(Stock!$G$5:$G$500,MATCH(20-Stock!$R$2+1,Stock!$S$5:$S$500,0)))),""))</f>
        <v xml:space="preserve">  Kondensator · EMZL160ARA471MHA0G</v>
      </c>
      <c r="C28" s="66" t="str">
        <f>"    "&amp;(IFERROR(IF(21&lt;Stock!$R$2,"",IF(OR(INDEX(Stock!$B$5:$B$500,MATCH(21-Stock!$R$2+1,Stock!$S$5:$S$500,0))="",INDEX(Stock!$B$5:$B$500,MATCH(21-Stock!$R$2+1,Stock!$S$5:$S$500,0))=0,INDEX(Stock!$B$5:$B$500,MATCH(21-Stock!$R$2+1,Stock!$S$5:$S$500,0))="0"),"",INDEX(Stock!$B$5:$B$500,MATCH(21-Stock!$R$2+1,Stock!$S$5:$S$500,0)))&amp;IF(AND(IF(OR(INDEX(Stock!$B$5:$B$500,MATCH(21-Stock!$R$2+1,Stock!$S$5:$S$500,0))="",INDEX(Stock!$B$5:$B$500,MATCH(21-Stock!$R$2+1,Stock!$S$5:$S$500,0))=0,INDEX(Stock!$B$5:$B$500,MATCH(21-Stock!$R$2+1,Stock!$S$5:$S$500,0))="0"),"",INDEX(Stock!$B$5:$B$500,MATCH(21-Stock!$R$2+1,Stock!$S$5:$S$500,0)))&lt;&gt;"",IF(OR(INDEX(Stock!$G$5:$G$500,MATCH(21-Stock!$R$2+1,Stock!$S$5:$S$500,0))="",INDEX(Stock!$G$5:$G$500,MATCH(21-Stock!$R$2+1,Stock!$S$5:$S$500,0))=0,INDEX(Stock!$G$5:$G$500,MATCH(21-Stock!$R$2+1,Stock!$S$5:$S$500,0))="0"),"",INDEX(Stock!$G$5:$G$500,MATCH(21-Stock!$R$2+1,Stock!$S$5:$S$500,0)))&lt;&gt;"")," · ","")&amp;IF(OR(INDEX(Stock!$G$5:$G$500,MATCH(21-Stock!$R$2+1,Stock!$S$5:$S$500,0))="",INDEX(Stock!$G$5:$G$500,MATCH(21-Stock!$R$2+1,Stock!$S$5:$S$500,0))=0,INDEX(Stock!$G$5:$G$500,MATCH(21-Stock!$R$2+1,Stock!$S$5:$S$500,0))="0"),"",INDEX(Stock!$G$5:$G$500,MATCH(21-Stock!$R$2+1,Stock!$S$5:$S$500,0)))),""))</f>
        <v xml:space="preserve">    Steckverbinder · S2B-XH-A</v>
      </c>
    </row>
    <row r="29" spans="1:3" ht="22" customHeight="1" x14ac:dyDescent="0.2">
      <c r="A29" s="63" t="str">
        <f>IFERROR(IF(22&lt;Stock!$R$2,"",INDEX(Stock!$A$5:$A$500,MATCH(22-Stock!$R$2+1,Stock!$S$5:$S$500,0))),"")</f>
        <v>ENP-00099</v>
      </c>
      <c r="B29" s="63" t="str">
        <f>"  "&amp;(IFERROR(IF(23&lt;Stock!$R$2,"",INDEX(Stock!$A$5:$A$500,MATCH(23-Stock!$R$2+1,Stock!$S$5:$S$500,0))),""))</f>
        <v xml:space="preserve">  ENP-00100</v>
      </c>
      <c r="C29" s="63" t="str">
        <f>"    "&amp;(IFERROR(IF(24&lt;Stock!$R$2,"",INDEX(Stock!$A$5:$A$500,MATCH(24-Stock!$R$2+1,Stock!$S$5:$S$500,0))),""))</f>
        <v xml:space="preserve">    ENP-00101</v>
      </c>
    </row>
    <row r="30" spans="1:3" ht="28" customHeight="1" x14ac:dyDescent="0.15">
      <c r="A30" s="64" t="str">
        <f>IFERROR(IF(22&lt;Stock!$R$2,"",IF(IF(OR(INDEX(Stock!$D$5:$D$500,MATCH(22-Stock!$R$2+1,Stock!$S$5:$S$500,0))="",INDEX(Stock!$D$5:$D$500,MATCH(22-Stock!$R$2+1,Stock!$S$5:$S$500,0))=0,INDEX(Stock!$D$5:$D$500,MATCH(22-Stock!$R$2+1,Stock!$S$5:$S$500,0))="0"),"",INDEX(Stock!$D$5:$D$500,MATCH(22-Stock!$R$2+1,Stock!$S$5:$S$500,0)))&lt;&gt;"",IF(OR(INDEX(Stock!$D$5:$D$500,MATCH(22-Stock!$R$2+1,Stock!$S$5:$S$500,0))="",INDEX(Stock!$D$5:$D$500,MATCH(22-Stock!$R$2+1,Stock!$S$5:$S$500,0))=0,INDEX(Stock!$D$5:$D$500,MATCH(22-Stock!$R$2+1,Stock!$S$5:$S$500,0))="0"),"",INDEX(Stock!$D$5:$D$500,MATCH(22-Stock!$R$2+1,Stock!$S$5:$S$500,0))),IF(OR(INDEX(Stock!$C$5:$C$500,MATCH(22-Stock!$R$2+1,Stock!$S$5:$S$500,0))="",INDEX(Stock!$C$5:$C$500,MATCH(22-Stock!$R$2+1,Stock!$S$5:$S$500,0))=0,INDEX(Stock!$C$5:$C$500,MATCH(22-Stock!$R$2+1,Stock!$S$5:$S$500,0))="0"),"",INDEX(Stock!$C$5:$C$500,MATCH(22-Stock!$R$2+1,Stock!$S$5:$S$500,0))))),"")</f>
        <v>1 kΩ, 1 %, 250 mW, 200 V, ±100 ppm/K</v>
      </c>
      <c r="B30" s="64" t="str">
        <f>"  "&amp;(IFERROR(IF(23&lt;Stock!$R$2,"",IF(IF(OR(INDEX(Stock!$D$5:$D$500,MATCH(23-Stock!$R$2+1,Stock!$S$5:$S$500,0))="",INDEX(Stock!$D$5:$D$500,MATCH(23-Stock!$R$2+1,Stock!$S$5:$S$500,0))=0,INDEX(Stock!$D$5:$D$500,MATCH(23-Stock!$R$2+1,Stock!$S$5:$S$500,0))="0"),"",INDEX(Stock!$D$5:$D$500,MATCH(23-Stock!$R$2+1,Stock!$S$5:$S$500,0)))&lt;&gt;"",IF(OR(INDEX(Stock!$D$5:$D$500,MATCH(23-Stock!$R$2+1,Stock!$S$5:$S$500,0))="",INDEX(Stock!$D$5:$D$500,MATCH(23-Stock!$R$2+1,Stock!$S$5:$S$500,0))=0,INDEX(Stock!$D$5:$D$500,MATCH(23-Stock!$R$2+1,Stock!$S$5:$S$500,0))="0"),"",INDEX(Stock!$D$5:$D$500,MATCH(23-Stock!$R$2+1,Stock!$S$5:$S$500,0))),IF(OR(INDEX(Stock!$C$5:$C$500,MATCH(23-Stock!$R$2+1,Stock!$S$5:$S$500,0))="",INDEX(Stock!$C$5:$C$500,MATCH(23-Stock!$R$2+1,Stock!$S$5:$S$500,0))=0,INDEX(Stock!$C$5:$C$500,MATCH(23-Stock!$R$2+1,Stock!$S$5:$S$500,0))="0"),"",INDEX(Stock!$C$5:$C$500,MATCH(23-Stock!$R$2+1,Stock!$S$5:$S$500,0))))),""))</f>
        <v xml:space="preserve">  Rot, 624 nm, 40 mcd, 160°, Vf max. 1,7 V, IF max. 20 mA</v>
      </c>
      <c r="C30" s="64" t="str">
        <f>"    "&amp;(IFERROR(IF(24&lt;Stock!$R$2,"",IF(IF(OR(INDEX(Stock!$D$5:$D$500,MATCH(24-Stock!$R$2+1,Stock!$S$5:$S$500,0))="",INDEX(Stock!$D$5:$D$500,MATCH(24-Stock!$R$2+1,Stock!$S$5:$S$500,0))=0,INDEX(Stock!$D$5:$D$500,MATCH(24-Stock!$R$2+1,Stock!$S$5:$S$500,0))="0"),"",INDEX(Stock!$D$5:$D$500,MATCH(24-Stock!$R$2+1,Stock!$S$5:$S$500,0)))&lt;&gt;"",IF(OR(INDEX(Stock!$D$5:$D$500,MATCH(24-Stock!$R$2+1,Stock!$S$5:$S$500,0))="",INDEX(Stock!$D$5:$D$500,MATCH(24-Stock!$R$2+1,Stock!$S$5:$S$500,0))=0,INDEX(Stock!$D$5:$D$500,MATCH(24-Stock!$R$2+1,Stock!$S$5:$S$500,0))="0"),"",INDEX(Stock!$D$5:$D$500,MATCH(24-Stock!$R$2+1,Stock!$S$5:$S$500,0))),IF(OR(INDEX(Stock!$C$5:$C$500,MATCH(24-Stock!$R$2+1,Stock!$S$5:$S$500,0))="",INDEX(Stock!$C$5:$C$500,MATCH(24-Stock!$R$2+1,Stock!$S$5:$S$500,0))=0,INDEX(Stock!$C$5:$C$500,MATCH(24-Stock!$R$2+1,Stock!$S$5:$S$500,0))="0"),"",INDEX(Stock!$C$5:$C$500,MATCH(24-Stock!$R$2+1,Stock!$S$5:$S$500,0))))),""))</f>
        <v xml:space="preserve">    2-polig, Raster 2,54 mm, vergoldet, schwarz, mit Grifflasche</v>
      </c>
    </row>
    <row r="31" spans="1:3" ht="26" customHeight="1" x14ac:dyDescent="0.15">
      <c r="A31" s="65" t="str">
        <f>IFERROR(IF(22&lt;Stock!$R$2,"",IF(IF(OR(INDEX(Stock!$D$5:$D$500,MATCH(22-Stock!$R$2+1,Stock!$S$5:$S$500,0))="",INDEX(Stock!$D$5:$D$500,MATCH(22-Stock!$R$2+1,Stock!$S$5:$S$500,0))=0,INDEX(Stock!$D$5:$D$500,MATCH(22-Stock!$R$2+1,Stock!$S$5:$S$500,0))="0"),"",INDEX(Stock!$D$5:$D$500,MATCH(22-Stock!$R$2+1,Stock!$S$5:$S$500,0)))&lt;&gt;"",IF(OR(INDEX(Stock!$C$5:$C$500,MATCH(22-Stock!$R$2+1,Stock!$S$5:$S$500,0))="",INDEX(Stock!$C$5:$C$500,MATCH(22-Stock!$R$2+1,Stock!$S$5:$S$500,0))=0,INDEX(Stock!$C$5:$C$500,MATCH(22-Stock!$R$2+1,Stock!$S$5:$S$500,0))="0"),"",INDEX(Stock!$C$5:$C$500,MATCH(22-Stock!$R$2+1,Stock!$S$5:$S$500,0))),IF(OR(INDEX(Stock!$E$5:$E$500,MATCH(22-Stock!$R$2+1,Stock!$S$5:$S$500,0))="",INDEX(Stock!$E$5:$E$500,MATCH(22-Stock!$R$2+1,Stock!$S$5:$S$500,0))=0,INDEX(Stock!$E$5:$E$500,MATCH(22-Stock!$R$2+1,Stock!$S$5:$S$500,0))="0"),"",INDEX(Stock!$E$5:$E$500,MATCH(22-Stock!$R$2+1,Stock!$S$5:$S$500,0))))),"")</f>
        <v>SMD-Widerstand 1 kOhm, 1 %, 1206</v>
      </c>
      <c r="B31" s="65" t="str">
        <f>"  "&amp;(IFERROR(IF(23&lt;Stock!$R$2,"",IF(IF(OR(INDEX(Stock!$D$5:$D$500,MATCH(23-Stock!$R$2+1,Stock!$S$5:$S$500,0))="",INDEX(Stock!$D$5:$D$500,MATCH(23-Stock!$R$2+1,Stock!$S$5:$S$500,0))=0,INDEX(Stock!$D$5:$D$500,MATCH(23-Stock!$R$2+1,Stock!$S$5:$S$500,0))="0"),"",INDEX(Stock!$D$5:$D$500,MATCH(23-Stock!$R$2+1,Stock!$S$5:$S$500,0)))&lt;&gt;"",IF(OR(INDEX(Stock!$C$5:$C$500,MATCH(23-Stock!$R$2+1,Stock!$S$5:$S$500,0))="",INDEX(Stock!$C$5:$C$500,MATCH(23-Stock!$R$2+1,Stock!$S$5:$S$500,0))=0,INDEX(Stock!$C$5:$C$500,MATCH(23-Stock!$R$2+1,Stock!$S$5:$S$500,0))="0"),"",INDEX(Stock!$C$5:$C$500,MATCH(23-Stock!$R$2+1,Stock!$S$5:$S$500,0))),IF(OR(INDEX(Stock!$E$5:$E$500,MATCH(23-Stock!$R$2+1,Stock!$S$5:$S$500,0))="",INDEX(Stock!$E$5:$E$500,MATCH(23-Stock!$R$2+1,Stock!$S$5:$S$500,0))=0,INDEX(Stock!$E$5:$E$500,MATCH(23-Stock!$R$2+1,Stock!$S$5:$S$500,0))="0"),"",INDEX(Stock!$E$5:$E$500,MATCH(23-Stock!$R$2+1,Stock!$S$5:$S$500,0))))),""))</f>
        <v xml:space="preserve">  LED SMD 1206, rot</v>
      </c>
      <c r="C31" s="65" t="str">
        <f>"    "&amp;(IFERROR(IF(24&lt;Stock!$R$2,"",IF(IF(OR(INDEX(Stock!$D$5:$D$500,MATCH(24-Stock!$R$2+1,Stock!$S$5:$S$500,0))="",INDEX(Stock!$D$5:$D$500,MATCH(24-Stock!$R$2+1,Stock!$S$5:$S$500,0))=0,INDEX(Stock!$D$5:$D$500,MATCH(24-Stock!$R$2+1,Stock!$S$5:$S$500,0))="0"),"",INDEX(Stock!$D$5:$D$500,MATCH(24-Stock!$R$2+1,Stock!$S$5:$S$500,0)))&lt;&gt;"",IF(OR(INDEX(Stock!$C$5:$C$500,MATCH(24-Stock!$R$2+1,Stock!$S$5:$S$500,0))="",INDEX(Stock!$C$5:$C$500,MATCH(24-Stock!$R$2+1,Stock!$S$5:$S$500,0))=0,INDEX(Stock!$C$5:$C$500,MATCH(24-Stock!$R$2+1,Stock!$S$5:$S$500,0))="0"),"",INDEX(Stock!$C$5:$C$500,MATCH(24-Stock!$R$2+1,Stock!$S$5:$S$500,0))),IF(OR(INDEX(Stock!$E$5:$E$500,MATCH(24-Stock!$R$2+1,Stock!$S$5:$S$500,0))="",INDEX(Stock!$E$5:$E$500,MATCH(24-Stock!$R$2+1,Stock!$S$5:$S$500,0))=0,INDEX(Stock!$E$5:$E$500,MATCH(24-Stock!$R$2+1,Stock!$S$5:$S$500,0))="0"),"",INDEX(Stock!$E$5:$E$500,MATCH(24-Stock!$R$2+1,Stock!$S$5:$S$500,0))))),""))</f>
        <v xml:space="preserve">    Kurzschlussbrücke 2,54 mm, schwarz, mit Grifflasche</v>
      </c>
    </row>
    <row r="32" spans="1:3" ht="29" customHeight="1" x14ac:dyDescent="0.15">
      <c r="A32" s="66" t="str">
        <f>IFERROR(IF(22&lt;Stock!$R$2,"",IF(OR(INDEX(Stock!$B$5:$B$500,MATCH(22-Stock!$R$2+1,Stock!$S$5:$S$500,0))="",INDEX(Stock!$B$5:$B$500,MATCH(22-Stock!$R$2+1,Stock!$S$5:$S$500,0))=0,INDEX(Stock!$B$5:$B$500,MATCH(22-Stock!$R$2+1,Stock!$S$5:$S$500,0))="0"),"",INDEX(Stock!$B$5:$B$500,MATCH(22-Stock!$R$2+1,Stock!$S$5:$S$500,0)))&amp;IF(AND(IF(OR(INDEX(Stock!$B$5:$B$500,MATCH(22-Stock!$R$2+1,Stock!$S$5:$S$500,0))="",INDEX(Stock!$B$5:$B$500,MATCH(22-Stock!$R$2+1,Stock!$S$5:$S$500,0))=0,INDEX(Stock!$B$5:$B$500,MATCH(22-Stock!$R$2+1,Stock!$S$5:$S$500,0))="0"),"",INDEX(Stock!$B$5:$B$500,MATCH(22-Stock!$R$2+1,Stock!$S$5:$S$500,0)))&lt;&gt;"",IF(OR(INDEX(Stock!$G$5:$G$500,MATCH(22-Stock!$R$2+1,Stock!$S$5:$S$500,0))="",INDEX(Stock!$G$5:$G$500,MATCH(22-Stock!$R$2+1,Stock!$S$5:$S$500,0))=0,INDEX(Stock!$G$5:$G$500,MATCH(22-Stock!$R$2+1,Stock!$S$5:$S$500,0))="0"),"",INDEX(Stock!$G$5:$G$500,MATCH(22-Stock!$R$2+1,Stock!$S$5:$S$500,0)))&lt;&gt;"")," · ","")&amp;IF(OR(INDEX(Stock!$G$5:$G$500,MATCH(22-Stock!$R$2+1,Stock!$S$5:$S$500,0))="",INDEX(Stock!$G$5:$G$500,MATCH(22-Stock!$R$2+1,Stock!$S$5:$S$500,0))=0,INDEX(Stock!$G$5:$G$500,MATCH(22-Stock!$R$2+1,Stock!$S$5:$S$500,0))="0"),"",INDEX(Stock!$G$5:$G$500,MATCH(22-Stock!$R$2+1,Stock!$S$5:$S$500,0)))),"")</f>
        <v>Widerstand · WR12X1001FTL</v>
      </c>
      <c r="B32" s="66" t="str">
        <f>"  "&amp;(IFERROR(IF(23&lt;Stock!$R$2,"",IF(OR(INDEX(Stock!$B$5:$B$500,MATCH(23-Stock!$R$2+1,Stock!$S$5:$S$500,0))="",INDEX(Stock!$B$5:$B$500,MATCH(23-Stock!$R$2+1,Stock!$S$5:$S$500,0))=0,INDEX(Stock!$B$5:$B$500,MATCH(23-Stock!$R$2+1,Stock!$S$5:$S$500,0))="0"),"",INDEX(Stock!$B$5:$B$500,MATCH(23-Stock!$R$2+1,Stock!$S$5:$S$500,0)))&amp;IF(AND(IF(OR(INDEX(Stock!$B$5:$B$500,MATCH(23-Stock!$R$2+1,Stock!$S$5:$S$500,0))="",INDEX(Stock!$B$5:$B$500,MATCH(23-Stock!$R$2+1,Stock!$S$5:$S$500,0))=0,INDEX(Stock!$B$5:$B$500,MATCH(23-Stock!$R$2+1,Stock!$S$5:$S$500,0))="0"),"",INDEX(Stock!$B$5:$B$500,MATCH(23-Stock!$R$2+1,Stock!$S$5:$S$500,0)))&lt;&gt;"",IF(OR(INDEX(Stock!$G$5:$G$500,MATCH(23-Stock!$R$2+1,Stock!$S$5:$S$500,0))="",INDEX(Stock!$G$5:$G$500,MATCH(23-Stock!$R$2+1,Stock!$S$5:$S$500,0))=0,INDEX(Stock!$G$5:$G$500,MATCH(23-Stock!$R$2+1,Stock!$S$5:$S$500,0))="0"),"",INDEX(Stock!$G$5:$G$500,MATCH(23-Stock!$R$2+1,Stock!$S$5:$S$500,0)))&lt;&gt;"")," · ","")&amp;IF(OR(INDEX(Stock!$G$5:$G$500,MATCH(23-Stock!$R$2+1,Stock!$S$5:$S$500,0))="",INDEX(Stock!$G$5:$G$500,MATCH(23-Stock!$R$2+1,Stock!$S$5:$S$500,0))=0,INDEX(Stock!$G$5:$G$500,MATCH(23-Stock!$R$2+1,Stock!$S$5:$S$500,0))="0"),"",INDEX(Stock!$G$5:$G$500,MATCH(23-Stock!$R$2+1,Stock!$S$5:$S$500,0)))),""))</f>
        <v xml:space="preserve">  LED · 15-21SURD/S530-A3/TR8</v>
      </c>
      <c r="C32" s="66" t="str">
        <f>"    "&amp;(IFERROR(IF(24&lt;Stock!$R$2,"",IF(OR(INDEX(Stock!$B$5:$B$500,MATCH(24-Stock!$R$2+1,Stock!$S$5:$S$500,0))="",INDEX(Stock!$B$5:$B$500,MATCH(24-Stock!$R$2+1,Stock!$S$5:$S$500,0))=0,INDEX(Stock!$B$5:$B$500,MATCH(24-Stock!$R$2+1,Stock!$S$5:$S$500,0))="0"),"",INDEX(Stock!$B$5:$B$500,MATCH(24-Stock!$R$2+1,Stock!$S$5:$S$500,0)))&amp;IF(AND(IF(OR(INDEX(Stock!$B$5:$B$500,MATCH(24-Stock!$R$2+1,Stock!$S$5:$S$500,0))="",INDEX(Stock!$B$5:$B$500,MATCH(24-Stock!$R$2+1,Stock!$S$5:$S$500,0))=0,INDEX(Stock!$B$5:$B$500,MATCH(24-Stock!$R$2+1,Stock!$S$5:$S$500,0))="0"),"",INDEX(Stock!$B$5:$B$500,MATCH(24-Stock!$R$2+1,Stock!$S$5:$S$500,0)))&lt;&gt;"",IF(OR(INDEX(Stock!$G$5:$G$500,MATCH(24-Stock!$R$2+1,Stock!$S$5:$S$500,0))="",INDEX(Stock!$G$5:$G$500,MATCH(24-Stock!$R$2+1,Stock!$S$5:$S$500,0))=0,INDEX(Stock!$G$5:$G$500,MATCH(24-Stock!$R$2+1,Stock!$S$5:$S$500,0))="0"),"",INDEX(Stock!$G$5:$G$500,MATCH(24-Stock!$R$2+1,Stock!$S$5:$S$500,0)))&lt;&gt;"")," · ","")&amp;IF(OR(INDEX(Stock!$G$5:$G$500,MATCH(24-Stock!$R$2+1,Stock!$S$5:$S$500,0))="",INDEX(Stock!$G$5:$G$500,MATCH(24-Stock!$R$2+1,Stock!$S$5:$S$500,0))=0,INDEX(Stock!$G$5:$G$500,MATCH(24-Stock!$R$2+1,Stock!$S$5:$S$500,0))="0"),"",INDEX(Stock!$G$5:$G$500,MATCH(24-Stock!$R$2+1,Stock!$S$5:$S$500,0)))),""))</f>
        <v xml:space="preserve">    Steckbrücke</v>
      </c>
    </row>
  </sheetData>
  <pageMargins left="0" right="0" top="0" bottom="0" header="0.511811023622047" footer="0.511811023622047"/>
  <pageSetup paperSize="9" scale="96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2"/>
  <sheetViews>
    <sheetView showGridLines="0" zoomScaleNormal="100" workbookViewId="0"/>
  </sheetViews>
  <sheetFormatPr baseColWidth="10" defaultColWidth="8.6640625" defaultRowHeight="13" x14ac:dyDescent="0.15"/>
  <cols>
    <col min="1" max="1" width="14" customWidth="1"/>
    <col min="2" max="2" width="18" customWidth="1"/>
    <col min="3" max="3" width="24" customWidth="1"/>
    <col min="4" max="4" width="48" customWidth="1"/>
    <col min="5" max="6" width="16" customWidth="1"/>
    <col min="7" max="7" width="18" customWidth="1"/>
    <col min="8" max="8" width="12" customWidth="1"/>
    <col min="9" max="9" width="16" customWidth="1"/>
    <col min="10" max="10" width="35" customWidth="1"/>
    <col min="11" max="12" width="2" customWidth="1"/>
  </cols>
  <sheetData>
    <row r="1" spans="1:12" ht="30" customHeight="1" x14ac:dyDescent="0.15">
      <c r="A1" s="67" t="s">
        <v>0</v>
      </c>
      <c r="B1" s="67" t="s">
        <v>795</v>
      </c>
      <c r="C1" s="67" t="s">
        <v>796</v>
      </c>
      <c r="D1" s="67" t="s">
        <v>802</v>
      </c>
      <c r="E1" s="67" t="s">
        <v>756</v>
      </c>
      <c r="F1" s="67" t="s">
        <v>834</v>
      </c>
      <c r="G1" s="67" t="s">
        <v>798</v>
      </c>
      <c r="H1" s="67" t="s">
        <v>835</v>
      </c>
      <c r="I1" s="67" t="s">
        <v>836</v>
      </c>
      <c r="J1" s="67" t="s">
        <v>11</v>
      </c>
      <c r="K1" s="68" t="s">
        <v>837</v>
      </c>
      <c r="L1" s="68" t="s">
        <v>838</v>
      </c>
    </row>
    <row r="2" spans="1:12" ht="20" customHeight="1" x14ac:dyDescent="0.15">
      <c r="A2" s="69" t="s">
        <v>13</v>
      </c>
      <c r="B2" s="69" t="s">
        <v>817</v>
      </c>
      <c r="C2" s="69"/>
      <c r="D2" s="69" t="s">
        <v>839</v>
      </c>
      <c r="E2" s="70">
        <v>15.3</v>
      </c>
      <c r="F2" s="69" t="s">
        <v>840</v>
      </c>
      <c r="G2" s="69">
        <v>10</v>
      </c>
      <c r="H2" s="69" t="s">
        <v>792</v>
      </c>
      <c r="I2" s="71"/>
      <c r="J2" s="69"/>
      <c r="K2" s="72" t="str">
        <f t="shared" ref="K2:K33" si="0">A2&amp;"|"&amp;B2</f>
        <v>ENP-00001|eBay</v>
      </c>
      <c r="L2" s="72" t="str">
        <f t="shared" ref="L2:L33" si="1">A2&amp;"|"&amp;H2</f>
        <v>ENP-00001|Ja</v>
      </c>
    </row>
    <row r="3" spans="1:12" ht="20" customHeight="1" x14ac:dyDescent="0.15">
      <c r="A3" s="69" t="s">
        <v>24</v>
      </c>
      <c r="B3" s="69" t="s">
        <v>817</v>
      </c>
      <c r="C3" s="69"/>
      <c r="D3" s="69" t="s">
        <v>841</v>
      </c>
      <c r="E3" s="70">
        <v>6.69</v>
      </c>
      <c r="F3" s="69" t="s">
        <v>840</v>
      </c>
      <c r="G3" s="69">
        <v>10</v>
      </c>
      <c r="H3" s="69" t="s">
        <v>792</v>
      </c>
      <c r="I3" s="71"/>
      <c r="J3" s="69"/>
      <c r="K3" s="72" t="str">
        <f t="shared" si="0"/>
        <v>ENP-00002|eBay</v>
      </c>
      <c r="L3" s="72" t="str">
        <f t="shared" si="1"/>
        <v>ENP-00002|Ja</v>
      </c>
    </row>
    <row r="4" spans="1:12" ht="20" customHeight="1" x14ac:dyDescent="0.15">
      <c r="A4" s="69" t="s">
        <v>30</v>
      </c>
      <c r="B4" s="69" t="s">
        <v>822</v>
      </c>
      <c r="C4" s="69" t="s">
        <v>842</v>
      </c>
      <c r="D4" s="69" t="s">
        <v>843</v>
      </c>
      <c r="E4" s="70">
        <v>0.81</v>
      </c>
      <c r="F4" s="69" t="s">
        <v>840</v>
      </c>
      <c r="G4" s="69"/>
      <c r="H4" s="69" t="s">
        <v>792</v>
      </c>
      <c r="I4" s="71"/>
      <c r="J4" s="69"/>
      <c r="K4" s="72" t="str">
        <f t="shared" si="0"/>
        <v>ENP-00003|Reichelt</v>
      </c>
      <c r="L4" s="72" t="str">
        <f t="shared" si="1"/>
        <v>ENP-00003|Ja</v>
      </c>
    </row>
    <row r="5" spans="1:12" ht="20" customHeight="1" x14ac:dyDescent="0.15">
      <c r="A5" s="69" t="s">
        <v>40</v>
      </c>
      <c r="B5" s="69" t="s">
        <v>822</v>
      </c>
      <c r="C5" s="69" t="s">
        <v>844</v>
      </c>
      <c r="D5" s="69" t="s">
        <v>845</v>
      </c>
      <c r="E5" s="70">
        <v>2.5499999999999998</v>
      </c>
      <c r="F5" s="69" t="s">
        <v>840</v>
      </c>
      <c r="G5" s="69"/>
      <c r="H5" s="69" t="s">
        <v>792</v>
      </c>
      <c r="I5" s="71"/>
      <c r="J5" s="69"/>
      <c r="K5" s="72" t="str">
        <f t="shared" si="0"/>
        <v>ENP-00004|Reichelt</v>
      </c>
      <c r="L5" s="72" t="str">
        <f t="shared" si="1"/>
        <v>ENP-00004|Ja</v>
      </c>
    </row>
    <row r="6" spans="1:12" ht="20" customHeight="1" x14ac:dyDescent="0.15">
      <c r="A6" s="69" t="s">
        <v>46</v>
      </c>
      <c r="B6" s="69" t="s">
        <v>822</v>
      </c>
      <c r="C6" s="69" t="s">
        <v>846</v>
      </c>
      <c r="D6" s="69" t="s">
        <v>847</v>
      </c>
      <c r="E6" s="70">
        <v>0.15</v>
      </c>
      <c r="F6" s="69" t="s">
        <v>840</v>
      </c>
      <c r="G6" s="69"/>
      <c r="H6" s="69" t="s">
        <v>792</v>
      </c>
      <c r="I6" s="71"/>
      <c r="J6" s="69"/>
      <c r="K6" s="72" t="str">
        <f t="shared" si="0"/>
        <v>ENP-00005|Reichelt</v>
      </c>
      <c r="L6" s="72" t="str">
        <f t="shared" si="1"/>
        <v>ENP-00005|Ja</v>
      </c>
    </row>
    <row r="7" spans="1:12" ht="20" customHeight="1" x14ac:dyDescent="0.15">
      <c r="A7" s="69" t="s">
        <v>56</v>
      </c>
      <c r="B7" s="69" t="s">
        <v>822</v>
      </c>
      <c r="C7" s="69" t="s">
        <v>848</v>
      </c>
      <c r="D7" s="69" t="s">
        <v>849</v>
      </c>
      <c r="E7" s="70">
        <v>0.24</v>
      </c>
      <c r="F7" s="69" t="s">
        <v>840</v>
      </c>
      <c r="G7" s="69">
        <v>10</v>
      </c>
      <c r="H7" s="69" t="s">
        <v>792</v>
      </c>
      <c r="I7" s="71"/>
      <c r="J7" s="69"/>
      <c r="K7" s="72" t="str">
        <f t="shared" si="0"/>
        <v>ENP-00006|Reichelt</v>
      </c>
      <c r="L7" s="72" t="str">
        <f t="shared" si="1"/>
        <v>ENP-00006|Ja</v>
      </c>
    </row>
    <row r="8" spans="1:12" ht="20" customHeight="1" x14ac:dyDescent="0.15">
      <c r="A8" s="69" t="s">
        <v>66</v>
      </c>
      <c r="B8" s="69" t="s">
        <v>822</v>
      </c>
      <c r="C8" s="69" t="s">
        <v>70</v>
      </c>
      <c r="D8" s="69" t="s">
        <v>850</v>
      </c>
      <c r="E8" s="70">
        <v>0.11</v>
      </c>
      <c r="F8" s="69" t="s">
        <v>840</v>
      </c>
      <c r="G8" s="69">
        <v>10</v>
      </c>
      <c r="H8" s="69" t="s">
        <v>792</v>
      </c>
      <c r="I8" s="71"/>
      <c r="J8" s="69"/>
      <c r="K8" s="72" t="str">
        <f t="shared" si="0"/>
        <v>ENP-00007|Reichelt</v>
      </c>
      <c r="L8" s="72" t="str">
        <f t="shared" si="1"/>
        <v>ENP-00007|Ja</v>
      </c>
    </row>
    <row r="9" spans="1:12" ht="20" customHeight="1" x14ac:dyDescent="0.15">
      <c r="A9" s="69" t="s">
        <v>74</v>
      </c>
      <c r="B9" s="69" t="s">
        <v>822</v>
      </c>
      <c r="C9" s="69" t="s">
        <v>851</v>
      </c>
      <c r="D9" s="69" t="s">
        <v>852</v>
      </c>
      <c r="E9" s="70">
        <v>0.28999999999999998</v>
      </c>
      <c r="F9" s="69" t="s">
        <v>840</v>
      </c>
      <c r="G9" s="69"/>
      <c r="H9" s="69" t="s">
        <v>792</v>
      </c>
      <c r="I9" s="71"/>
      <c r="J9" s="69"/>
      <c r="K9" s="72" t="str">
        <f t="shared" si="0"/>
        <v>ENP-00008|Reichelt</v>
      </c>
      <c r="L9" s="72" t="str">
        <f t="shared" si="1"/>
        <v>ENP-00008|Ja</v>
      </c>
    </row>
    <row r="10" spans="1:12" ht="20" customHeight="1" x14ac:dyDescent="0.15">
      <c r="A10" s="69" t="s">
        <v>81</v>
      </c>
      <c r="B10" s="69" t="s">
        <v>822</v>
      </c>
      <c r="C10" s="69" t="s">
        <v>853</v>
      </c>
      <c r="D10" s="69" t="s">
        <v>854</v>
      </c>
      <c r="E10" s="70">
        <v>1</v>
      </c>
      <c r="F10" s="69" t="s">
        <v>840</v>
      </c>
      <c r="G10" s="69">
        <v>3</v>
      </c>
      <c r="H10" s="69" t="s">
        <v>792</v>
      </c>
      <c r="I10" s="71"/>
      <c r="J10" s="69"/>
      <c r="K10" s="72" t="str">
        <f t="shared" si="0"/>
        <v>ENP-00009|Reichelt</v>
      </c>
      <c r="L10" s="72" t="str">
        <f t="shared" si="1"/>
        <v>ENP-00009|Ja</v>
      </c>
    </row>
    <row r="11" spans="1:12" ht="20" customHeight="1" x14ac:dyDescent="0.15">
      <c r="A11" s="69" t="s">
        <v>90</v>
      </c>
      <c r="B11" s="69" t="s">
        <v>826</v>
      </c>
      <c r="C11" s="69"/>
      <c r="D11" s="69"/>
      <c r="E11" s="70">
        <v>5</v>
      </c>
      <c r="F11" s="69" t="s">
        <v>840</v>
      </c>
      <c r="G11" s="69">
        <v>3</v>
      </c>
      <c r="H11" s="69" t="s">
        <v>792</v>
      </c>
      <c r="I11" s="71"/>
      <c r="J11" s="69"/>
      <c r="K11" s="72" t="str">
        <f t="shared" si="0"/>
        <v>ENP-00010|Noch festlegen</v>
      </c>
      <c r="L11" s="72" t="str">
        <f t="shared" si="1"/>
        <v>ENP-00010|Ja</v>
      </c>
    </row>
    <row r="12" spans="1:12" ht="20" customHeight="1" x14ac:dyDescent="0.15">
      <c r="A12" s="69" t="s">
        <v>99</v>
      </c>
      <c r="B12" s="69" t="s">
        <v>103</v>
      </c>
      <c r="C12" s="69"/>
      <c r="D12" s="69" t="s">
        <v>855</v>
      </c>
      <c r="E12" s="70">
        <v>7.85</v>
      </c>
      <c r="F12" s="69" t="s">
        <v>840</v>
      </c>
      <c r="G12" s="69">
        <v>5</v>
      </c>
      <c r="H12" s="69" t="s">
        <v>792</v>
      </c>
      <c r="I12" s="71"/>
      <c r="J12" s="69"/>
      <c r="K12" s="72" t="str">
        <f t="shared" si="0"/>
        <v>ENP-00011|JLCPCB</v>
      </c>
      <c r="L12" s="72" t="str">
        <f t="shared" si="1"/>
        <v>ENP-00011|Ja</v>
      </c>
    </row>
    <row r="13" spans="1:12" ht="20" customHeight="1" x14ac:dyDescent="0.15">
      <c r="A13" s="69" t="s">
        <v>106</v>
      </c>
      <c r="B13" s="69" t="s">
        <v>822</v>
      </c>
      <c r="C13" s="69" t="s">
        <v>856</v>
      </c>
      <c r="D13" s="69" t="s">
        <v>857</v>
      </c>
      <c r="E13" s="70">
        <v>1.3</v>
      </c>
      <c r="F13" s="69" t="s">
        <v>840</v>
      </c>
      <c r="G13" s="69"/>
      <c r="H13" s="69" t="s">
        <v>792</v>
      </c>
      <c r="I13" s="71"/>
      <c r="J13" s="69"/>
      <c r="K13" s="72" t="str">
        <f t="shared" si="0"/>
        <v>ENP-00012|Reichelt</v>
      </c>
      <c r="L13" s="72" t="str">
        <f t="shared" si="1"/>
        <v>ENP-00012|Ja</v>
      </c>
    </row>
    <row r="14" spans="1:12" ht="20" customHeight="1" x14ac:dyDescent="0.15">
      <c r="A14" s="69" t="s">
        <v>112</v>
      </c>
      <c r="B14" s="69" t="s">
        <v>822</v>
      </c>
      <c r="C14" s="69" t="s">
        <v>118</v>
      </c>
      <c r="D14" s="69" t="s">
        <v>858</v>
      </c>
      <c r="E14" s="70">
        <v>0.18</v>
      </c>
      <c r="F14" s="69" t="s">
        <v>840</v>
      </c>
      <c r="G14" s="69"/>
      <c r="H14" s="69" t="s">
        <v>792</v>
      </c>
      <c r="I14" s="71"/>
      <c r="J14" s="69"/>
      <c r="K14" s="72" t="str">
        <f t="shared" si="0"/>
        <v>ENP-00013|Reichelt</v>
      </c>
      <c r="L14" s="72" t="str">
        <f t="shared" si="1"/>
        <v>ENP-00013|Ja</v>
      </c>
    </row>
    <row r="15" spans="1:12" ht="20" customHeight="1" x14ac:dyDescent="0.15">
      <c r="A15" s="69" t="s">
        <v>121</v>
      </c>
      <c r="B15" s="69" t="s">
        <v>822</v>
      </c>
      <c r="C15" s="69" t="s">
        <v>859</v>
      </c>
      <c r="D15" s="69" t="s">
        <v>860</v>
      </c>
      <c r="E15" s="70">
        <v>5.3</v>
      </c>
      <c r="F15" s="69" t="s">
        <v>840</v>
      </c>
      <c r="G15" s="69"/>
      <c r="H15" s="69" t="s">
        <v>792</v>
      </c>
      <c r="I15" s="71"/>
      <c r="J15" s="69"/>
      <c r="K15" s="72" t="str">
        <f t="shared" si="0"/>
        <v>ENP-00014|Reichelt</v>
      </c>
      <c r="L15" s="72" t="str">
        <f t="shared" si="1"/>
        <v>ENP-00014|Ja</v>
      </c>
    </row>
    <row r="16" spans="1:12" ht="20" customHeight="1" x14ac:dyDescent="0.15">
      <c r="A16" s="69" t="s">
        <v>128</v>
      </c>
      <c r="B16" s="69" t="s">
        <v>822</v>
      </c>
      <c r="C16" s="69" t="s">
        <v>861</v>
      </c>
      <c r="D16" s="69" t="s">
        <v>862</v>
      </c>
      <c r="E16" s="70">
        <v>8.85</v>
      </c>
      <c r="F16" s="69" t="s">
        <v>840</v>
      </c>
      <c r="G16" s="69"/>
      <c r="H16" s="69" t="s">
        <v>792</v>
      </c>
      <c r="I16" s="71"/>
      <c r="J16" s="69"/>
      <c r="K16" s="72" t="str">
        <f t="shared" si="0"/>
        <v>ENP-00015|Reichelt</v>
      </c>
      <c r="L16" s="72" t="str">
        <f t="shared" si="1"/>
        <v>ENP-00015|Ja</v>
      </c>
    </row>
    <row r="17" spans="1:12" ht="20" customHeight="1" x14ac:dyDescent="0.15">
      <c r="A17" s="69" t="s">
        <v>133</v>
      </c>
      <c r="B17" s="69" t="s">
        <v>822</v>
      </c>
      <c r="C17" s="69" t="s">
        <v>863</v>
      </c>
      <c r="D17" s="69" t="s">
        <v>864</v>
      </c>
      <c r="E17" s="70">
        <v>0.83</v>
      </c>
      <c r="F17" s="69" t="s">
        <v>840</v>
      </c>
      <c r="G17" s="69"/>
      <c r="H17" s="69" t="s">
        <v>792</v>
      </c>
      <c r="I17" s="71"/>
      <c r="J17" s="69"/>
      <c r="K17" s="72" t="str">
        <f t="shared" si="0"/>
        <v>ENP-00016|Reichelt</v>
      </c>
      <c r="L17" s="72" t="str">
        <f t="shared" si="1"/>
        <v>ENP-00016|Ja</v>
      </c>
    </row>
    <row r="18" spans="1:12" ht="20" customHeight="1" x14ac:dyDescent="0.15">
      <c r="A18" s="69" t="s">
        <v>141</v>
      </c>
      <c r="B18" s="69" t="s">
        <v>822</v>
      </c>
      <c r="C18" s="69" t="s">
        <v>865</v>
      </c>
      <c r="D18" s="69" t="s">
        <v>866</v>
      </c>
      <c r="E18" s="70">
        <v>0.06</v>
      </c>
      <c r="F18" s="69" t="s">
        <v>840</v>
      </c>
      <c r="G18" s="69"/>
      <c r="H18" s="69" t="s">
        <v>792</v>
      </c>
      <c r="I18" s="71"/>
      <c r="J18" s="69"/>
      <c r="K18" s="72" t="str">
        <f t="shared" si="0"/>
        <v>ENP-00017|Reichelt</v>
      </c>
      <c r="L18" s="72" t="str">
        <f t="shared" si="1"/>
        <v>ENP-00017|Ja</v>
      </c>
    </row>
    <row r="19" spans="1:12" ht="20" customHeight="1" x14ac:dyDescent="0.15">
      <c r="A19" s="69" t="s">
        <v>148</v>
      </c>
      <c r="B19" s="69" t="s">
        <v>822</v>
      </c>
      <c r="C19" s="69" t="s">
        <v>867</v>
      </c>
      <c r="D19" s="69" t="s">
        <v>868</v>
      </c>
      <c r="E19" s="70">
        <v>0.75</v>
      </c>
      <c r="F19" s="69" t="s">
        <v>840</v>
      </c>
      <c r="G19" s="69"/>
      <c r="H19" s="69" t="s">
        <v>792</v>
      </c>
      <c r="I19" s="71"/>
      <c r="J19" s="69"/>
      <c r="K19" s="72" t="str">
        <f t="shared" si="0"/>
        <v>ENP-00018|Reichelt</v>
      </c>
      <c r="L19" s="72" t="str">
        <f t="shared" si="1"/>
        <v>ENP-00018|Ja</v>
      </c>
    </row>
    <row r="20" spans="1:12" ht="20" customHeight="1" x14ac:dyDescent="0.15">
      <c r="A20" s="69" t="s">
        <v>154</v>
      </c>
      <c r="B20" s="69" t="s">
        <v>822</v>
      </c>
      <c r="C20" s="69" t="s">
        <v>869</v>
      </c>
      <c r="D20" s="69" t="s">
        <v>870</v>
      </c>
      <c r="E20" s="70">
        <v>0.31</v>
      </c>
      <c r="F20" s="69" t="s">
        <v>840</v>
      </c>
      <c r="G20" s="69"/>
      <c r="H20" s="69" t="s">
        <v>792</v>
      </c>
      <c r="I20" s="71"/>
      <c r="J20" s="69"/>
      <c r="K20" s="72" t="str">
        <f t="shared" si="0"/>
        <v>ENP-00019|Reichelt</v>
      </c>
      <c r="L20" s="72" t="str">
        <f t="shared" si="1"/>
        <v>ENP-00019|Ja</v>
      </c>
    </row>
    <row r="21" spans="1:12" ht="20" customHeight="1" x14ac:dyDescent="0.15">
      <c r="A21" s="69" t="s">
        <v>161</v>
      </c>
      <c r="B21" s="69" t="s">
        <v>822</v>
      </c>
      <c r="C21" s="69" t="s">
        <v>871</v>
      </c>
      <c r="D21" s="69" t="s">
        <v>872</v>
      </c>
      <c r="E21" s="70">
        <v>1.1000000000000001</v>
      </c>
      <c r="F21" s="69" t="s">
        <v>840</v>
      </c>
      <c r="G21" s="69"/>
      <c r="H21" s="69" t="s">
        <v>792</v>
      </c>
      <c r="I21" s="71"/>
      <c r="J21" s="69"/>
      <c r="K21" s="72" t="str">
        <f t="shared" si="0"/>
        <v>ENP-00020|Reichelt</v>
      </c>
      <c r="L21" s="72" t="str">
        <f t="shared" si="1"/>
        <v>ENP-00020|Ja</v>
      </c>
    </row>
    <row r="22" spans="1:12" ht="20" customHeight="1" x14ac:dyDescent="0.15">
      <c r="A22" s="69" t="s">
        <v>169</v>
      </c>
      <c r="B22" s="69" t="s">
        <v>822</v>
      </c>
      <c r="C22" s="69" t="s">
        <v>873</v>
      </c>
      <c r="D22" s="69" t="s">
        <v>874</v>
      </c>
      <c r="E22" s="70">
        <v>1.7</v>
      </c>
      <c r="F22" s="69" t="s">
        <v>840</v>
      </c>
      <c r="G22" s="69"/>
      <c r="H22" s="69" t="s">
        <v>792</v>
      </c>
      <c r="I22" s="71"/>
      <c r="J22" s="69"/>
      <c r="K22" s="72" t="str">
        <f t="shared" si="0"/>
        <v>ENP-00021|Reichelt</v>
      </c>
      <c r="L22" s="72" t="str">
        <f t="shared" si="1"/>
        <v>ENP-00021|Ja</v>
      </c>
    </row>
    <row r="23" spans="1:12" ht="20" customHeight="1" x14ac:dyDescent="0.15">
      <c r="A23" s="69" t="s">
        <v>177</v>
      </c>
      <c r="B23" s="69" t="s">
        <v>822</v>
      </c>
      <c r="C23" s="69" t="s">
        <v>875</v>
      </c>
      <c r="D23" s="69" t="s">
        <v>876</v>
      </c>
      <c r="E23" s="70">
        <v>0.02</v>
      </c>
      <c r="F23" s="69" t="s">
        <v>840</v>
      </c>
      <c r="G23" s="69"/>
      <c r="H23" s="69" t="s">
        <v>792</v>
      </c>
      <c r="I23" s="71"/>
      <c r="J23" s="69"/>
      <c r="K23" s="72" t="str">
        <f t="shared" si="0"/>
        <v>ENP-00022|Reichelt</v>
      </c>
      <c r="L23" s="72" t="str">
        <f t="shared" si="1"/>
        <v>ENP-00022|Ja</v>
      </c>
    </row>
    <row r="24" spans="1:12" ht="20" customHeight="1" x14ac:dyDescent="0.15">
      <c r="A24" s="69" t="s">
        <v>183</v>
      </c>
      <c r="B24" s="69" t="s">
        <v>822</v>
      </c>
      <c r="C24" s="69" t="s">
        <v>877</v>
      </c>
      <c r="D24" s="69" t="s">
        <v>878</v>
      </c>
      <c r="E24" s="70">
        <v>5.8</v>
      </c>
      <c r="F24" s="69" t="s">
        <v>840</v>
      </c>
      <c r="G24" s="69"/>
      <c r="H24" s="69" t="s">
        <v>792</v>
      </c>
      <c r="I24" s="71"/>
      <c r="J24" s="69"/>
      <c r="K24" s="72" t="str">
        <f t="shared" si="0"/>
        <v>ENP-00023|Reichelt</v>
      </c>
      <c r="L24" s="72" t="str">
        <f t="shared" si="1"/>
        <v>ENP-00023|Ja</v>
      </c>
    </row>
    <row r="25" spans="1:12" ht="20" customHeight="1" x14ac:dyDescent="0.15">
      <c r="A25" s="69" t="s">
        <v>192</v>
      </c>
      <c r="B25" s="69" t="s">
        <v>829</v>
      </c>
      <c r="C25" s="69" t="s">
        <v>879</v>
      </c>
      <c r="D25" s="69" t="s">
        <v>880</v>
      </c>
      <c r="E25" s="70">
        <v>0.32</v>
      </c>
      <c r="F25" s="69" t="s">
        <v>840</v>
      </c>
      <c r="G25" s="69">
        <v>1</v>
      </c>
      <c r="H25" s="69" t="s">
        <v>792</v>
      </c>
      <c r="I25" s="71"/>
      <c r="J25" s="69"/>
      <c r="K25" s="72" t="str">
        <f t="shared" si="0"/>
        <v>ENP-00024|DigiKey</v>
      </c>
      <c r="L25" s="72" t="str">
        <f t="shared" si="1"/>
        <v>ENP-00024|Ja</v>
      </c>
    </row>
    <row r="26" spans="1:12" ht="20" customHeight="1" x14ac:dyDescent="0.15">
      <c r="A26" s="69" t="s">
        <v>202</v>
      </c>
      <c r="B26" s="69" t="s">
        <v>822</v>
      </c>
      <c r="C26" s="69" t="s">
        <v>881</v>
      </c>
      <c r="D26" s="69" t="s">
        <v>882</v>
      </c>
      <c r="E26" s="70">
        <v>0.17</v>
      </c>
      <c r="F26" s="69" t="s">
        <v>840</v>
      </c>
      <c r="G26" s="69"/>
      <c r="H26" s="69" t="s">
        <v>792</v>
      </c>
      <c r="I26" s="71"/>
      <c r="J26" s="69"/>
      <c r="K26" s="72" t="str">
        <f t="shared" si="0"/>
        <v>ENP-00025|Reichelt</v>
      </c>
      <c r="L26" s="72" t="str">
        <f t="shared" si="1"/>
        <v>ENP-00025|Ja</v>
      </c>
    </row>
    <row r="27" spans="1:12" ht="20" customHeight="1" x14ac:dyDescent="0.15">
      <c r="A27" s="69" t="s">
        <v>210</v>
      </c>
      <c r="B27" s="69" t="s">
        <v>830</v>
      </c>
      <c r="C27" s="69" t="s">
        <v>883</v>
      </c>
      <c r="D27" s="69" t="s">
        <v>884</v>
      </c>
      <c r="E27" s="70">
        <v>0.57999999999999996</v>
      </c>
      <c r="F27" s="69" t="s">
        <v>840</v>
      </c>
      <c r="G27" s="69">
        <v>10</v>
      </c>
      <c r="H27" s="69" t="s">
        <v>792</v>
      </c>
      <c r="I27" s="71"/>
      <c r="J27" s="69"/>
      <c r="K27" s="72" t="str">
        <f t="shared" si="0"/>
        <v>ENP-00026|RS</v>
      </c>
      <c r="L27" s="72" t="str">
        <f t="shared" si="1"/>
        <v>ENP-00026|Ja</v>
      </c>
    </row>
    <row r="28" spans="1:12" ht="20" customHeight="1" x14ac:dyDescent="0.15">
      <c r="A28" s="69" t="s">
        <v>218</v>
      </c>
      <c r="B28" s="69" t="s">
        <v>826</v>
      </c>
      <c r="C28" s="69"/>
      <c r="D28" s="69"/>
      <c r="E28" s="70"/>
      <c r="F28" s="69" t="s">
        <v>840</v>
      </c>
      <c r="G28" s="69"/>
      <c r="H28" s="69" t="s">
        <v>792</v>
      </c>
      <c r="I28" s="71"/>
      <c r="J28" s="69"/>
      <c r="K28" s="72" t="str">
        <f t="shared" si="0"/>
        <v>ENP-00027|Noch festlegen</v>
      </c>
      <c r="L28" s="72" t="str">
        <f t="shared" si="1"/>
        <v>ENP-00027|Ja</v>
      </c>
    </row>
    <row r="29" spans="1:12" ht="20" customHeight="1" x14ac:dyDescent="0.15">
      <c r="A29" s="69" t="s">
        <v>225</v>
      </c>
      <c r="B29" s="69" t="s">
        <v>822</v>
      </c>
      <c r="C29" s="69" t="s">
        <v>228</v>
      </c>
      <c r="D29" s="69" t="s">
        <v>885</v>
      </c>
      <c r="E29" s="70">
        <v>0.16</v>
      </c>
      <c r="F29" s="69" t="s">
        <v>840</v>
      </c>
      <c r="G29" s="69"/>
      <c r="H29" s="69" t="s">
        <v>792</v>
      </c>
      <c r="I29" s="71"/>
      <c r="J29" s="69"/>
      <c r="K29" s="72" t="str">
        <f t="shared" si="0"/>
        <v>ENP-00028|Reichelt</v>
      </c>
      <c r="L29" s="72" t="str">
        <f t="shared" si="1"/>
        <v>ENP-00028|Ja</v>
      </c>
    </row>
    <row r="30" spans="1:12" ht="20" customHeight="1" x14ac:dyDescent="0.15">
      <c r="A30" s="69" t="s">
        <v>231</v>
      </c>
      <c r="B30" s="69" t="s">
        <v>822</v>
      </c>
      <c r="C30" s="69" t="s">
        <v>886</v>
      </c>
      <c r="D30" s="69" t="s">
        <v>887</v>
      </c>
      <c r="E30" s="70">
        <v>0.04</v>
      </c>
      <c r="F30" s="69" t="s">
        <v>840</v>
      </c>
      <c r="G30" s="69"/>
      <c r="H30" s="69" t="s">
        <v>792</v>
      </c>
      <c r="I30" s="71"/>
      <c r="J30" s="69"/>
      <c r="K30" s="72" t="str">
        <f t="shared" si="0"/>
        <v>ENP-00029|Reichelt</v>
      </c>
      <c r="L30" s="72" t="str">
        <f t="shared" si="1"/>
        <v>ENP-00029|Ja</v>
      </c>
    </row>
    <row r="31" spans="1:12" ht="20" customHeight="1" x14ac:dyDescent="0.15">
      <c r="A31" s="69" t="s">
        <v>238</v>
      </c>
      <c r="B31" s="69" t="s">
        <v>826</v>
      </c>
      <c r="C31" s="69"/>
      <c r="D31" s="69"/>
      <c r="E31" s="70"/>
      <c r="F31" s="69" t="s">
        <v>840</v>
      </c>
      <c r="G31" s="69"/>
      <c r="H31" s="69" t="s">
        <v>792</v>
      </c>
      <c r="I31" s="71"/>
      <c r="J31" s="69"/>
      <c r="K31" s="72" t="str">
        <f t="shared" si="0"/>
        <v>ENP-00030|Noch festlegen</v>
      </c>
      <c r="L31" s="72" t="str">
        <f t="shared" si="1"/>
        <v>ENP-00030|Ja</v>
      </c>
    </row>
    <row r="32" spans="1:12" ht="20" customHeight="1" x14ac:dyDescent="0.15">
      <c r="A32" s="69" t="s">
        <v>247</v>
      </c>
      <c r="B32" s="69" t="s">
        <v>826</v>
      </c>
      <c r="C32" s="69"/>
      <c r="D32" s="69"/>
      <c r="E32" s="70"/>
      <c r="F32" s="69" t="s">
        <v>840</v>
      </c>
      <c r="G32" s="69"/>
      <c r="H32" s="69" t="s">
        <v>792</v>
      </c>
      <c r="I32" s="71"/>
      <c r="J32" s="69"/>
      <c r="K32" s="72" t="str">
        <f t="shared" si="0"/>
        <v>ENP-00031|Noch festlegen</v>
      </c>
      <c r="L32" s="72" t="str">
        <f t="shared" si="1"/>
        <v>ENP-00031|Ja</v>
      </c>
    </row>
    <row r="33" spans="1:12" ht="20" customHeight="1" x14ac:dyDescent="0.15">
      <c r="A33" s="69" t="s">
        <v>253</v>
      </c>
      <c r="B33" s="69" t="s">
        <v>822</v>
      </c>
      <c r="C33" s="69" t="s">
        <v>888</v>
      </c>
      <c r="D33" s="69" t="s">
        <v>889</v>
      </c>
      <c r="E33" s="70">
        <v>1.3</v>
      </c>
      <c r="F33" s="69" t="s">
        <v>840</v>
      </c>
      <c r="G33" s="69"/>
      <c r="H33" s="69" t="s">
        <v>792</v>
      </c>
      <c r="I33" s="71"/>
      <c r="J33" s="69"/>
      <c r="K33" s="72" t="str">
        <f t="shared" si="0"/>
        <v>ENP-00032|Reichelt</v>
      </c>
      <c r="L33" s="72" t="str">
        <f t="shared" si="1"/>
        <v>ENP-00032|Ja</v>
      </c>
    </row>
    <row r="34" spans="1:12" ht="20" customHeight="1" x14ac:dyDescent="0.15">
      <c r="A34" s="69" t="s">
        <v>260</v>
      </c>
      <c r="B34" s="69" t="s">
        <v>822</v>
      </c>
      <c r="C34" s="69" t="s">
        <v>890</v>
      </c>
      <c r="D34" s="69" t="s">
        <v>891</v>
      </c>
      <c r="E34" s="70">
        <v>0.02</v>
      </c>
      <c r="F34" s="69" t="s">
        <v>840</v>
      </c>
      <c r="G34" s="69"/>
      <c r="H34" s="69" t="s">
        <v>792</v>
      </c>
      <c r="I34" s="71"/>
      <c r="J34" s="69"/>
      <c r="K34" s="72" t="str">
        <f t="shared" ref="K34:K65" si="2">A34&amp;"|"&amp;B34</f>
        <v>ENP-00033|Reichelt</v>
      </c>
      <c r="L34" s="72" t="str">
        <f t="shared" ref="L34:L65" si="3">A34&amp;"|"&amp;H34</f>
        <v>ENP-00033|Ja</v>
      </c>
    </row>
    <row r="35" spans="1:12" ht="20" customHeight="1" x14ac:dyDescent="0.15">
      <c r="A35" s="69" t="s">
        <v>265</v>
      </c>
      <c r="B35" s="69" t="s">
        <v>826</v>
      </c>
      <c r="C35" s="69"/>
      <c r="D35" s="69"/>
      <c r="E35" s="70"/>
      <c r="F35" s="69" t="s">
        <v>840</v>
      </c>
      <c r="G35" s="69"/>
      <c r="H35" s="69" t="s">
        <v>792</v>
      </c>
      <c r="I35" s="71"/>
      <c r="J35" s="69"/>
      <c r="K35" s="72" t="str">
        <f t="shared" si="2"/>
        <v>ENP-00034|Noch festlegen</v>
      </c>
      <c r="L35" s="72" t="str">
        <f t="shared" si="3"/>
        <v>ENP-00034|Ja</v>
      </c>
    </row>
    <row r="36" spans="1:12" ht="20" customHeight="1" x14ac:dyDescent="0.15">
      <c r="A36" s="69" t="s">
        <v>273</v>
      </c>
      <c r="B36" s="69" t="s">
        <v>822</v>
      </c>
      <c r="C36" s="69" t="s">
        <v>892</v>
      </c>
      <c r="D36" s="69" t="s">
        <v>893</v>
      </c>
      <c r="E36" s="70">
        <v>0.02</v>
      </c>
      <c r="F36" s="69" t="s">
        <v>840</v>
      </c>
      <c r="G36" s="69"/>
      <c r="H36" s="69" t="s">
        <v>792</v>
      </c>
      <c r="I36" s="71"/>
      <c r="J36" s="69"/>
      <c r="K36" s="72" t="str">
        <f t="shared" si="2"/>
        <v>ENP-00035|Reichelt</v>
      </c>
      <c r="L36" s="72" t="str">
        <f t="shared" si="3"/>
        <v>ENP-00035|Ja</v>
      </c>
    </row>
    <row r="37" spans="1:12" ht="20" customHeight="1" x14ac:dyDescent="0.15">
      <c r="A37" s="69" t="s">
        <v>279</v>
      </c>
      <c r="B37" s="69" t="s">
        <v>822</v>
      </c>
      <c r="C37" s="69" t="s">
        <v>894</v>
      </c>
      <c r="D37" s="69" t="s">
        <v>895</v>
      </c>
      <c r="E37" s="70">
        <v>0.14000000000000001</v>
      </c>
      <c r="F37" s="69" t="s">
        <v>840</v>
      </c>
      <c r="G37" s="69"/>
      <c r="H37" s="69" t="s">
        <v>792</v>
      </c>
      <c r="I37" s="71"/>
      <c r="J37" s="69"/>
      <c r="K37" s="72" t="str">
        <f t="shared" si="2"/>
        <v>ENP-00036|Reichelt</v>
      </c>
      <c r="L37" s="72" t="str">
        <f t="shared" si="3"/>
        <v>ENP-00036|Ja</v>
      </c>
    </row>
    <row r="38" spans="1:12" ht="20" customHeight="1" x14ac:dyDescent="0.15">
      <c r="A38" s="69" t="s">
        <v>284</v>
      </c>
      <c r="B38" s="69" t="s">
        <v>822</v>
      </c>
      <c r="C38" s="69" t="s">
        <v>896</v>
      </c>
      <c r="D38" s="69" t="s">
        <v>897</v>
      </c>
      <c r="E38" s="70">
        <v>0.61</v>
      </c>
      <c r="F38" s="69" t="s">
        <v>840</v>
      </c>
      <c r="G38" s="69"/>
      <c r="H38" s="69" t="s">
        <v>792</v>
      </c>
      <c r="I38" s="71"/>
      <c r="J38" s="69"/>
      <c r="K38" s="72" t="str">
        <f t="shared" si="2"/>
        <v>ENP-00037|Reichelt</v>
      </c>
      <c r="L38" s="72" t="str">
        <f t="shared" si="3"/>
        <v>ENP-00037|Ja</v>
      </c>
    </row>
    <row r="39" spans="1:12" ht="20" customHeight="1" x14ac:dyDescent="0.15">
      <c r="A39" s="69" t="s">
        <v>292</v>
      </c>
      <c r="B39" s="69" t="s">
        <v>822</v>
      </c>
      <c r="C39" s="69" t="s">
        <v>898</v>
      </c>
      <c r="D39" s="69" t="s">
        <v>899</v>
      </c>
      <c r="E39" s="70">
        <v>0.25</v>
      </c>
      <c r="F39" s="69" t="s">
        <v>840</v>
      </c>
      <c r="G39" s="69"/>
      <c r="H39" s="69" t="s">
        <v>792</v>
      </c>
      <c r="I39" s="71"/>
      <c r="J39" s="69"/>
      <c r="K39" s="72" t="str">
        <f t="shared" si="2"/>
        <v>ENP-00038|Reichelt</v>
      </c>
      <c r="L39" s="72" t="str">
        <f t="shared" si="3"/>
        <v>ENP-00038|Ja</v>
      </c>
    </row>
    <row r="40" spans="1:12" ht="20" customHeight="1" x14ac:dyDescent="0.15">
      <c r="A40" s="69" t="s">
        <v>299</v>
      </c>
      <c r="B40" s="69" t="s">
        <v>822</v>
      </c>
      <c r="C40" s="69" t="s">
        <v>900</v>
      </c>
      <c r="D40" s="69" t="s">
        <v>901</v>
      </c>
      <c r="E40" s="70">
        <v>0.3</v>
      </c>
      <c r="F40" s="69" t="s">
        <v>840</v>
      </c>
      <c r="G40" s="69"/>
      <c r="H40" s="69" t="s">
        <v>792</v>
      </c>
      <c r="I40" s="71"/>
      <c r="J40" s="69"/>
      <c r="K40" s="72" t="str">
        <f t="shared" si="2"/>
        <v>ENP-00039|Reichelt</v>
      </c>
      <c r="L40" s="72" t="str">
        <f t="shared" si="3"/>
        <v>ENP-00039|Ja</v>
      </c>
    </row>
    <row r="41" spans="1:12" ht="20" customHeight="1" x14ac:dyDescent="0.15">
      <c r="A41" s="69" t="s">
        <v>306</v>
      </c>
      <c r="B41" s="69" t="s">
        <v>826</v>
      </c>
      <c r="C41" s="69"/>
      <c r="D41" s="69"/>
      <c r="E41" s="70"/>
      <c r="F41" s="69" t="s">
        <v>840</v>
      </c>
      <c r="G41" s="69"/>
      <c r="H41" s="69" t="s">
        <v>792</v>
      </c>
      <c r="I41" s="71"/>
      <c r="J41" s="69"/>
      <c r="K41" s="72" t="str">
        <f t="shared" si="2"/>
        <v>ENP-00040|Noch festlegen</v>
      </c>
      <c r="L41" s="72" t="str">
        <f t="shared" si="3"/>
        <v>ENP-00040|Ja</v>
      </c>
    </row>
    <row r="42" spans="1:12" ht="20" customHeight="1" x14ac:dyDescent="0.15">
      <c r="A42" s="69" t="s">
        <v>314</v>
      </c>
      <c r="B42" s="69" t="s">
        <v>826</v>
      </c>
      <c r="C42" s="69"/>
      <c r="D42" s="69"/>
      <c r="E42" s="70"/>
      <c r="F42" s="69" t="s">
        <v>840</v>
      </c>
      <c r="G42" s="69"/>
      <c r="H42" s="69" t="s">
        <v>792</v>
      </c>
      <c r="I42" s="71"/>
      <c r="J42" s="69"/>
      <c r="K42" s="72" t="str">
        <f t="shared" si="2"/>
        <v>ENP-00041|Noch festlegen</v>
      </c>
      <c r="L42" s="72" t="str">
        <f t="shared" si="3"/>
        <v>ENP-00041|Ja</v>
      </c>
    </row>
    <row r="43" spans="1:12" ht="20" customHeight="1" x14ac:dyDescent="0.15">
      <c r="A43" s="69" t="s">
        <v>321</v>
      </c>
      <c r="B43" s="69" t="s">
        <v>822</v>
      </c>
      <c r="C43" s="69" t="s">
        <v>324</v>
      </c>
      <c r="D43" s="69" t="s">
        <v>902</v>
      </c>
      <c r="E43" s="70">
        <v>6.85</v>
      </c>
      <c r="F43" s="69" t="s">
        <v>840</v>
      </c>
      <c r="G43" s="69"/>
      <c r="H43" s="69" t="s">
        <v>792</v>
      </c>
      <c r="I43" s="71"/>
      <c r="J43" s="69"/>
      <c r="K43" s="72" t="str">
        <f t="shared" si="2"/>
        <v>ENP-00042|Reichelt</v>
      </c>
      <c r="L43" s="72" t="str">
        <f t="shared" si="3"/>
        <v>ENP-00042|Ja</v>
      </c>
    </row>
    <row r="44" spans="1:12" ht="20" customHeight="1" x14ac:dyDescent="0.15">
      <c r="A44" s="69" t="s">
        <v>328</v>
      </c>
      <c r="B44" s="69" t="s">
        <v>822</v>
      </c>
      <c r="C44" s="69" t="s">
        <v>330</v>
      </c>
      <c r="D44" s="69" t="s">
        <v>903</v>
      </c>
      <c r="E44" s="70">
        <v>6.85</v>
      </c>
      <c r="F44" s="69" t="s">
        <v>840</v>
      </c>
      <c r="G44" s="69"/>
      <c r="H44" s="69" t="s">
        <v>792</v>
      </c>
      <c r="I44" s="71"/>
      <c r="J44" s="69"/>
      <c r="K44" s="72" t="str">
        <f t="shared" si="2"/>
        <v>ENP-00043|Reichelt</v>
      </c>
      <c r="L44" s="72" t="str">
        <f t="shared" si="3"/>
        <v>ENP-00043|Ja</v>
      </c>
    </row>
    <row r="45" spans="1:12" ht="20" customHeight="1" x14ac:dyDescent="0.15">
      <c r="A45" s="69" t="s">
        <v>333</v>
      </c>
      <c r="B45" s="69" t="s">
        <v>822</v>
      </c>
      <c r="C45" s="69" t="s">
        <v>336</v>
      </c>
      <c r="D45" s="69" t="s">
        <v>904</v>
      </c>
      <c r="E45" s="70">
        <v>0.12</v>
      </c>
      <c r="F45" s="69" t="s">
        <v>840</v>
      </c>
      <c r="G45" s="69"/>
      <c r="H45" s="69" t="s">
        <v>792</v>
      </c>
      <c r="I45" s="71"/>
      <c r="J45" s="69"/>
      <c r="K45" s="72" t="str">
        <f t="shared" si="2"/>
        <v>ENP-00044|Reichelt</v>
      </c>
      <c r="L45" s="72" t="str">
        <f t="shared" si="3"/>
        <v>ENP-00044|Ja</v>
      </c>
    </row>
    <row r="46" spans="1:12" ht="20" customHeight="1" x14ac:dyDescent="0.15">
      <c r="A46" s="69" t="s">
        <v>339</v>
      </c>
      <c r="B46" s="69" t="s">
        <v>822</v>
      </c>
      <c r="C46" s="69" t="s">
        <v>905</v>
      </c>
      <c r="D46" s="69" t="s">
        <v>906</v>
      </c>
      <c r="E46" s="70">
        <v>0.08</v>
      </c>
      <c r="F46" s="69" t="s">
        <v>840</v>
      </c>
      <c r="G46" s="69"/>
      <c r="H46" s="69" t="s">
        <v>792</v>
      </c>
      <c r="I46" s="71"/>
      <c r="J46" s="69"/>
      <c r="K46" s="72" t="str">
        <f t="shared" si="2"/>
        <v>ENP-00045|Reichelt</v>
      </c>
      <c r="L46" s="72" t="str">
        <f t="shared" si="3"/>
        <v>ENP-00045|Ja</v>
      </c>
    </row>
    <row r="47" spans="1:12" ht="20" customHeight="1" x14ac:dyDescent="0.15">
      <c r="A47" s="69" t="s">
        <v>345</v>
      </c>
      <c r="B47" s="69" t="s">
        <v>826</v>
      </c>
      <c r="C47" s="69"/>
      <c r="D47" s="69"/>
      <c r="E47" s="70"/>
      <c r="F47" s="69" t="s">
        <v>840</v>
      </c>
      <c r="G47" s="69"/>
      <c r="H47" s="69" t="s">
        <v>792</v>
      </c>
      <c r="I47" s="71"/>
      <c r="J47" s="69"/>
      <c r="K47" s="72" t="str">
        <f t="shared" si="2"/>
        <v>ENP-00046|Noch festlegen</v>
      </c>
      <c r="L47" s="72" t="str">
        <f t="shared" si="3"/>
        <v>ENP-00046|Ja</v>
      </c>
    </row>
    <row r="48" spans="1:12" ht="20" customHeight="1" x14ac:dyDescent="0.15">
      <c r="A48" s="69" t="s">
        <v>352</v>
      </c>
      <c r="B48" s="69" t="s">
        <v>826</v>
      </c>
      <c r="C48" s="69"/>
      <c r="D48" s="69"/>
      <c r="E48" s="70"/>
      <c r="F48" s="69" t="s">
        <v>840</v>
      </c>
      <c r="G48" s="69"/>
      <c r="H48" s="69" t="s">
        <v>792</v>
      </c>
      <c r="I48" s="71"/>
      <c r="J48" s="69"/>
      <c r="K48" s="72" t="str">
        <f t="shared" si="2"/>
        <v>ENP-00047|Noch festlegen</v>
      </c>
      <c r="L48" s="72" t="str">
        <f t="shared" si="3"/>
        <v>ENP-00047|Ja</v>
      </c>
    </row>
    <row r="49" spans="1:12" ht="20" customHeight="1" x14ac:dyDescent="0.15">
      <c r="A49" s="69" t="s">
        <v>358</v>
      </c>
      <c r="B49" s="69" t="s">
        <v>103</v>
      </c>
      <c r="C49" s="69"/>
      <c r="D49" s="69"/>
      <c r="E49" s="70"/>
      <c r="F49" s="69" t="s">
        <v>840</v>
      </c>
      <c r="G49" s="69">
        <v>5</v>
      </c>
      <c r="H49" s="69" t="s">
        <v>792</v>
      </c>
      <c r="I49" s="71"/>
      <c r="J49" s="69"/>
      <c r="K49" s="72" t="str">
        <f t="shared" si="2"/>
        <v>ENP-00048|JLCPCB</v>
      </c>
      <c r="L49" s="72" t="str">
        <f t="shared" si="3"/>
        <v>ENP-00048|Ja</v>
      </c>
    </row>
    <row r="50" spans="1:12" ht="20" customHeight="1" x14ac:dyDescent="0.15">
      <c r="A50" s="69" t="s">
        <v>364</v>
      </c>
      <c r="B50" s="69" t="s">
        <v>826</v>
      </c>
      <c r="C50" s="69"/>
      <c r="D50" s="69"/>
      <c r="E50" s="70"/>
      <c r="F50" s="69" t="s">
        <v>840</v>
      </c>
      <c r="G50" s="69"/>
      <c r="H50" s="69" t="s">
        <v>792</v>
      </c>
      <c r="I50" s="71"/>
      <c r="J50" s="69"/>
      <c r="K50" s="72" t="str">
        <f t="shared" si="2"/>
        <v>ENP-00049|Noch festlegen</v>
      </c>
      <c r="L50" s="72" t="str">
        <f t="shared" si="3"/>
        <v>ENP-00049|Ja</v>
      </c>
    </row>
    <row r="51" spans="1:12" ht="20" customHeight="1" x14ac:dyDescent="0.15">
      <c r="A51" s="69" t="s">
        <v>369</v>
      </c>
      <c r="B51" s="69" t="s">
        <v>826</v>
      </c>
      <c r="C51" s="69"/>
      <c r="D51" s="69"/>
      <c r="E51" s="70"/>
      <c r="F51" s="69" t="s">
        <v>840</v>
      </c>
      <c r="G51" s="69"/>
      <c r="H51" s="69" t="s">
        <v>792</v>
      </c>
      <c r="I51" s="71"/>
      <c r="J51" s="69"/>
      <c r="K51" s="72" t="str">
        <f t="shared" si="2"/>
        <v>ENP-00050|Noch festlegen</v>
      </c>
      <c r="L51" s="72" t="str">
        <f t="shared" si="3"/>
        <v>ENP-00050|Ja</v>
      </c>
    </row>
    <row r="52" spans="1:12" ht="20" customHeight="1" x14ac:dyDescent="0.15">
      <c r="A52" s="69" t="s">
        <v>375</v>
      </c>
      <c r="B52" s="69" t="s">
        <v>826</v>
      </c>
      <c r="C52" s="69"/>
      <c r="D52" s="69"/>
      <c r="E52" s="70"/>
      <c r="F52" s="69" t="s">
        <v>840</v>
      </c>
      <c r="G52" s="69"/>
      <c r="H52" s="69" t="s">
        <v>792</v>
      </c>
      <c r="I52" s="71"/>
      <c r="J52" s="69"/>
      <c r="K52" s="72" t="str">
        <f t="shared" si="2"/>
        <v>ENP-00051|Noch festlegen</v>
      </c>
      <c r="L52" s="72" t="str">
        <f t="shared" si="3"/>
        <v>ENP-00051|Ja</v>
      </c>
    </row>
    <row r="53" spans="1:12" ht="20" customHeight="1" x14ac:dyDescent="0.15">
      <c r="A53" s="69" t="s">
        <v>381</v>
      </c>
      <c r="B53" s="69" t="s">
        <v>826</v>
      </c>
      <c r="C53" s="69"/>
      <c r="D53" s="69"/>
      <c r="E53" s="70"/>
      <c r="F53" s="69" t="s">
        <v>840</v>
      </c>
      <c r="G53" s="69"/>
      <c r="H53" s="69" t="s">
        <v>792</v>
      </c>
      <c r="I53" s="71"/>
      <c r="J53" s="69"/>
      <c r="K53" s="72" t="str">
        <f t="shared" si="2"/>
        <v>ENP-00052|Noch festlegen</v>
      </c>
      <c r="L53" s="72" t="str">
        <f t="shared" si="3"/>
        <v>ENP-00052|Ja</v>
      </c>
    </row>
    <row r="54" spans="1:12" ht="20" customHeight="1" x14ac:dyDescent="0.15">
      <c r="A54" s="69" t="s">
        <v>385</v>
      </c>
      <c r="B54" s="69" t="s">
        <v>826</v>
      </c>
      <c r="C54" s="69"/>
      <c r="D54" s="69"/>
      <c r="E54" s="70">
        <v>1.73</v>
      </c>
      <c r="F54" s="69" t="s">
        <v>840</v>
      </c>
      <c r="G54" s="69"/>
      <c r="H54" s="69" t="s">
        <v>792</v>
      </c>
      <c r="I54" s="71"/>
      <c r="J54" s="69"/>
      <c r="K54" s="72" t="str">
        <f t="shared" si="2"/>
        <v>ENP-00053|Noch festlegen</v>
      </c>
      <c r="L54" s="72" t="str">
        <f t="shared" si="3"/>
        <v>ENP-00053|Ja</v>
      </c>
    </row>
    <row r="55" spans="1:12" ht="20" customHeight="1" x14ac:dyDescent="0.15">
      <c r="A55" s="69" t="s">
        <v>390</v>
      </c>
      <c r="B55" s="69" t="s">
        <v>829</v>
      </c>
      <c r="C55" s="69" t="s">
        <v>907</v>
      </c>
      <c r="D55" s="69" t="s">
        <v>908</v>
      </c>
      <c r="E55" s="70">
        <v>0.56000000000000005</v>
      </c>
      <c r="F55" s="69" t="s">
        <v>840</v>
      </c>
      <c r="G55" s="69"/>
      <c r="H55" s="69" t="s">
        <v>792</v>
      </c>
      <c r="I55" s="71"/>
      <c r="J55" s="69"/>
      <c r="K55" s="72" t="str">
        <f t="shared" si="2"/>
        <v>ENP-00054|DigiKey</v>
      </c>
      <c r="L55" s="72" t="str">
        <f t="shared" si="3"/>
        <v>ENP-00054|Ja</v>
      </c>
    </row>
    <row r="56" spans="1:12" ht="20" customHeight="1" x14ac:dyDescent="0.15">
      <c r="A56" s="69" t="s">
        <v>401</v>
      </c>
      <c r="B56" s="69" t="s">
        <v>822</v>
      </c>
      <c r="C56" s="69" t="s">
        <v>909</v>
      </c>
      <c r="D56" s="69" t="s">
        <v>910</v>
      </c>
      <c r="E56" s="70">
        <v>0.18</v>
      </c>
      <c r="F56" s="69" t="s">
        <v>840</v>
      </c>
      <c r="G56" s="69"/>
      <c r="H56" s="69" t="s">
        <v>792</v>
      </c>
      <c r="I56" s="71"/>
      <c r="J56" s="69"/>
      <c r="K56" s="72" t="str">
        <f t="shared" si="2"/>
        <v>ENP-00055|Reichelt</v>
      </c>
      <c r="L56" s="72" t="str">
        <f t="shared" si="3"/>
        <v>ENP-00055|Ja</v>
      </c>
    </row>
    <row r="57" spans="1:12" ht="20" customHeight="1" x14ac:dyDescent="0.15">
      <c r="A57" s="69" t="s">
        <v>408</v>
      </c>
      <c r="B57" s="69" t="s">
        <v>822</v>
      </c>
      <c r="C57" s="69" t="s">
        <v>911</v>
      </c>
      <c r="D57" s="69" t="s">
        <v>912</v>
      </c>
      <c r="E57" s="70">
        <v>0.18</v>
      </c>
      <c r="F57" s="69" t="s">
        <v>840</v>
      </c>
      <c r="G57" s="69"/>
      <c r="H57" s="69" t="s">
        <v>792</v>
      </c>
      <c r="I57" s="71"/>
      <c r="J57" s="69"/>
      <c r="K57" s="72" t="str">
        <f t="shared" si="2"/>
        <v>ENP-00056|Reichelt</v>
      </c>
      <c r="L57" s="72" t="str">
        <f t="shared" si="3"/>
        <v>ENP-00056|Ja</v>
      </c>
    </row>
    <row r="58" spans="1:12" ht="20" customHeight="1" x14ac:dyDescent="0.15">
      <c r="A58" s="69" t="s">
        <v>416</v>
      </c>
      <c r="B58" s="69" t="s">
        <v>103</v>
      </c>
      <c r="C58" s="69"/>
      <c r="D58" s="69"/>
      <c r="E58" s="70"/>
      <c r="F58" s="69" t="s">
        <v>840</v>
      </c>
      <c r="G58" s="69">
        <v>5</v>
      </c>
      <c r="H58" s="69" t="s">
        <v>792</v>
      </c>
      <c r="I58" s="71"/>
      <c r="J58" s="69"/>
      <c r="K58" s="72" t="str">
        <f t="shared" si="2"/>
        <v>ENP-00057|JLCPCB</v>
      </c>
      <c r="L58" s="72" t="str">
        <f t="shared" si="3"/>
        <v>ENP-00057|Ja</v>
      </c>
    </row>
    <row r="59" spans="1:12" ht="20" customHeight="1" x14ac:dyDescent="0.15">
      <c r="A59" s="69" t="s">
        <v>420</v>
      </c>
      <c r="B59" s="69" t="s">
        <v>829</v>
      </c>
      <c r="C59" s="69" t="s">
        <v>913</v>
      </c>
      <c r="D59" s="69" t="s">
        <v>914</v>
      </c>
      <c r="E59" s="70">
        <v>2.31</v>
      </c>
      <c r="F59" s="69" t="s">
        <v>840</v>
      </c>
      <c r="G59" s="69"/>
      <c r="H59" s="69" t="s">
        <v>792</v>
      </c>
      <c r="I59" s="71"/>
      <c r="J59" s="69"/>
      <c r="K59" s="72" t="str">
        <f t="shared" si="2"/>
        <v>ENP-00058|DigiKey</v>
      </c>
      <c r="L59" s="72" t="str">
        <f t="shared" si="3"/>
        <v>ENP-00058|Ja</v>
      </c>
    </row>
    <row r="60" spans="1:12" ht="20" customHeight="1" x14ac:dyDescent="0.15">
      <c r="A60" s="69" t="s">
        <v>429</v>
      </c>
      <c r="B60" s="69" t="s">
        <v>822</v>
      </c>
      <c r="C60" s="69" t="s">
        <v>915</v>
      </c>
      <c r="D60" s="69" t="s">
        <v>916</v>
      </c>
      <c r="E60" s="70">
        <v>0.3</v>
      </c>
      <c r="F60" s="69" t="s">
        <v>840</v>
      </c>
      <c r="G60" s="69"/>
      <c r="H60" s="69" t="s">
        <v>792</v>
      </c>
      <c r="I60" s="71"/>
      <c r="J60" s="69"/>
      <c r="K60" s="72" t="str">
        <f t="shared" si="2"/>
        <v>ENP-00059|Reichelt</v>
      </c>
      <c r="L60" s="72" t="str">
        <f t="shared" si="3"/>
        <v>ENP-00059|Ja</v>
      </c>
    </row>
    <row r="61" spans="1:12" ht="20" customHeight="1" x14ac:dyDescent="0.15">
      <c r="A61" s="69" t="s">
        <v>440</v>
      </c>
      <c r="B61" s="69" t="s">
        <v>826</v>
      </c>
      <c r="C61" s="69"/>
      <c r="D61" s="69"/>
      <c r="E61" s="70"/>
      <c r="F61" s="69" t="s">
        <v>840</v>
      </c>
      <c r="G61" s="69"/>
      <c r="H61" s="69" t="s">
        <v>792</v>
      </c>
      <c r="I61" s="71"/>
      <c r="J61" s="69"/>
      <c r="K61" s="72" t="str">
        <f t="shared" si="2"/>
        <v>ENP-00060|Noch festlegen</v>
      </c>
      <c r="L61" s="72" t="str">
        <f t="shared" si="3"/>
        <v>ENP-00060|Ja</v>
      </c>
    </row>
    <row r="62" spans="1:12" ht="20" customHeight="1" x14ac:dyDescent="0.15">
      <c r="A62" s="69" t="s">
        <v>447</v>
      </c>
      <c r="B62" s="69" t="s">
        <v>826</v>
      </c>
      <c r="C62" s="69"/>
      <c r="D62" s="69"/>
      <c r="E62" s="70"/>
      <c r="F62" s="69" t="s">
        <v>840</v>
      </c>
      <c r="G62" s="69"/>
      <c r="H62" s="69" t="s">
        <v>792</v>
      </c>
      <c r="I62" s="71"/>
      <c r="J62" s="69"/>
      <c r="K62" s="72" t="str">
        <f t="shared" si="2"/>
        <v>ENP-00061|Noch festlegen</v>
      </c>
      <c r="L62" s="72" t="str">
        <f t="shared" si="3"/>
        <v>ENP-00061|Ja</v>
      </c>
    </row>
    <row r="63" spans="1:12" ht="20" customHeight="1" x14ac:dyDescent="0.15">
      <c r="A63" s="69" t="s">
        <v>452</v>
      </c>
      <c r="B63" s="69" t="s">
        <v>826</v>
      </c>
      <c r="C63" s="69"/>
      <c r="D63" s="69"/>
      <c r="E63" s="70"/>
      <c r="F63" s="69" t="s">
        <v>840</v>
      </c>
      <c r="G63" s="69"/>
      <c r="H63" s="69" t="s">
        <v>792</v>
      </c>
      <c r="I63" s="71"/>
      <c r="J63" s="69"/>
      <c r="K63" s="72" t="str">
        <f t="shared" si="2"/>
        <v>ENP-00062|Noch festlegen</v>
      </c>
      <c r="L63" s="72" t="str">
        <f t="shared" si="3"/>
        <v>ENP-00062|Ja</v>
      </c>
    </row>
    <row r="64" spans="1:12" ht="20" customHeight="1" x14ac:dyDescent="0.15">
      <c r="A64" s="69" t="s">
        <v>457</v>
      </c>
      <c r="B64" s="69" t="s">
        <v>826</v>
      </c>
      <c r="C64" s="69"/>
      <c r="D64" s="69"/>
      <c r="E64" s="70"/>
      <c r="F64" s="69" t="s">
        <v>840</v>
      </c>
      <c r="G64" s="69"/>
      <c r="H64" s="69" t="s">
        <v>792</v>
      </c>
      <c r="I64" s="71"/>
      <c r="J64" s="69"/>
      <c r="K64" s="72" t="str">
        <f t="shared" si="2"/>
        <v>ENP-00063|Noch festlegen</v>
      </c>
      <c r="L64" s="72" t="str">
        <f t="shared" si="3"/>
        <v>ENP-00063|Ja</v>
      </c>
    </row>
    <row r="65" spans="1:12" ht="20" customHeight="1" x14ac:dyDescent="0.15">
      <c r="A65" s="69" t="s">
        <v>462</v>
      </c>
      <c r="B65" s="69" t="s">
        <v>822</v>
      </c>
      <c r="C65" s="69" t="s">
        <v>917</v>
      </c>
      <c r="D65" s="69" t="s">
        <v>918</v>
      </c>
      <c r="E65" s="70">
        <v>0.11</v>
      </c>
      <c r="F65" s="69" t="s">
        <v>840</v>
      </c>
      <c r="G65" s="69"/>
      <c r="H65" s="69" t="s">
        <v>792</v>
      </c>
      <c r="I65" s="71"/>
      <c r="J65" s="69"/>
      <c r="K65" s="72" t="str">
        <f t="shared" si="2"/>
        <v>ENP-00064|Reichelt</v>
      </c>
      <c r="L65" s="72" t="str">
        <f t="shared" si="3"/>
        <v>ENP-00064|Ja</v>
      </c>
    </row>
    <row r="66" spans="1:12" ht="20" customHeight="1" x14ac:dyDescent="0.15">
      <c r="A66" s="69" t="s">
        <v>473</v>
      </c>
      <c r="B66" s="69" t="s">
        <v>822</v>
      </c>
      <c r="C66" s="69" t="s">
        <v>919</v>
      </c>
      <c r="D66" s="69" t="s">
        <v>920</v>
      </c>
      <c r="E66" s="70">
        <v>0.14000000000000001</v>
      </c>
      <c r="F66" s="69" t="s">
        <v>840</v>
      </c>
      <c r="G66" s="69"/>
      <c r="H66" s="69" t="s">
        <v>792</v>
      </c>
      <c r="I66" s="71"/>
      <c r="J66" s="69"/>
      <c r="K66" s="72" t="str">
        <f t="shared" ref="K66:K102" si="4">A66&amp;"|"&amp;B66</f>
        <v>ENP-00065|Reichelt</v>
      </c>
      <c r="L66" s="72" t="str">
        <f t="shared" ref="L66:L102" si="5">A66&amp;"|"&amp;H66</f>
        <v>ENP-00065|Ja</v>
      </c>
    </row>
    <row r="67" spans="1:12" ht="20" customHeight="1" x14ac:dyDescent="0.15">
      <c r="A67" s="69" t="s">
        <v>481</v>
      </c>
      <c r="B67" s="69" t="s">
        <v>103</v>
      </c>
      <c r="C67" s="69"/>
      <c r="D67" s="69"/>
      <c r="E67" s="70"/>
      <c r="F67" s="69" t="s">
        <v>840</v>
      </c>
      <c r="G67" s="69">
        <v>5</v>
      </c>
      <c r="H67" s="69" t="s">
        <v>792</v>
      </c>
      <c r="I67" s="71"/>
      <c r="J67" s="69"/>
      <c r="K67" s="72" t="str">
        <f t="shared" si="4"/>
        <v>ENP-00066|JLCPCB</v>
      </c>
      <c r="L67" s="72" t="str">
        <f t="shared" si="5"/>
        <v>ENP-00066|Ja</v>
      </c>
    </row>
    <row r="68" spans="1:12" ht="20" customHeight="1" x14ac:dyDescent="0.15">
      <c r="A68" s="69" t="s">
        <v>485</v>
      </c>
      <c r="B68" s="69" t="s">
        <v>822</v>
      </c>
      <c r="C68" s="69" t="s">
        <v>489</v>
      </c>
      <c r="D68" s="69" t="s">
        <v>921</v>
      </c>
      <c r="E68" s="70">
        <v>0.14000000000000001</v>
      </c>
      <c r="F68" s="69" t="s">
        <v>840</v>
      </c>
      <c r="G68" s="69"/>
      <c r="H68" s="69" t="s">
        <v>792</v>
      </c>
      <c r="I68" s="71"/>
      <c r="J68" s="69"/>
      <c r="K68" s="72" t="str">
        <f t="shared" si="4"/>
        <v>ENP-00067|Reichelt</v>
      </c>
      <c r="L68" s="72" t="str">
        <f t="shared" si="5"/>
        <v>ENP-00067|Ja</v>
      </c>
    </row>
    <row r="69" spans="1:12" ht="20" customHeight="1" x14ac:dyDescent="0.15">
      <c r="A69" s="69" t="s">
        <v>493</v>
      </c>
      <c r="B69" s="69" t="s">
        <v>822</v>
      </c>
      <c r="C69" s="69" t="s">
        <v>496</v>
      </c>
      <c r="D69" s="69" t="s">
        <v>922</v>
      </c>
      <c r="E69" s="70">
        <v>1.19</v>
      </c>
      <c r="F69" s="69" t="s">
        <v>840</v>
      </c>
      <c r="G69" s="69"/>
      <c r="H69" s="69" t="s">
        <v>792</v>
      </c>
      <c r="I69" s="71"/>
      <c r="J69" s="69"/>
      <c r="K69" s="72" t="str">
        <f t="shared" si="4"/>
        <v>ENP-00068|Reichelt</v>
      </c>
      <c r="L69" s="72" t="str">
        <f t="shared" si="5"/>
        <v>ENP-00068|Ja</v>
      </c>
    </row>
    <row r="70" spans="1:12" ht="20" customHeight="1" x14ac:dyDescent="0.15">
      <c r="A70" s="69" t="s">
        <v>500</v>
      </c>
      <c r="B70" s="69" t="s">
        <v>826</v>
      </c>
      <c r="C70" s="69"/>
      <c r="D70" s="69"/>
      <c r="E70" s="70"/>
      <c r="F70" s="69" t="s">
        <v>840</v>
      </c>
      <c r="G70" s="69"/>
      <c r="H70" s="69" t="s">
        <v>792</v>
      </c>
      <c r="I70" s="71"/>
      <c r="J70" s="69"/>
      <c r="K70" s="72" t="str">
        <f t="shared" si="4"/>
        <v>ENP-00069|Noch festlegen</v>
      </c>
      <c r="L70" s="72" t="str">
        <f t="shared" si="5"/>
        <v>ENP-00069|Ja</v>
      </c>
    </row>
    <row r="71" spans="1:12" ht="20" customHeight="1" x14ac:dyDescent="0.15">
      <c r="A71" s="69" t="s">
        <v>507</v>
      </c>
      <c r="B71" s="69" t="s">
        <v>831</v>
      </c>
      <c r="C71" s="69" t="s">
        <v>923</v>
      </c>
      <c r="D71" s="69" t="s">
        <v>924</v>
      </c>
      <c r="E71" s="70">
        <v>1.66</v>
      </c>
      <c r="F71" s="69" t="s">
        <v>840</v>
      </c>
      <c r="G71" s="69"/>
      <c r="H71" s="69" t="s">
        <v>792</v>
      </c>
      <c r="I71" s="71"/>
      <c r="J71" s="69"/>
      <c r="K71" s="72" t="str">
        <f t="shared" si="4"/>
        <v>ENP-00070|Mouser</v>
      </c>
      <c r="L71" s="72" t="str">
        <f t="shared" si="5"/>
        <v>ENP-00070|Ja</v>
      </c>
    </row>
    <row r="72" spans="1:12" ht="20" customHeight="1" x14ac:dyDescent="0.15">
      <c r="A72" s="69" t="s">
        <v>517</v>
      </c>
      <c r="B72" s="69" t="s">
        <v>822</v>
      </c>
      <c r="C72" s="69" t="s">
        <v>925</v>
      </c>
      <c r="D72" s="69" t="s">
        <v>926</v>
      </c>
      <c r="E72" s="70">
        <v>0.18</v>
      </c>
      <c r="F72" s="69" t="s">
        <v>840</v>
      </c>
      <c r="G72" s="69"/>
      <c r="H72" s="69" t="s">
        <v>792</v>
      </c>
      <c r="I72" s="71"/>
      <c r="J72" s="69"/>
      <c r="K72" s="72" t="str">
        <f t="shared" si="4"/>
        <v>ENP-00071|Reichelt</v>
      </c>
      <c r="L72" s="72" t="str">
        <f t="shared" si="5"/>
        <v>ENP-00071|Ja</v>
      </c>
    </row>
    <row r="73" spans="1:12" ht="20" customHeight="1" x14ac:dyDescent="0.15">
      <c r="A73" s="69" t="s">
        <v>524</v>
      </c>
      <c r="B73" s="69" t="s">
        <v>829</v>
      </c>
      <c r="C73" s="69"/>
      <c r="D73" s="69" t="s">
        <v>927</v>
      </c>
      <c r="E73" s="70">
        <v>0.09</v>
      </c>
      <c r="F73" s="69" t="s">
        <v>840</v>
      </c>
      <c r="G73" s="69"/>
      <c r="H73" s="69" t="s">
        <v>792</v>
      </c>
      <c r="I73" s="71"/>
      <c r="J73" s="69"/>
      <c r="K73" s="72" t="str">
        <f t="shared" si="4"/>
        <v>ENP-00072|DigiKey</v>
      </c>
      <c r="L73" s="72" t="str">
        <f t="shared" si="5"/>
        <v>ENP-00072|Ja</v>
      </c>
    </row>
    <row r="74" spans="1:12" ht="20" customHeight="1" x14ac:dyDescent="0.15">
      <c r="A74" s="69" t="s">
        <v>532</v>
      </c>
      <c r="B74" s="69" t="s">
        <v>832</v>
      </c>
      <c r="C74" s="69" t="s">
        <v>536</v>
      </c>
      <c r="D74" s="69" t="s">
        <v>928</v>
      </c>
      <c r="E74" s="70">
        <v>7.0000000000000007E-2</v>
      </c>
      <c r="F74" s="69" t="s">
        <v>840</v>
      </c>
      <c r="G74" s="69"/>
      <c r="H74" s="69" t="s">
        <v>792</v>
      </c>
      <c r="I74" s="71"/>
      <c r="J74" s="69"/>
      <c r="K74" s="72" t="str">
        <f t="shared" si="4"/>
        <v>ENP-00073|TME</v>
      </c>
      <c r="L74" s="72" t="str">
        <f t="shared" si="5"/>
        <v>ENP-00073|Ja</v>
      </c>
    </row>
    <row r="75" spans="1:12" ht="20" customHeight="1" x14ac:dyDescent="0.15">
      <c r="A75" s="69" t="s">
        <v>541</v>
      </c>
      <c r="B75" s="69" t="s">
        <v>831</v>
      </c>
      <c r="C75" s="69" t="s">
        <v>929</v>
      </c>
      <c r="D75" s="69" t="s">
        <v>930</v>
      </c>
      <c r="E75" s="70">
        <v>0.92</v>
      </c>
      <c r="F75" s="69" t="s">
        <v>840</v>
      </c>
      <c r="G75" s="69"/>
      <c r="H75" s="69" t="s">
        <v>792</v>
      </c>
      <c r="I75" s="71"/>
      <c r="J75" s="69"/>
      <c r="K75" s="72" t="str">
        <f t="shared" si="4"/>
        <v>ENP-00074|Mouser</v>
      </c>
      <c r="L75" s="72" t="str">
        <f t="shared" si="5"/>
        <v>ENP-00074|Ja</v>
      </c>
    </row>
    <row r="76" spans="1:12" ht="20" customHeight="1" x14ac:dyDescent="0.15">
      <c r="A76" s="69" t="s">
        <v>551</v>
      </c>
      <c r="B76" s="69" t="s">
        <v>831</v>
      </c>
      <c r="C76" s="69" t="s">
        <v>931</v>
      </c>
      <c r="D76" s="69" t="s">
        <v>932</v>
      </c>
      <c r="E76" s="70">
        <v>7.11</v>
      </c>
      <c r="F76" s="69" t="s">
        <v>840</v>
      </c>
      <c r="G76" s="69"/>
      <c r="H76" s="69" t="s">
        <v>792</v>
      </c>
      <c r="I76" s="71"/>
      <c r="J76" s="69"/>
      <c r="K76" s="72" t="str">
        <f t="shared" si="4"/>
        <v>ENP-00075|Mouser</v>
      </c>
      <c r="L76" s="72" t="str">
        <f t="shared" si="5"/>
        <v>ENP-00075|Ja</v>
      </c>
    </row>
    <row r="77" spans="1:12" ht="20" customHeight="1" x14ac:dyDescent="0.15">
      <c r="A77" s="69" t="s">
        <v>560</v>
      </c>
      <c r="B77" s="69" t="s">
        <v>103</v>
      </c>
      <c r="C77" s="69"/>
      <c r="D77" s="69"/>
      <c r="E77" s="70"/>
      <c r="F77" s="69" t="s">
        <v>840</v>
      </c>
      <c r="G77" s="69">
        <v>5</v>
      </c>
      <c r="H77" s="69" t="s">
        <v>792</v>
      </c>
      <c r="I77" s="71"/>
      <c r="J77" s="69"/>
      <c r="K77" s="72" t="str">
        <f t="shared" si="4"/>
        <v>ENP-00076|JLCPCB</v>
      </c>
      <c r="L77" s="72" t="str">
        <f t="shared" si="5"/>
        <v>ENP-00076|Ja</v>
      </c>
    </row>
    <row r="78" spans="1:12" ht="20" customHeight="1" x14ac:dyDescent="0.15">
      <c r="A78" s="69" t="s">
        <v>565</v>
      </c>
      <c r="B78" s="69" t="s">
        <v>822</v>
      </c>
      <c r="C78" s="69" t="s">
        <v>933</v>
      </c>
      <c r="D78" s="69" t="s">
        <v>934</v>
      </c>
      <c r="E78" s="70">
        <v>2.25</v>
      </c>
      <c r="F78" s="69" t="s">
        <v>840</v>
      </c>
      <c r="G78" s="69"/>
      <c r="H78" s="69" t="s">
        <v>792</v>
      </c>
      <c r="I78" s="71"/>
      <c r="J78" s="69"/>
      <c r="K78" s="72" t="str">
        <f t="shared" si="4"/>
        <v>ENP-00077|Reichelt</v>
      </c>
      <c r="L78" s="72" t="str">
        <f t="shared" si="5"/>
        <v>ENP-00077|Ja</v>
      </c>
    </row>
    <row r="79" spans="1:12" ht="20" customHeight="1" x14ac:dyDescent="0.15">
      <c r="A79" s="69" t="s">
        <v>574</v>
      </c>
      <c r="B79" s="69" t="s">
        <v>822</v>
      </c>
      <c r="C79" s="69" t="s">
        <v>935</v>
      </c>
      <c r="D79" s="69" t="s">
        <v>936</v>
      </c>
      <c r="E79" s="70">
        <v>0.17</v>
      </c>
      <c r="F79" s="69" t="s">
        <v>840</v>
      </c>
      <c r="G79" s="69"/>
      <c r="H79" s="69" t="s">
        <v>792</v>
      </c>
      <c r="I79" s="71"/>
      <c r="J79" s="69"/>
      <c r="K79" s="72" t="str">
        <f t="shared" si="4"/>
        <v>ENP-00078|Reichelt</v>
      </c>
      <c r="L79" s="72" t="str">
        <f t="shared" si="5"/>
        <v>ENP-00078|Ja</v>
      </c>
    </row>
    <row r="80" spans="1:12" ht="20" customHeight="1" x14ac:dyDescent="0.15">
      <c r="A80" s="69" t="s">
        <v>581</v>
      </c>
      <c r="B80" s="69" t="s">
        <v>822</v>
      </c>
      <c r="C80" s="69" t="s">
        <v>937</v>
      </c>
      <c r="D80" s="69" t="s">
        <v>938</v>
      </c>
      <c r="E80" s="70">
        <v>0.17</v>
      </c>
      <c r="F80" s="69" t="s">
        <v>840</v>
      </c>
      <c r="G80" s="69"/>
      <c r="H80" s="69" t="s">
        <v>792</v>
      </c>
      <c r="I80" s="71"/>
      <c r="J80" s="69"/>
      <c r="K80" s="72" t="str">
        <f t="shared" si="4"/>
        <v>ENP-00079|Reichelt</v>
      </c>
      <c r="L80" s="72" t="str">
        <f t="shared" si="5"/>
        <v>ENP-00079|Ja</v>
      </c>
    </row>
    <row r="81" spans="1:12" ht="20" customHeight="1" x14ac:dyDescent="0.15">
      <c r="A81" s="69" t="s">
        <v>585</v>
      </c>
      <c r="B81" s="69" t="s">
        <v>826</v>
      </c>
      <c r="C81" s="69"/>
      <c r="D81" s="69" t="s">
        <v>939</v>
      </c>
      <c r="E81" s="70"/>
      <c r="F81" s="69" t="s">
        <v>840</v>
      </c>
      <c r="G81" s="69"/>
      <c r="H81" s="69" t="s">
        <v>792</v>
      </c>
      <c r="I81" s="71"/>
      <c r="J81" s="69"/>
      <c r="K81" s="72" t="str">
        <f t="shared" si="4"/>
        <v>ENP-00080|Noch festlegen</v>
      </c>
      <c r="L81" s="72" t="str">
        <f t="shared" si="5"/>
        <v>ENP-00080|Ja</v>
      </c>
    </row>
    <row r="82" spans="1:12" ht="20" customHeight="1" x14ac:dyDescent="0.15">
      <c r="A82" s="69" t="s">
        <v>593</v>
      </c>
      <c r="B82" s="69" t="s">
        <v>826</v>
      </c>
      <c r="C82" s="69"/>
      <c r="D82" s="69" t="s">
        <v>939</v>
      </c>
      <c r="E82" s="70"/>
      <c r="F82" s="69" t="s">
        <v>840</v>
      </c>
      <c r="G82" s="69"/>
      <c r="H82" s="69" t="s">
        <v>792</v>
      </c>
      <c r="I82" s="71"/>
      <c r="J82" s="69"/>
      <c r="K82" s="72" t="str">
        <f t="shared" si="4"/>
        <v>ENP-00081|Noch festlegen</v>
      </c>
      <c r="L82" s="72" t="str">
        <f t="shared" si="5"/>
        <v>ENP-00081|Ja</v>
      </c>
    </row>
    <row r="83" spans="1:12" ht="20" customHeight="1" x14ac:dyDescent="0.15">
      <c r="A83" s="69" t="s">
        <v>598</v>
      </c>
      <c r="B83" s="69" t="s">
        <v>826</v>
      </c>
      <c r="C83" s="69"/>
      <c r="D83" s="69" t="s">
        <v>939</v>
      </c>
      <c r="E83" s="70"/>
      <c r="F83" s="69" t="s">
        <v>840</v>
      </c>
      <c r="G83" s="69"/>
      <c r="H83" s="69" t="s">
        <v>792</v>
      </c>
      <c r="I83" s="71"/>
      <c r="J83" s="69"/>
      <c r="K83" s="72" t="str">
        <f t="shared" si="4"/>
        <v>ENP-00082|Noch festlegen</v>
      </c>
      <c r="L83" s="72" t="str">
        <f t="shared" si="5"/>
        <v>ENP-00082|Ja</v>
      </c>
    </row>
    <row r="84" spans="1:12" ht="20" customHeight="1" x14ac:dyDescent="0.15">
      <c r="A84" s="69" t="s">
        <v>603</v>
      </c>
      <c r="B84" s="69" t="s">
        <v>826</v>
      </c>
      <c r="C84" s="69"/>
      <c r="D84" s="69" t="s">
        <v>939</v>
      </c>
      <c r="E84" s="70"/>
      <c r="F84" s="69" t="s">
        <v>840</v>
      </c>
      <c r="G84" s="69"/>
      <c r="H84" s="69" t="s">
        <v>792</v>
      </c>
      <c r="I84" s="71"/>
      <c r="J84" s="69"/>
      <c r="K84" s="72" t="str">
        <f t="shared" si="4"/>
        <v>ENP-00083|Noch festlegen</v>
      </c>
      <c r="L84" s="72" t="str">
        <f t="shared" si="5"/>
        <v>ENP-00083|Ja</v>
      </c>
    </row>
    <row r="85" spans="1:12" ht="20" customHeight="1" x14ac:dyDescent="0.15">
      <c r="A85" s="69" t="s">
        <v>608</v>
      </c>
      <c r="B85" s="69" t="s">
        <v>826</v>
      </c>
      <c r="C85" s="69"/>
      <c r="D85" s="69" t="s">
        <v>939</v>
      </c>
      <c r="E85" s="70"/>
      <c r="F85" s="69" t="s">
        <v>840</v>
      </c>
      <c r="G85" s="69"/>
      <c r="H85" s="69" t="s">
        <v>792</v>
      </c>
      <c r="I85" s="71"/>
      <c r="J85" s="69"/>
      <c r="K85" s="72" t="str">
        <f t="shared" si="4"/>
        <v>ENP-00084|Noch festlegen</v>
      </c>
      <c r="L85" s="72" t="str">
        <f t="shared" si="5"/>
        <v>ENP-00084|Ja</v>
      </c>
    </row>
    <row r="86" spans="1:12" ht="20" customHeight="1" x14ac:dyDescent="0.15">
      <c r="A86" s="69" t="s">
        <v>613</v>
      </c>
      <c r="B86" s="69" t="s">
        <v>826</v>
      </c>
      <c r="C86" s="69"/>
      <c r="D86" s="69" t="s">
        <v>939</v>
      </c>
      <c r="E86" s="70"/>
      <c r="F86" s="69" t="s">
        <v>840</v>
      </c>
      <c r="G86" s="69"/>
      <c r="H86" s="69" t="s">
        <v>792</v>
      </c>
      <c r="I86" s="71"/>
      <c r="J86" s="69"/>
      <c r="K86" s="72" t="str">
        <f t="shared" si="4"/>
        <v>ENP-00085|Noch festlegen</v>
      </c>
      <c r="L86" s="72" t="str">
        <f t="shared" si="5"/>
        <v>ENP-00085|Ja</v>
      </c>
    </row>
    <row r="87" spans="1:12" ht="20" customHeight="1" x14ac:dyDescent="0.15">
      <c r="A87" s="69" t="s">
        <v>618</v>
      </c>
      <c r="B87" s="69" t="s">
        <v>826</v>
      </c>
      <c r="C87" s="69"/>
      <c r="D87" s="69" t="s">
        <v>939</v>
      </c>
      <c r="E87" s="70"/>
      <c r="F87" s="69" t="s">
        <v>840</v>
      </c>
      <c r="G87" s="69"/>
      <c r="H87" s="69" t="s">
        <v>792</v>
      </c>
      <c r="I87" s="71"/>
      <c r="J87" s="69"/>
      <c r="K87" s="72" t="str">
        <f t="shared" si="4"/>
        <v>ENP-00086|Noch festlegen</v>
      </c>
      <c r="L87" s="72" t="str">
        <f t="shared" si="5"/>
        <v>ENP-00086|Ja</v>
      </c>
    </row>
    <row r="88" spans="1:12" ht="20" customHeight="1" x14ac:dyDescent="0.15">
      <c r="A88" s="69" t="s">
        <v>623</v>
      </c>
      <c r="B88" s="69" t="s">
        <v>826</v>
      </c>
      <c r="C88" s="69"/>
      <c r="D88" s="69" t="s">
        <v>939</v>
      </c>
      <c r="E88" s="70"/>
      <c r="F88" s="69" t="s">
        <v>840</v>
      </c>
      <c r="G88" s="69"/>
      <c r="H88" s="69" t="s">
        <v>792</v>
      </c>
      <c r="I88" s="71"/>
      <c r="J88" s="69"/>
      <c r="K88" s="72" t="str">
        <f t="shared" si="4"/>
        <v>ENP-00087|Noch festlegen</v>
      </c>
      <c r="L88" s="72" t="str">
        <f t="shared" si="5"/>
        <v>ENP-00087|Ja</v>
      </c>
    </row>
    <row r="89" spans="1:12" ht="20" customHeight="1" x14ac:dyDescent="0.15">
      <c r="A89" s="69" t="s">
        <v>628</v>
      </c>
      <c r="B89" s="69" t="s">
        <v>822</v>
      </c>
      <c r="C89" s="69" t="s">
        <v>940</v>
      </c>
      <c r="D89" s="69" t="s">
        <v>941</v>
      </c>
      <c r="E89" s="70">
        <v>5.75</v>
      </c>
      <c r="F89" s="69" t="s">
        <v>840</v>
      </c>
      <c r="G89" s="69"/>
      <c r="H89" s="69" t="s">
        <v>792</v>
      </c>
      <c r="I89" s="71"/>
      <c r="J89" s="69"/>
      <c r="K89" s="72" t="str">
        <f t="shared" si="4"/>
        <v>ENP-00088|Reichelt</v>
      </c>
      <c r="L89" s="72" t="str">
        <f t="shared" si="5"/>
        <v>ENP-00088|Ja</v>
      </c>
    </row>
    <row r="90" spans="1:12" ht="20" customHeight="1" x14ac:dyDescent="0.15">
      <c r="A90" s="69" t="s">
        <v>635</v>
      </c>
      <c r="B90" s="69" t="s">
        <v>829</v>
      </c>
      <c r="C90" s="69" t="s">
        <v>942</v>
      </c>
      <c r="D90" s="69" t="s">
        <v>943</v>
      </c>
      <c r="E90" s="70"/>
      <c r="F90" s="69" t="s">
        <v>840</v>
      </c>
      <c r="G90" s="69"/>
      <c r="H90" s="69" t="s">
        <v>792</v>
      </c>
      <c r="I90" s="71"/>
      <c r="J90" s="69"/>
      <c r="K90" s="72" t="str">
        <f t="shared" si="4"/>
        <v>ENP-00089|DigiKey</v>
      </c>
      <c r="L90" s="72" t="str">
        <f t="shared" si="5"/>
        <v>ENP-00089|Ja</v>
      </c>
    </row>
    <row r="91" spans="1:12" ht="20" customHeight="1" x14ac:dyDescent="0.15">
      <c r="A91" s="69" t="s">
        <v>645</v>
      </c>
      <c r="B91" s="69" t="s">
        <v>829</v>
      </c>
      <c r="C91" s="69" t="s">
        <v>944</v>
      </c>
      <c r="D91" s="69" t="s">
        <v>945</v>
      </c>
      <c r="E91" s="70">
        <v>0.09</v>
      </c>
      <c r="F91" s="69" t="s">
        <v>840</v>
      </c>
      <c r="G91" s="69"/>
      <c r="H91" s="69" t="s">
        <v>792</v>
      </c>
      <c r="I91" s="71"/>
      <c r="J91" s="69"/>
      <c r="K91" s="72" t="str">
        <f t="shared" si="4"/>
        <v>ENP-00090|DigiKey</v>
      </c>
      <c r="L91" s="72" t="str">
        <f t="shared" si="5"/>
        <v>ENP-00090|Ja</v>
      </c>
    </row>
    <row r="92" spans="1:12" ht="20" customHeight="1" x14ac:dyDescent="0.15">
      <c r="A92" s="69" t="s">
        <v>653</v>
      </c>
      <c r="B92" s="69" t="s">
        <v>822</v>
      </c>
      <c r="C92" s="69" t="s">
        <v>946</v>
      </c>
      <c r="D92" s="69" t="s">
        <v>947</v>
      </c>
      <c r="E92" s="70">
        <v>0.85</v>
      </c>
      <c r="F92" s="69" t="s">
        <v>840</v>
      </c>
      <c r="G92" s="69"/>
      <c r="H92" s="69" t="s">
        <v>792</v>
      </c>
      <c r="I92" s="71"/>
      <c r="J92" s="69"/>
      <c r="K92" s="72" t="str">
        <f t="shared" si="4"/>
        <v>ENP-00091|Reichelt</v>
      </c>
      <c r="L92" s="72" t="str">
        <f t="shared" si="5"/>
        <v>ENP-00091|Ja</v>
      </c>
    </row>
    <row r="93" spans="1:12" ht="20" customHeight="1" x14ac:dyDescent="0.15">
      <c r="A93" s="69" t="s">
        <v>661</v>
      </c>
      <c r="B93" s="69" t="s">
        <v>822</v>
      </c>
      <c r="C93" s="69" t="s">
        <v>948</v>
      </c>
      <c r="D93" s="69" t="s">
        <v>949</v>
      </c>
      <c r="E93" s="70">
        <v>0.52</v>
      </c>
      <c r="F93" s="69" t="s">
        <v>840</v>
      </c>
      <c r="G93" s="69"/>
      <c r="H93" s="69" t="s">
        <v>792</v>
      </c>
      <c r="I93" s="71"/>
      <c r="J93" s="69"/>
      <c r="K93" s="72" t="str">
        <f t="shared" si="4"/>
        <v>ENP-00092|Reichelt</v>
      </c>
      <c r="L93" s="72" t="str">
        <f t="shared" si="5"/>
        <v>ENP-00092|Ja</v>
      </c>
    </row>
    <row r="94" spans="1:12" ht="20" customHeight="1" x14ac:dyDescent="0.15">
      <c r="A94" s="69" t="s">
        <v>667</v>
      </c>
      <c r="B94" s="69" t="s">
        <v>822</v>
      </c>
      <c r="C94" s="69" t="s">
        <v>950</v>
      </c>
      <c r="D94" s="69" t="s">
        <v>951</v>
      </c>
      <c r="E94" s="70">
        <v>0.04</v>
      </c>
      <c r="F94" s="69" t="s">
        <v>840</v>
      </c>
      <c r="G94" s="69"/>
      <c r="H94" s="69" t="s">
        <v>792</v>
      </c>
      <c r="I94" s="71"/>
      <c r="J94" s="69"/>
      <c r="K94" s="72" t="str">
        <f t="shared" si="4"/>
        <v>ENP-00093|Reichelt</v>
      </c>
      <c r="L94" s="72" t="str">
        <f t="shared" si="5"/>
        <v>ENP-00093|Ja</v>
      </c>
    </row>
    <row r="95" spans="1:12" ht="20" customHeight="1" x14ac:dyDescent="0.15">
      <c r="A95" s="69" t="s">
        <v>672</v>
      </c>
      <c r="B95" s="69" t="s">
        <v>822</v>
      </c>
      <c r="C95" s="69" t="s">
        <v>952</v>
      </c>
      <c r="D95" s="69" t="s">
        <v>953</v>
      </c>
      <c r="E95" s="70">
        <v>0.09</v>
      </c>
      <c r="F95" s="69" t="s">
        <v>840</v>
      </c>
      <c r="G95" s="69"/>
      <c r="H95" s="69" t="s">
        <v>792</v>
      </c>
      <c r="I95" s="71"/>
      <c r="J95" s="69"/>
      <c r="K95" s="72" t="str">
        <f t="shared" si="4"/>
        <v>ENP-00094|Reichelt</v>
      </c>
      <c r="L95" s="72" t="str">
        <f t="shared" si="5"/>
        <v>ENP-00094|Ja</v>
      </c>
    </row>
    <row r="96" spans="1:12" ht="20" customHeight="1" x14ac:dyDescent="0.15">
      <c r="A96" s="69" t="s">
        <v>677</v>
      </c>
      <c r="B96" s="69" t="s">
        <v>822</v>
      </c>
      <c r="C96" s="69" t="s">
        <v>683</v>
      </c>
      <c r="D96" s="69" t="s">
        <v>954</v>
      </c>
      <c r="E96" s="70">
        <v>0.22</v>
      </c>
      <c r="F96" s="69" t="s">
        <v>840</v>
      </c>
      <c r="G96" s="69"/>
      <c r="H96" s="69" t="s">
        <v>792</v>
      </c>
      <c r="I96" s="71"/>
      <c r="J96" s="69"/>
      <c r="K96" s="72" t="str">
        <f t="shared" si="4"/>
        <v>ENP-00095|Reichelt</v>
      </c>
      <c r="L96" s="72" t="str">
        <f t="shared" si="5"/>
        <v>ENP-00095|Ja</v>
      </c>
    </row>
    <row r="97" spans="1:12" ht="20" customHeight="1" x14ac:dyDescent="0.15">
      <c r="A97" s="69" t="s">
        <v>684</v>
      </c>
      <c r="B97" s="69" t="s">
        <v>822</v>
      </c>
      <c r="C97" s="69" t="s">
        <v>955</v>
      </c>
      <c r="D97" s="69" t="s">
        <v>956</v>
      </c>
      <c r="E97" s="70">
        <v>0.22</v>
      </c>
      <c r="F97" s="69" t="s">
        <v>840</v>
      </c>
      <c r="G97" s="69"/>
      <c r="H97" s="69" t="s">
        <v>792</v>
      </c>
      <c r="I97" s="71"/>
      <c r="J97" s="69"/>
      <c r="K97" s="72" t="str">
        <f t="shared" si="4"/>
        <v>ENP-00096|Reichelt</v>
      </c>
      <c r="L97" s="72" t="str">
        <f t="shared" si="5"/>
        <v>ENP-00096|Ja</v>
      </c>
    </row>
    <row r="98" spans="1:12" ht="20" customHeight="1" x14ac:dyDescent="0.15">
      <c r="A98" s="69" t="s">
        <v>689</v>
      </c>
      <c r="B98" s="69" t="s">
        <v>822</v>
      </c>
      <c r="C98" s="69" t="s">
        <v>957</v>
      </c>
      <c r="D98" s="69" t="s">
        <v>958</v>
      </c>
      <c r="E98" s="70">
        <v>0.26</v>
      </c>
      <c r="F98" s="69" t="s">
        <v>840</v>
      </c>
      <c r="G98" s="69"/>
      <c r="H98" s="69" t="s">
        <v>792</v>
      </c>
      <c r="I98" s="71"/>
      <c r="J98" s="69"/>
      <c r="K98" s="72" t="str">
        <f t="shared" si="4"/>
        <v>ENP-00097|Reichelt</v>
      </c>
      <c r="L98" s="72" t="str">
        <f t="shared" si="5"/>
        <v>ENP-00097|Ja</v>
      </c>
    </row>
    <row r="99" spans="1:12" ht="20" customHeight="1" x14ac:dyDescent="0.15">
      <c r="A99" s="69" t="s">
        <v>696</v>
      </c>
      <c r="B99" s="69" t="s">
        <v>822</v>
      </c>
      <c r="C99" s="69" t="s">
        <v>959</v>
      </c>
      <c r="D99" s="69" t="s">
        <v>960</v>
      </c>
      <c r="E99" s="70">
        <v>0.23</v>
      </c>
      <c r="F99" s="69" t="s">
        <v>840</v>
      </c>
      <c r="G99" s="69"/>
      <c r="H99" s="69" t="s">
        <v>792</v>
      </c>
      <c r="I99" s="71"/>
      <c r="J99" s="69"/>
      <c r="K99" s="72" t="str">
        <f t="shared" si="4"/>
        <v>ENP-00098|Reichelt</v>
      </c>
      <c r="L99" s="72" t="str">
        <f t="shared" si="5"/>
        <v>ENP-00098|Ja</v>
      </c>
    </row>
    <row r="100" spans="1:12" ht="20" customHeight="1" x14ac:dyDescent="0.15">
      <c r="A100" s="69" t="s">
        <v>702</v>
      </c>
      <c r="B100" s="69" t="s">
        <v>822</v>
      </c>
      <c r="C100" s="69" t="s">
        <v>961</v>
      </c>
      <c r="D100" s="69" t="s">
        <v>962</v>
      </c>
      <c r="E100" s="70">
        <v>0.02</v>
      </c>
      <c r="F100" s="69" t="s">
        <v>840</v>
      </c>
      <c r="G100" s="69"/>
      <c r="H100" s="69" t="s">
        <v>792</v>
      </c>
      <c r="I100" s="71"/>
      <c r="J100" s="69"/>
      <c r="K100" s="72" t="str">
        <f t="shared" si="4"/>
        <v>ENP-00099|Reichelt</v>
      </c>
      <c r="L100" s="72" t="str">
        <f t="shared" si="5"/>
        <v>ENP-00099|Ja</v>
      </c>
    </row>
    <row r="101" spans="1:12" ht="20" customHeight="1" x14ac:dyDescent="0.15">
      <c r="A101" s="69" t="s">
        <v>707</v>
      </c>
      <c r="B101" s="69" t="s">
        <v>822</v>
      </c>
      <c r="C101" s="69" t="s">
        <v>963</v>
      </c>
      <c r="D101" s="69" t="s">
        <v>964</v>
      </c>
      <c r="E101" s="70">
        <v>7.0000000000000007E-2</v>
      </c>
      <c r="F101" s="69" t="s">
        <v>840</v>
      </c>
      <c r="G101" s="69"/>
      <c r="H101" s="69" t="s">
        <v>792</v>
      </c>
      <c r="I101" s="71"/>
      <c r="J101" s="69"/>
      <c r="K101" s="72" t="str">
        <f t="shared" si="4"/>
        <v>ENP-00100|Reichelt</v>
      </c>
      <c r="L101" s="72" t="str">
        <f t="shared" si="5"/>
        <v>ENP-00100|Ja</v>
      </c>
    </row>
    <row r="102" spans="1:12" ht="20" customHeight="1" x14ac:dyDescent="0.15">
      <c r="A102" s="69" t="s">
        <v>712</v>
      </c>
      <c r="B102" s="69" t="s">
        <v>822</v>
      </c>
      <c r="C102" s="69" t="s">
        <v>717</v>
      </c>
      <c r="D102" s="69" t="s">
        <v>965</v>
      </c>
      <c r="E102" s="70">
        <v>0.03</v>
      </c>
      <c r="F102" s="69" t="s">
        <v>840</v>
      </c>
      <c r="G102" s="69"/>
      <c r="H102" s="69" t="s">
        <v>792</v>
      </c>
      <c r="I102" s="71"/>
      <c r="J102" s="69"/>
      <c r="K102" s="72" t="str">
        <f t="shared" si="4"/>
        <v>ENP-00101|Reichelt</v>
      </c>
      <c r="L102" s="72" t="str">
        <f t="shared" si="5"/>
        <v>ENP-00101|Ja</v>
      </c>
    </row>
  </sheetData>
  <dataValidations count="1">
    <dataValidation type="list" sqref="H2:H102" xr:uid="{00000000-0002-0000-0600-000000000000}">
      <formula1>"Ja,Nein"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1000000}">
          <x14:formula1>
            <xm:f>Parts!$A$2:$A$200</xm:f>
          </x14:formula1>
          <x14:formula2>
            <xm:f>0</xm:f>
          </x14:formula2>
          <xm:sqref>A2:A300</xm:sqref>
        </x14:dataValidation>
        <x14:dataValidation type="list" xr:uid="{00000000-0002-0000-0600-000002000000}">
          <x14:formula1>
            <xm:f>Suppliers!$A$2:$A$10</xm:f>
          </x14:formula1>
          <x14:formula2>
            <xm:f>0</xm:f>
          </x14:formula2>
          <xm:sqref>B2:B300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zoomScaleNormal="100" workbookViewId="0"/>
  </sheetViews>
  <sheetFormatPr baseColWidth="10" defaultColWidth="8.6640625" defaultRowHeight="13" x14ac:dyDescent="0.15"/>
  <cols>
    <col min="1" max="1" width="22" customWidth="1"/>
    <col min="2" max="2" width="12" customWidth="1"/>
    <col min="3" max="3" width="35" customWidth="1"/>
  </cols>
  <sheetData>
    <row r="1" spans="1:3" ht="26" customHeight="1" x14ac:dyDescent="0.15">
      <c r="A1" s="73" t="s">
        <v>795</v>
      </c>
      <c r="B1" s="73" t="s">
        <v>966</v>
      </c>
      <c r="C1" s="73" t="s">
        <v>11</v>
      </c>
    </row>
    <row r="2" spans="1:3" x14ac:dyDescent="0.15">
      <c r="A2" t="s">
        <v>967</v>
      </c>
      <c r="B2" s="74" t="s">
        <v>792</v>
      </c>
    </row>
    <row r="3" spans="1:3" x14ac:dyDescent="0.15">
      <c r="A3" t="s">
        <v>829</v>
      </c>
      <c r="B3" s="74" t="s">
        <v>792</v>
      </c>
    </row>
    <row r="4" spans="1:3" x14ac:dyDescent="0.15">
      <c r="A4" t="s">
        <v>817</v>
      </c>
      <c r="B4" s="74" t="s">
        <v>792</v>
      </c>
    </row>
    <row r="5" spans="1:3" x14ac:dyDescent="0.15">
      <c r="A5" t="s">
        <v>103</v>
      </c>
      <c r="B5" s="74" t="s">
        <v>792</v>
      </c>
    </row>
    <row r="6" spans="1:3" x14ac:dyDescent="0.15">
      <c r="A6" t="s">
        <v>831</v>
      </c>
      <c r="B6" s="74" t="s">
        <v>792</v>
      </c>
    </row>
    <row r="7" spans="1:3" x14ac:dyDescent="0.15">
      <c r="A7" t="s">
        <v>826</v>
      </c>
      <c r="B7" s="74" t="s">
        <v>792</v>
      </c>
      <c r="C7" t="s">
        <v>968</v>
      </c>
    </row>
    <row r="8" spans="1:3" x14ac:dyDescent="0.15">
      <c r="A8" t="s">
        <v>822</v>
      </c>
      <c r="B8" s="74" t="s">
        <v>792</v>
      </c>
    </row>
    <row r="9" spans="1:3" x14ac:dyDescent="0.15">
      <c r="A9" t="s">
        <v>830</v>
      </c>
      <c r="B9" s="74" t="s">
        <v>792</v>
      </c>
    </row>
    <row r="10" spans="1:3" x14ac:dyDescent="0.15">
      <c r="A10" t="s">
        <v>832</v>
      </c>
      <c r="B10" s="74" t="s">
        <v>792</v>
      </c>
    </row>
  </sheetData>
  <dataValidations count="1">
    <dataValidation type="list" sqref="B2:B10" xr:uid="{00000000-0002-0000-0700-000000000000}">
      <formula1>"Ja,Nein"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Parts</vt:lpstr>
      <vt:lpstr>Kits</vt:lpstr>
      <vt:lpstr>Kit_BOM</vt:lpstr>
      <vt:lpstr>Order_List</vt:lpstr>
      <vt:lpstr>Stock</vt:lpstr>
      <vt:lpstr>Etiketten_Druck</vt:lpstr>
      <vt:lpstr>Part_Suppliers</vt:lpstr>
      <vt:lpstr>Suppliers</vt:lpstr>
      <vt:lpstr>Etiketten_Druck!Druckbereich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Lutz Thielemann</cp:lastModifiedBy>
  <cp:revision>0</cp:revision>
  <cp:lastPrinted>2026-09-03T12:17:46Z</cp:lastPrinted>
  <dcterms:modified xsi:type="dcterms:W3CDTF">2026-09-06T13:37:04Z</dcterms:modified>
  <dc:language>de-DE</dc:language>
</cp:coreProperties>
</file>