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lutzthielemann/Documents/Development/EnvNode/hardware/"/>
    </mc:Choice>
  </mc:AlternateContent>
  <xr:revisionPtr revIDLastSave="0" documentId="8_{BE895D29-D940-3348-9EFF-F0C133E756A1}" xr6:coauthVersionLast="47" xr6:coauthVersionMax="47" xr10:uidLastSave="{00000000-0000-0000-0000-000000000000}"/>
  <bookViews>
    <workbookView xWindow="-37120" yWindow="2940" windowWidth="28240" windowHeight="17240" xr2:uid="{80928CA3-31BD-5C42-BF61-0691E9D1F4D9}"/>
  </bookViews>
  <sheets>
    <sheet name="BOM_Mainboard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M19" i="1" l="1"/>
  <c r="M15" i="1"/>
  <c r="M16" i="1"/>
  <c r="M17" i="1"/>
  <c r="M18" i="1"/>
  <c r="M20" i="1"/>
  <c r="M21" i="1"/>
  <c r="M22" i="1"/>
  <c r="M23" i="1"/>
  <c r="M13" i="1"/>
  <c r="M14" i="1"/>
  <c r="M12" i="1"/>
  <c r="L2" i="1"/>
  <c r="M2" i="1" s="1"/>
  <c r="M3" i="1"/>
  <c r="M4" i="1"/>
  <c r="M5" i="1"/>
  <c r="M7" i="1"/>
  <c r="M8" i="1"/>
  <c r="M9" i="1"/>
  <c r="M10" i="1"/>
  <c r="M11" i="1"/>
  <c r="M6" i="1"/>
</calcChain>
</file>

<file path=xl/sharedStrings.xml><?xml version="1.0" encoding="utf-8"?>
<sst xmlns="http://purl.oclc.org/ooxml/spreadsheetml/main" count="186" uniqueCount="125">
  <si>
    <t>Position+A1:D13</t>
  </si>
  <si>
    <t>Qty</t>
  </si>
  <si>
    <t>References</t>
  </si>
  <si>
    <t>Category</t>
  </si>
  <si>
    <t>Description</t>
  </si>
  <si>
    <t>Manufacturer</t>
  </si>
  <si>
    <t>MPN</t>
  </si>
  <si>
    <t>Supplier</t>
  </si>
  <si>
    <t>Supplier_PN</t>
  </si>
  <si>
    <t>URL</t>
  </si>
  <si>
    <t xml:space="preserve"> Unit_Price </t>
  </si>
  <si>
    <t xml:space="preserve"> Total </t>
  </si>
  <si>
    <t>Notes</t>
  </si>
  <si>
    <t>Cable Assembly</t>
  </si>
  <si>
    <t xml:space="preserve"> Set, SET JST-PH 4-polig 2.00mm vertikaler PCB-Stecker, Buchse THT</t>
  </si>
  <si>
    <t>JST</t>
  </si>
  <si>
    <t>GPIO-Anschlüsse; exakte Herstellerartikelnummer vor Bestellung gegen Footprint und Orientierung prüfen</t>
  </si>
  <si>
    <t>Cable Assembly Set</t>
  </si>
  <si>
    <t>Qwiic/JST-SH,  4-poliges Pigtail JST</t>
  </si>
  <si>
    <t>eBay</t>
  </si>
  <si>
    <t>https://www.ebay.de/itm/173373182853?var=472082388514&amp;mkevt=1&amp;mkcid=1&amp;mkrid=707-53477-19255-0&amp;campid=5338900900&amp;toolid=20006&amp;_ul=DE&amp;customid=56357.a3ed6a6e290d515ebd3c2719dda804fc89ac0aba&amp;gclid=Cj0KCQjwkOvTBhDgARIsAKUNyRushMKf0tSoocu00ZtebiM-JK-GbXhf7yKDhPSZVdsZL-EEyywLbIcaAndsEALw_wcB&amp;gbraid=0AAAAAqbaHat7Q_3DRZ3ZEIWwp68U1IjOi&amp;adtype=pla&amp;loc_physical_ms=9041684</t>
  </si>
  <si>
    <t>Qwiic-Konvention: GND=schwarz, 3V3=rot, SDA=blau, SCL=gelb; Kabelbelegung vor Anschluss prüfen</t>
  </si>
  <si>
    <t>Socket</t>
  </si>
  <si>
    <t>PinSocket 1x4, 2.54 mm</t>
  </si>
  <si>
    <t>fischer Elektronik</t>
  </si>
  <si>
    <t>reichelt</t>
  </si>
  <si>
    <t>BKL 10120946</t>
  </si>
  <si>
    <t>https://www.reichelt.de/de/de/shop/produkt/buchsenleiste_2_54mm_1x4_gerade-266671</t>
  </si>
  <si>
    <t>Für interne Qwiic-Breakouts; Bauhöhe und Ausführung passend zur Mechanik wählen</t>
  </si>
  <si>
    <t>PinSocket 1x19, 2.54mm</t>
  </si>
  <si>
    <t>BL1.20 G</t>
  </si>
  <si>
    <t> FIS BL1 20 G</t>
  </si>
  <si>
    <t>https://www.reichelt.de/de/de/shop/produkt/buchsenleiste_2_54mm_1x20_trennbar_vergoldet-283787</t>
  </si>
  <si>
    <t>Für ESP32-DevKitC mit 38 Pins; alternativ eine geeignete 38-Pin-ESP32-Fassung verwenden</t>
  </si>
  <si>
    <t>R1 R2 R3 R4</t>
  </si>
  <si>
    <t>Resistor</t>
  </si>
  <si>
    <t>4.7 kOhm 1% SMD 1206</t>
  </si>
  <si>
    <t>Vishay</t>
  </si>
  <si>
    <t>CRCW12064K70FKEA</t>
  </si>
  <si>
    <t>VIS CRCW12064K7</t>
  </si>
  <si>
    <t>https://www.reichelt.de/de/de/shop/produkt/smd-widerstand_1206_4_7_kohm_250_mw_1_-238119</t>
  </si>
  <si>
    <t>I2C-Pull-ups für die beiden I2C-Busse</t>
  </si>
  <si>
    <t>Capacitor</t>
  </si>
  <si>
    <t>100 nF Keramik SMD</t>
  </si>
  <si>
    <t>Kyocera</t>
  </si>
  <si>
    <t>C1206F104K1RACTU</t>
  </si>
  <si>
    <t>KEM X7R1206A100N</t>
  </si>
  <si>
    <t>https://www.reichelt.de/de/de/shop/produkt/vielschicht_kerko_1206_100_nf_10_x7r_100_v_125_c-207151</t>
  </si>
  <si>
    <t>Spannungsfestigkeit,  Dielektrikum und Bauform vor Bestellung gegen Schaltplan und Footprint prüfen</t>
  </si>
  <si>
    <t>10 uF Keramik SMD</t>
  </si>
  <si>
    <t>Kyocera AVX</t>
  </si>
  <si>
    <t>12063C106KAT2A</t>
  </si>
  <si>
    <t>https://www.reichelt.de/de/de/shop/produkt/mlcc_1206_10_f_25_v_-10_x7r-409262</t>
  </si>
  <si>
    <t>47 uF 10V Tantal</t>
  </si>
  <si>
    <t>TAJB476K010RNJ</t>
  </si>
  <si>
    <t>TAJ 3528 47/10</t>
  </si>
  <si>
    <t>https://www.reichelt.de/de/de/shop/produkt/smd-tantal_kondensator_47_f_10_v-167014</t>
  </si>
  <si>
    <t>Polarisiert; Bauform B</t>
  </si>
  <si>
    <t>Voltage Regulator</t>
  </si>
  <si>
    <t>LDO 3.3V SOT-223</t>
  </si>
  <si>
    <t>Texas Instruments</t>
  </si>
  <si>
    <t>LM3940IMP-3.3/NOPB</t>
  </si>
  <si>
    <t> LM 3940 IMP-3</t>
  </si>
  <si>
    <t>https://www.reichelt.de/de/de/shop/produkt/ldo-spannungsregler_fix_3_3_vout_1_a_sot-223-109407?search=LM3940%2520&amp;</t>
  </si>
  <si>
    <t>Footprint und thermische Auslegung vor Bestückung prüfen</t>
  </si>
  <si>
    <t>Development Board</t>
  </si>
  <si>
    <t>ESP32-DevKitC</t>
  </si>
  <si>
    <t xml:space="preserve"> 38 Pin</t>
  </si>
  <si>
    <t>Espressif Systems</t>
  </si>
  <si>
    <t>Exakte Modulvariante und Pinout vor Bestückung prüfen</t>
  </si>
  <si>
    <t>PCB</t>
  </si>
  <si>
    <t>EnvNode Mainboard Rev 0.1</t>
  </si>
  <si>
    <t>JLCPCB</t>
  </si>
  <si>
    <t>Unbestückte Leiterplatte; SMD-Lötjumper sind PCB-Strukturen und keine Kaufteile</t>
  </si>
  <si>
    <t>Board</t>
  </si>
  <si>
    <t>EnvNode</t>
  </si>
  <si>
    <t>Raindetector</t>
  </si>
  <si>
    <t>Sensor</t>
  </si>
  <si>
    <t>Arduino - Temperatur- &amp; Feuchtigkeitssensor, SHTC3</t>
  </si>
  <si>
    <t>DEBO SENS SHTC3</t>
  </si>
  <si>
    <t>VE</t>
  </si>
  <si>
    <t>Quantity Ordered</t>
  </si>
  <si>
    <t>https://www.ebay.de/itm/175537690511?_skw=jst+ph+set&amp;itmmeta=01M0AMR98NFGJV2FS30RR17BQ3&amp;hash=item28dedc978f:g:A3kAAOSw229j0YAt&amp;itmprp=enc%3AAQALAAAA0GfYFPkwiKCW4ZNSs2u11xAqJnJgTdJ%2FIJ1I2fxZKRMDiu6X0YrWY5D3w4DQOc5o%2FaOXGmcjIgTnzr6ZSr5vXhmBWytsd%2BVqmj0wzTE8DG%2BTs8RqbjdKpejAkG5A8BZqR0CHVQRoh5S5YInpcAcul6x8Wctn1VQHQBXPR%2FXsSs9oWck2%2BQ7koAWk9BEZEN9dagXH6v3Mmz5PHheo1V3%2ByPo1rz9Au%2BRLA4rvEIjR474lCC3Jyl3mD3occXmLZjl7i6IY9cBlKcCfkbIa4zkXYnk%3D%7Ctkp%3ABk9SR9aU4dSCaA</t>
  </si>
  <si>
    <t>A/D Wandler</t>
  </si>
  <si>
    <t>Wandler</t>
  </si>
  <si>
    <t>DEBO ADC 16BIT</t>
  </si>
  <si>
    <t>Entwicklerboards - ADC, 4 Kanal, 16-Bit, ADS1115</t>
  </si>
  <si>
    <t>MOSFET, N-Ch 30V 5,7A 0,018R, SOT-23</t>
  </si>
  <si>
    <t>AO3400A</t>
  </si>
  <si>
    <t>PinSocket 1x8, 2,54mm SMD</t>
  </si>
  <si>
    <t>Detector</t>
  </si>
  <si>
    <t>Header</t>
  </si>
  <si>
    <t xml:space="preserve">Widerstand 47Ohm </t>
  </si>
  <si>
    <t>https://www.reichelt.de/de/de/shop/produkt/mosfet_n-ch_30v_5_7a_0_018r_sot-23-166490</t>
  </si>
  <si>
    <t>Alpha&amp;Omega Semiconductor</t>
  </si>
  <si>
    <t>https://www.reichelt.de/de/de/shop/produkt/arduino_-_temperatur-_feuchtigkeitssensor_shtc3-375947</t>
  </si>
  <si>
    <t>Soldered</t>
  </si>
  <si>
    <t>https://www.reichelt.de/de/de/shop/produkt/entwicklerboards_-_adc_4_kanal_16-bit_ads1115-372499?search=ADS1115&amp;#open-modal-image-big-slider</t>
  </si>
  <si>
    <t>SMD-Widerstand, 1206, 10 kOhm, 250 mW, 0,1%</t>
  </si>
  <si>
    <t>https://www.reichelt.de/de/de/shop/produkt/smd-widerstand_1206_10_kohm_250_mw_0_1_-238080</t>
  </si>
  <si>
    <t>PAN ERA8AEB103V</t>
  </si>
  <si>
    <t> PAN ERA8ERA8AEB103VAEB103V</t>
  </si>
  <si>
    <t>Panasonic</t>
  </si>
  <si>
    <t>SMD-Widerstand, 1206, 100 Ohm, 250 mW, 5%</t>
  </si>
  <si>
    <t>YAGEO</t>
  </si>
  <si>
    <t>SMD 1/4W 100</t>
  </si>
  <si>
    <t>RC1206JR-07100RL</t>
  </si>
  <si>
    <t>https://www.reichelt.de/de/de/shop/produkt/smd-widerstand_1206_100_ohm_250_mw_5_-18242</t>
  </si>
  <si>
    <t>Timer-IC</t>
  </si>
  <si>
    <t>Timer-IC, Typ 555, SO-8</t>
  </si>
  <si>
    <t>Renesas</t>
  </si>
  <si>
    <t>ICM 7555 IBAZ</t>
  </si>
  <si>
    <t>ICM7555IBAZ</t>
  </si>
  <si>
    <t>https://www.reichelt.de/de/de/shop/produkt/timer-ic_typ_555_so-8-188889</t>
  </si>
  <si>
    <t>BL 3 8 G</t>
  </si>
  <si>
    <t>https://www.reichelt.de/de/de/shop/produkt/buchsenleiste_1-reihig_1_x_8_-_2_54_mm-407106#open-modal-image-big-slider</t>
  </si>
  <si>
    <t>FIS BL 3 8G</t>
  </si>
  <si>
    <t>Stiftleiste, 8-polig, Raster 2,54mm</t>
  </si>
  <si>
    <t>BKL Electronic</t>
  </si>
  <si>
    <t>BKL 10120505</t>
  </si>
  <si>
    <t>https://www.reichelt.de/de/de/shop/produkt/stiftleiste_8-polig_raster_2_54mm-235656</t>
  </si>
  <si>
    <t>SMD-Widerstand, 1206, 100 kOhm, 250 mW, 0,1%</t>
  </si>
  <si>
    <t> ERA8AEB104V</t>
  </si>
  <si>
    <t>VISPAN ERA8AEB104V CRCW1206100</t>
  </si>
  <si>
    <t>https://www.reichelt.de/de/de/shop/produkt/smd-widerstand_1206_100_kohm_250_mw_0_1_-238081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</si>
</sst>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44" formatCode="_-* #,##0.00\ &quot;€&quot;_-;\-* #,##0.00\ &quot;€&quot;_-;_-* &quot;-&quot;??\ &quot;€&quot;_-;_-@_-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3"/>
      <color rgb="FF58596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6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0" xfId="0" applyFill="1"/>
    <xf numFmtId="44" fontId="0" fillId="0" borderId="0" xfId="1" applyFont="1" applyFill="1"/>
    <xf numFmtId="44" fontId="0" fillId="0" borderId="0" xfId="0" applyNumberFormat="1" applyFill="1"/>
    <xf numFmtId="0" fontId="19" fillId="0" borderId="0" xfId="0" applyFont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</cellXfs>
  <cellStyles count="43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Neutral" xfId="9" builtinId="28" customBuiltin="1"/>
    <cellStyle name="Notiz" xfId="16" builtinId="10" customBuiltin="1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ährung" xfId="1" builtinId="4"/>
    <cellStyle name="Warnender Text" xfId="15" builtinId="11" customBuiltin="1"/>
    <cellStyle name="Zelle überprüfen" xfId="14" builtinId="23" customBuiltin="1"/>
  </cellStyles>
  <dxfs count="4"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0" formatCode="#,##0\ &quot;€&quot;;[Red]\-#,##0\ &quot;€&quot;"/>
    </dxf>
    <dxf>
      <numFmt numFmtId="10" formatCode="#,##0\ &quot;€&quot;;[Red]\-#,##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08C33A7F-931E-3844-8522-09F575F12B8C}" name="Tabelle1" displayName="Tabelle1" ref="A1:P23" totalsRowShown="0">
  <autoFilter ref="A1:P23" xr:uid="{08C33A7F-931E-3844-8522-09F575F12B8C}"/>
  <tableColumns count="16">
    <tableColumn id="1" xr3:uid="{DE451E30-9D22-CD44-8950-489B0DB3CF00}" name="Position+A1:D13"/>
    <tableColumn id="17" xr3:uid="{D2D340B9-BAEF-234E-8FE7-9EC0C1191319}" name="Board" dataDxfId="1"/>
    <tableColumn id="2" xr3:uid="{663285D9-D9B4-504D-92D8-47412D64DE7C}" name="Qty"/>
    <tableColumn id="3" xr3:uid="{3F2A56FC-27F2-DA42-BCF1-D32EDCC81854}" name="References"/>
    <tableColumn id="4" xr3:uid="{A5096E61-3BEC-E545-A3FC-4FE205EF583A}" name="Category"/>
    <tableColumn id="5" xr3:uid="{9007BB15-AB32-CF46-93C5-D4A9D08502E3}" name="Description"/>
    <tableColumn id="6" xr3:uid="{B57BE2B0-B8B1-B94A-9D66-723EADCAF285}" name="Manufacturer"/>
    <tableColumn id="7" xr3:uid="{0AEA7C45-E829-1A4F-B5E3-BCA6E53558A6}" name="MPN" dataDxfId="0"/>
    <tableColumn id="8" xr3:uid="{A502C836-37F8-0D4F-AC63-3B9A5C6AC7E6}" name="Supplier"/>
    <tableColumn id="9" xr3:uid="{BEE0F581-7C3C-CF4D-8605-81D3FAA91169}" name="Supplier_PN"/>
    <tableColumn id="10" xr3:uid="{928DD91B-22D6-0246-9450-FA705A5F3AB5}" name="URL"/>
    <tableColumn id="11" xr3:uid="{AD92798A-9943-A546-A4CE-06CB42266979}" name=" Unit_Price " dataCellStyle="Währung"/>
    <tableColumn id="12" xr3:uid="{8D7F75CD-B994-2849-8E2B-42CD88DD23AB}" name=" Total " dataDxfId="3"/>
    <tableColumn id="13" xr3:uid="{C6376C74-5C60-E543-9B24-2F6F04CCFBFB}" name="Quantity Ordered"/>
    <tableColumn id="14" xr3:uid="{4C9D8E80-7677-C547-ABE2-192B00944580}" name="Notes" dataDxfId="2"/>
    <tableColumn id="15" xr3:uid="{9AF77617-CB30-8341-80A8-3D7BFF95C930}" name="VE"/>
  </tableColumns>
  <tableStyleInfo name="TableStyleLight1" showFirstColumn="0" showLastColumn="0" showRowStripes="1" showColumnStripes="0"/>
</table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hyperlink" Target="https://www.reichelt.de/de/de/shop/produkt/buchsenleiste_1-reihig_1_x_8_-_2_54_mm-407106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7DD83-8DEB-2D43-B6AF-9C9D802E4658}">
  <dimension ref="A1:P23"/>
  <sheetViews>
    <sheetView tabSelected="1" workbookViewId="0">
      <selection activeCell="K16" sqref="K16"/>
    </sheetView>
  </sheetViews>
  <sheetFormatPr baseColWidth="10" defaultRowHeight="16" x14ac:dyDescent="0.2"/>
  <cols>
    <col min="1" max="2" width="16.83203125" customWidth="1"/>
    <col min="4" max="4" width="12.6640625" customWidth="1"/>
    <col min="6" max="6" width="56.5" bestFit="1" customWidth="1"/>
    <col min="7" max="7" width="14.6640625" customWidth="1"/>
    <col min="8" max="8" width="19.33203125" bestFit="1" customWidth="1"/>
    <col min="10" max="10" width="32.1640625" bestFit="1" customWidth="1"/>
    <col min="12" max="12" width="12.5" style="2" customWidth="1"/>
    <col min="14" max="14" width="16.6640625" customWidth="1"/>
    <col min="15" max="15" width="87.33203125" bestFit="1" customWidth="1"/>
  </cols>
  <sheetData>
    <row r="1" spans="1:16" x14ac:dyDescent="0.2">
      <c r="A1" t="s">
        <v>0</v>
      </c>
      <c r="B1" t="s">
        <v>74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2" t="s">
        <v>10</v>
      </c>
      <c r="M1" t="s">
        <v>11</v>
      </c>
      <c r="N1" t="s">
        <v>81</v>
      </c>
      <c r="O1" t="s">
        <v>12</v>
      </c>
      <c r="P1" t="s">
        <v>80</v>
      </c>
    </row>
    <row r="2" spans="1:16" s="4" customFormat="1" x14ac:dyDescent="0.2">
      <c r="A2" s="4">
        <v>1</v>
      </c>
      <c r="B2" s="4" t="s">
        <v>75</v>
      </c>
      <c r="C2" s="4">
        <v>15</v>
      </c>
      <c r="E2" s="4" t="s">
        <v>13</v>
      </c>
      <c r="F2" s="4" t="s">
        <v>14</v>
      </c>
      <c r="G2" s="4" t="s">
        <v>15</v>
      </c>
      <c r="H2" s="9"/>
      <c r="I2" s="4" t="s">
        <v>19</v>
      </c>
      <c r="K2" s="4" t="s">
        <v>82</v>
      </c>
      <c r="L2" s="5">
        <f>4.59/3</f>
        <v>1.53</v>
      </c>
      <c r="M2" s="6">
        <f>Tabelle1[[#This Row],[Qty]]*Tabelle1[[#This Row],[ Unit_Price ]]</f>
        <v>22.95</v>
      </c>
      <c r="N2" s="4">
        <v>12</v>
      </c>
      <c r="O2" s="4" t="s">
        <v>16</v>
      </c>
      <c r="P2" s="4">
        <v>10</v>
      </c>
    </row>
    <row r="3" spans="1:16" s="4" customFormat="1" x14ac:dyDescent="0.2">
      <c r="A3" s="4">
        <v>4</v>
      </c>
      <c r="B3" s="4" t="s">
        <v>75</v>
      </c>
      <c r="C3" s="4">
        <v>6</v>
      </c>
      <c r="E3" s="4" t="s">
        <v>17</v>
      </c>
      <c r="F3" s="4" t="s">
        <v>18</v>
      </c>
      <c r="G3" s="4" t="s">
        <v>15</v>
      </c>
      <c r="H3" s="9"/>
      <c r="I3" s="4" t="s">
        <v>19</v>
      </c>
      <c r="K3" s="4" t="s">
        <v>20</v>
      </c>
      <c r="L3" s="5">
        <v>0.66900000000000004</v>
      </c>
      <c r="M3" s="6">
        <f>Tabelle1[[#This Row],[Qty]]*Tabelle1[[#This Row],[ Unit_Price ]]</f>
        <v>4.0140000000000002</v>
      </c>
      <c r="N3" s="4">
        <v>20</v>
      </c>
      <c r="O3" s="4" t="s">
        <v>21</v>
      </c>
      <c r="P3" s="4">
        <v>10</v>
      </c>
    </row>
    <row r="4" spans="1:16" s="4" customFormat="1" x14ac:dyDescent="0.2">
      <c r="A4" s="4">
        <v>5</v>
      </c>
      <c r="B4" s="4" t="s">
        <v>75</v>
      </c>
      <c r="C4" s="4">
        <v>2</v>
      </c>
      <c r="E4" s="4" t="s">
        <v>22</v>
      </c>
      <c r="F4" s="4" t="s">
        <v>23</v>
      </c>
      <c r="G4" s="4" t="s">
        <v>24</v>
      </c>
      <c r="H4" s="9">
        <v>10120946</v>
      </c>
      <c r="I4" s="4" t="s">
        <v>25</v>
      </c>
      <c r="J4" s="4" t="s">
        <v>26</v>
      </c>
      <c r="K4" s="4" t="s">
        <v>27</v>
      </c>
      <c r="L4" s="5">
        <v>0.81</v>
      </c>
      <c r="M4" s="6">
        <f>Tabelle1[[#This Row],[Qty]]*Tabelle1[[#This Row],[ Unit_Price ]]</f>
        <v>1.62</v>
      </c>
      <c r="N4" s="4">
        <v>10</v>
      </c>
      <c r="O4" s="4" t="s">
        <v>28</v>
      </c>
      <c r="P4" s="4">
        <v>0</v>
      </c>
    </row>
    <row r="5" spans="1:16" s="4" customFormat="1" x14ac:dyDescent="0.2">
      <c r="A5" s="4">
        <v>6</v>
      </c>
      <c r="B5" s="4" t="s">
        <v>75</v>
      </c>
      <c r="C5" s="4">
        <v>2</v>
      </c>
      <c r="E5" s="4" t="s">
        <v>22</v>
      </c>
      <c r="F5" s="4" t="s">
        <v>29</v>
      </c>
      <c r="G5" s="4" t="s">
        <v>24</v>
      </c>
      <c r="H5" s="9" t="s">
        <v>30</v>
      </c>
      <c r="I5" s="4" t="s">
        <v>25</v>
      </c>
      <c r="J5" s="4" t="s">
        <v>31</v>
      </c>
      <c r="K5" s="4" t="s">
        <v>32</v>
      </c>
      <c r="L5" s="5">
        <v>2.5499999999999998</v>
      </c>
      <c r="M5" s="6">
        <f>Tabelle1[[#This Row],[Qty]]*Tabelle1[[#This Row],[ Unit_Price ]]</f>
        <v>5.0999999999999996</v>
      </c>
      <c r="N5" s="4">
        <v>5</v>
      </c>
      <c r="O5" s="4" t="s">
        <v>33</v>
      </c>
    </row>
    <row r="6" spans="1:16" s="4" customFormat="1" x14ac:dyDescent="0.2">
      <c r="A6" s="4">
        <v>7</v>
      </c>
      <c r="B6" s="4" t="s">
        <v>75</v>
      </c>
      <c r="C6" s="4">
        <v>4</v>
      </c>
      <c r="D6" s="4" t="s">
        <v>34</v>
      </c>
      <c r="E6" s="4" t="s">
        <v>35</v>
      </c>
      <c r="F6" s="4" t="s">
        <v>36</v>
      </c>
      <c r="G6" s="4" t="s">
        <v>37</v>
      </c>
      <c r="H6" s="9" t="s">
        <v>38</v>
      </c>
      <c r="I6" s="4" t="s">
        <v>25</v>
      </c>
      <c r="J6" s="4" t="s">
        <v>39</v>
      </c>
      <c r="K6" s="4" t="s">
        <v>40</v>
      </c>
      <c r="L6" s="5">
        <v>0.15</v>
      </c>
      <c r="M6" s="6">
        <f>Tabelle1[[#This Row],[Qty]]*Tabelle1[[#This Row],[ Unit_Price ]]</f>
        <v>0.6</v>
      </c>
      <c r="N6" s="4">
        <v>12</v>
      </c>
      <c r="O6" s="4" t="s">
        <v>41</v>
      </c>
      <c r="P6" s="4">
        <v>0</v>
      </c>
    </row>
    <row r="7" spans="1:16" s="4" customFormat="1" x14ac:dyDescent="0.2">
      <c r="A7" s="4">
        <v>8</v>
      </c>
      <c r="B7" s="4" t="s">
        <v>75</v>
      </c>
      <c r="C7" s="4">
        <v>2</v>
      </c>
      <c r="E7" s="4" t="s">
        <v>42</v>
      </c>
      <c r="F7" s="4" t="s">
        <v>43</v>
      </c>
      <c r="G7" s="4" t="s">
        <v>44</v>
      </c>
      <c r="H7" s="9" t="s">
        <v>45</v>
      </c>
      <c r="I7" s="4" t="s">
        <v>25</v>
      </c>
      <c r="J7" s="4" t="s">
        <v>46</v>
      </c>
      <c r="K7" s="4" t="s">
        <v>47</v>
      </c>
      <c r="L7" s="5">
        <v>0.24</v>
      </c>
      <c r="M7" s="6">
        <f>Tabelle1[[#This Row],[Qty]]*Tabelle1[[#This Row],[ Unit_Price ]]</f>
        <v>0.48</v>
      </c>
      <c r="N7" s="4">
        <v>10</v>
      </c>
      <c r="O7" s="4" t="s">
        <v>48</v>
      </c>
      <c r="P7" s="4">
        <v>10</v>
      </c>
    </row>
    <row r="8" spans="1:16" s="4" customFormat="1" x14ac:dyDescent="0.2">
      <c r="A8" s="4">
        <v>9</v>
      </c>
      <c r="B8" s="4" t="s">
        <v>75</v>
      </c>
      <c r="C8" s="4">
        <v>1</v>
      </c>
      <c r="E8" s="4" t="s">
        <v>42</v>
      </c>
      <c r="F8" s="4" t="s">
        <v>49</v>
      </c>
      <c r="G8" s="4" t="s">
        <v>50</v>
      </c>
      <c r="H8" s="9" t="s">
        <v>51</v>
      </c>
      <c r="I8" s="4" t="s">
        <v>25</v>
      </c>
      <c r="J8" s="4" t="s">
        <v>51</v>
      </c>
      <c r="K8" s="4" t="s">
        <v>52</v>
      </c>
      <c r="L8" s="5">
        <v>0.11</v>
      </c>
      <c r="M8" s="6">
        <f>Tabelle1[[#This Row],[Qty]]*Tabelle1[[#This Row],[ Unit_Price ]]</f>
        <v>0.11</v>
      </c>
      <c r="N8" s="4">
        <v>10</v>
      </c>
      <c r="O8" s="4" t="s">
        <v>48</v>
      </c>
      <c r="P8" s="4">
        <v>10</v>
      </c>
    </row>
    <row r="9" spans="1:16" s="4" customFormat="1" x14ac:dyDescent="0.2">
      <c r="A9" s="4">
        <v>10</v>
      </c>
      <c r="B9" s="4" t="s">
        <v>75</v>
      </c>
      <c r="C9" s="4">
        <v>1</v>
      </c>
      <c r="E9" s="4" t="s">
        <v>42</v>
      </c>
      <c r="F9" s="4" t="s">
        <v>53</v>
      </c>
      <c r="G9" s="4" t="s">
        <v>50</v>
      </c>
      <c r="H9" s="9" t="s">
        <v>54</v>
      </c>
      <c r="I9" s="4" t="s">
        <v>25</v>
      </c>
      <c r="J9" s="4" t="s">
        <v>55</v>
      </c>
      <c r="K9" s="4" t="s">
        <v>56</v>
      </c>
      <c r="L9" s="5">
        <v>0.28999999999999998</v>
      </c>
      <c r="M9" s="6">
        <f>Tabelle1[[#This Row],[Qty]]*Tabelle1[[#This Row],[ Unit_Price ]]</f>
        <v>0.28999999999999998</v>
      </c>
      <c r="N9" s="4">
        <v>3</v>
      </c>
      <c r="O9" s="4" t="s">
        <v>57</v>
      </c>
      <c r="P9" s="4">
        <v>0</v>
      </c>
    </row>
    <row r="10" spans="1:16" x14ac:dyDescent="0.2">
      <c r="A10">
        <v>11</v>
      </c>
      <c r="B10" s="4" t="s">
        <v>75</v>
      </c>
      <c r="C10">
        <v>1</v>
      </c>
      <c r="E10" t="s">
        <v>58</v>
      </c>
      <c r="F10" t="s">
        <v>59</v>
      </c>
      <c r="G10" t="s">
        <v>60</v>
      </c>
      <c r="H10" s="8" t="s">
        <v>61</v>
      </c>
      <c r="I10" t="s">
        <v>25</v>
      </c>
      <c r="J10" t="s">
        <v>62</v>
      </c>
      <c r="K10" t="s">
        <v>63</v>
      </c>
      <c r="L10" s="2">
        <v>1</v>
      </c>
      <c r="M10" s="3">
        <f>Tabelle1[[#This Row],[Qty]]*Tabelle1[[#This Row],[ Unit_Price ]]</f>
        <v>1</v>
      </c>
      <c r="N10">
        <v>1</v>
      </c>
      <c r="O10" t="s">
        <v>64</v>
      </c>
      <c r="P10">
        <v>3</v>
      </c>
    </row>
    <row r="11" spans="1:16" x14ac:dyDescent="0.2">
      <c r="A11">
        <v>12</v>
      </c>
      <c r="B11" s="4" t="s">
        <v>75</v>
      </c>
      <c r="C11">
        <v>1</v>
      </c>
      <c r="E11" t="s">
        <v>65</v>
      </c>
      <c r="F11" t="s">
        <v>66</v>
      </c>
      <c r="G11" t="s">
        <v>67</v>
      </c>
      <c r="H11" s="8" t="s">
        <v>68</v>
      </c>
      <c r="L11" s="2">
        <v>5</v>
      </c>
      <c r="M11" s="3">
        <f>Tabelle1[[#This Row],[Qty]]*Tabelle1[[#This Row],[ Unit_Price ]]</f>
        <v>5</v>
      </c>
      <c r="N11">
        <v>5</v>
      </c>
      <c r="O11" t="s">
        <v>69</v>
      </c>
      <c r="P11">
        <v>3</v>
      </c>
    </row>
    <row r="12" spans="1:16" x14ac:dyDescent="0.2">
      <c r="A12">
        <v>13</v>
      </c>
      <c r="B12" s="4" t="s">
        <v>75</v>
      </c>
      <c r="C12">
        <v>1</v>
      </c>
      <c r="E12" t="s">
        <v>70</v>
      </c>
      <c r="F12" t="s">
        <v>71</v>
      </c>
      <c r="G12" t="s">
        <v>72</v>
      </c>
      <c r="H12" s="8"/>
      <c r="I12" t="s">
        <v>72</v>
      </c>
      <c r="M12" s="3">
        <f>Tabelle1[[#This Row],[Qty]]*Tabelle1[[#This Row],[ Unit_Price ]]</f>
        <v>0</v>
      </c>
      <c r="O12" t="s">
        <v>73</v>
      </c>
    </row>
    <row r="13" spans="1:16" x14ac:dyDescent="0.2">
      <c r="A13">
        <v>14</v>
      </c>
      <c r="B13" s="4" t="s">
        <v>76</v>
      </c>
      <c r="C13">
        <v>1</v>
      </c>
      <c r="E13" s="4" t="s">
        <v>88</v>
      </c>
      <c r="F13" s="4" t="s">
        <v>87</v>
      </c>
      <c r="G13" s="4" t="s">
        <v>94</v>
      </c>
      <c r="H13" s="8" t="s">
        <v>88</v>
      </c>
      <c r="I13" t="s">
        <v>25</v>
      </c>
      <c r="J13" t="s">
        <v>88</v>
      </c>
      <c r="K13" t="s">
        <v>93</v>
      </c>
      <c r="L13" s="2">
        <v>0.18</v>
      </c>
      <c r="M13" s="3">
        <f>Tabelle1[[#This Row],[Qty]]*Tabelle1[[#This Row],[ Unit_Price ]]</f>
        <v>0.18</v>
      </c>
      <c r="N13">
        <v>5</v>
      </c>
      <c r="O13" s="1"/>
    </row>
    <row r="14" spans="1:16" x14ac:dyDescent="0.2">
      <c r="A14">
        <v>16</v>
      </c>
      <c r="B14" s="4" t="s">
        <v>77</v>
      </c>
      <c r="C14">
        <v>1</v>
      </c>
      <c r="E14" t="s">
        <v>77</v>
      </c>
      <c r="F14" t="s">
        <v>78</v>
      </c>
      <c r="G14" t="s">
        <v>96</v>
      </c>
      <c r="H14" s="8">
        <v>333032</v>
      </c>
      <c r="I14" t="s">
        <v>25</v>
      </c>
      <c r="J14" t="s">
        <v>79</v>
      </c>
      <c r="K14" t="s">
        <v>95</v>
      </c>
      <c r="L14" s="2">
        <v>5.3</v>
      </c>
      <c r="M14" s="3">
        <f>Tabelle1[[#This Row],[Qty]]*Tabelle1[[#This Row],[ Unit_Price ]]</f>
        <v>5.3</v>
      </c>
      <c r="N14">
        <v>1</v>
      </c>
      <c r="O14" s="1"/>
    </row>
    <row r="15" spans="1:16" x14ac:dyDescent="0.2">
      <c r="A15">
        <v>17</v>
      </c>
      <c r="B15" s="4" t="s">
        <v>83</v>
      </c>
      <c r="C15">
        <v>1</v>
      </c>
      <c r="E15" t="s">
        <v>84</v>
      </c>
      <c r="F15" t="s">
        <v>86</v>
      </c>
      <c r="G15" t="s">
        <v>96</v>
      </c>
      <c r="H15" s="8">
        <v>333095</v>
      </c>
      <c r="I15" t="s">
        <v>25</v>
      </c>
      <c r="J15" t="s">
        <v>85</v>
      </c>
      <c r="K15" t="s">
        <v>97</v>
      </c>
      <c r="L15" s="2">
        <v>8.85</v>
      </c>
      <c r="M15" s="3">
        <f>Tabelle1[[#This Row],[Qty]]*Tabelle1[[#This Row],[ Unit_Price ]]</f>
        <v>8.85</v>
      </c>
      <c r="N15">
        <v>1</v>
      </c>
      <c r="O15" s="1"/>
    </row>
    <row r="16" spans="1:16" x14ac:dyDescent="0.2">
      <c r="A16">
        <v>18</v>
      </c>
      <c r="B16" s="4" t="s">
        <v>76</v>
      </c>
      <c r="C16">
        <v>2</v>
      </c>
      <c r="E16" t="s">
        <v>35</v>
      </c>
      <c r="F16" t="s">
        <v>121</v>
      </c>
      <c r="G16" t="s">
        <v>102</v>
      </c>
      <c r="H16" s="8" t="s">
        <v>122</v>
      </c>
      <c r="I16" t="s">
        <v>25</v>
      </c>
      <c r="J16" t="s">
        <v>123</v>
      </c>
      <c r="K16" t="s">
        <v>124</v>
      </c>
      <c r="L16" s="2">
        <v>0.83</v>
      </c>
      <c r="M16" s="3">
        <f>Tabelle1[[#This Row],[Qty]]*Tabelle1[[#This Row],[ Unit_Price ]]</f>
        <v>1.66</v>
      </c>
      <c r="N16">
        <v>10</v>
      </c>
      <c r="O16" s="1"/>
    </row>
    <row r="17" spans="1:15" x14ac:dyDescent="0.2">
      <c r="A17">
        <v>19</v>
      </c>
      <c r="B17" s="4" t="s">
        <v>76</v>
      </c>
      <c r="C17">
        <v>1</v>
      </c>
      <c r="E17" t="s">
        <v>35</v>
      </c>
      <c r="F17" t="s">
        <v>103</v>
      </c>
      <c r="G17" t="s">
        <v>104</v>
      </c>
      <c r="H17" s="8" t="s">
        <v>106</v>
      </c>
      <c r="I17" t="s">
        <v>25</v>
      </c>
      <c r="J17" t="s">
        <v>105</v>
      </c>
      <c r="K17" t="s">
        <v>107</v>
      </c>
      <c r="L17" s="2">
        <v>0.06</v>
      </c>
      <c r="M17" s="3">
        <f>Tabelle1[[#This Row],[Qty]]*Tabelle1[[#This Row],[ Unit_Price ]]</f>
        <v>0.06</v>
      </c>
      <c r="N17">
        <v>50</v>
      </c>
      <c r="O17" s="1"/>
    </row>
    <row r="18" spans="1:15" x14ac:dyDescent="0.2">
      <c r="A18">
        <v>20</v>
      </c>
      <c r="B18" s="4" t="s">
        <v>76</v>
      </c>
      <c r="C18">
        <v>1</v>
      </c>
      <c r="E18" t="s">
        <v>35</v>
      </c>
      <c r="F18" t="s">
        <v>98</v>
      </c>
      <c r="G18" t="s">
        <v>102</v>
      </c>
      <c r="H18" s="8" t="s">
        <v>101</v>
      </c>
      <c r="I18" t="s">
        <v>25</v>
      </c>
      <c r="J18" t="s">
        <v>100</v>
      </c>
      <c r="K18" t="s">
        <v>99</v>
      </c>
      <c r="L18" s="2">
        <v>0.75</v>
      </c>
      <c r="M18" s="3">
        <f>Tabelle1[[#This Row],[Qty]]*Tabelle1[[#This Row],[ Unit_Price ]]</f>
        <v>0.75</v>
      </c>
      <c r="O18" s="1"/>
    </row>
    <row r="19" spans="1:15" x14ac:dyDescent="0.2">
      <c r="A19">
        <v>21</v>
      </c>
      <c r="B19" s="4" t="s">
        <v>76</v>
      </c>
      <c r="C19">
        <v>1</v>
      </c>
      <c r="E19" t="s">
        <v>42</v>
      </c>
      <c r="F19" s="4" t="s">
        <v>43</v>
      </c>
      <c r="G19" s="4" t="s">
        <v>44</v>
      </c>
      <c r="H19" s="9" t="s">
        <v>45</v>
      </c>
      <c r="I19" s="4" t="s">
        <v>25</v>
      </c>
      <c r="J19" s="4" t="s">
        <v>46</v>
      </c>
      <c r="K19" s="4" t="s">
        <v>47</v>
      </c>
      <c r="L19" s="5">
        <v>0.24</v>
      </c>
      <c r="M19" s="6">
        <f>Tabelle1[[#This Row],[Qty]]*Tabelle1[[#This Row],[ Unit_Price ]]</f>
        <v>0.24</v>
      </c>
      <c r="N19" s="4"/>
      <c r="O19" s="4" t="s">
        <v>48</v>
      </c>
    </row>
    <row r="20" spans="1:15" ht="17" x14ac:dyDescent="0.2">
      <c r="A20">
        <v>22</v>
      </c>
      <c r="B20" s="4" t="s">
        <v>76</v>
      </c>
      <c r="C20">
        <v>2</v>
      </c>
      <c r="E20" t="s">
        <v>91</v>
      </c>
      <c r="F20" t="s">
        <v>117</v>
      </c>
      <c r="G20" t="s">
        <v>118</v>
      </c>
      <c r="H20" s="7">
        <v>10120505</v>
      </c>
      <c r="I20" t="s">
        <v>25</v>
      </c>
      <c r="J20" t="s">
        <v>119</v>
      </c>
      <c r="K20" t="s">
        <v>120</v>
      </c>
      <c r="L20" s="2">
        <v>0.31</v>
      </c>
      <c r="M20" s="3">
        <f>Tabelle1[[#This Row],[Qty]]*Tabelle1[[#This Row],[ Unit_Price ]]</f>
        <v>0.62</v>
      </c>
      <c r="N20">
        <v>20</v>
      </c>
      <c r="O20" s="1"/>
    </row>
    <row r="21" spans="1:15" x14ac:dyDescent="0.2">
      <c r="A21">
        <v>23</v>
      </c>
      <c r="B21" s="4" t="s">
        <v>76</v>
      </c>
      <c r="C21">
        <v>1</v>
      </c>
      <c r="E21" t="s">
        <v>108</v>
      </c>
      <c r="F21" t="s">
        <v>109</v>
      </c>
      <c r="G21" t="s">
        <v>110</v>
      </c>
      <c r="H21" s="8" t="s">
        <v>112</v>
      </c>
      <c r="I21" t="s">
        <v>25</v>
      </c>
      <c r="J21" t="s">
        <v>111</v>
      </c>
      <c r="K21" t="s">
        <v>113</v>
      </c>
      <c r="L21" s="2">
        <v>1.1000000000000001</v>
      </c>
      <c r="M21" s="3">
        <f>Tabelle1[[#This Row],[Qty]]*Tabelle1[[#This Row],[ Unit_Price ]]</f>
        <v>1.1000000000000001</v>
      </c>
      <c r="O21" s="1"/>
    </row>
    <row r="22" spans="1:15" x14ac:dyDescent="0.2">
      <c r="A22">
        <v>24</v>
      </c>
      <c r="B22" s="4" t="s">
        <v>90</v>
      </c>
      <c r="C22">
        <v>2</v>
      </c>
      <c r="E22" t="s">
        <v>22</v>
      </c>
      <c r="F22" t="s">
        <v>89</v>
      </c>
      <c r="G22" t="s">
        <v>24</v>
      </c>
      <c r="H22" s="8" t="s">
        <v>114</v>
      </c>
      <c r="I22" t="s">
        <v>25</v>
      </c>
      <c r="J22" t="s">
        <v>116</v>
      </c>
      <c r="K22" t="s">
        <v>115</v>
      </c>
      <c r="L22" s="2">
        <v>1.7</v>
      </c>
      <c r="M22" s="3">
        <f>Tabelle1[[#This Row],[Qty]]*Tabelle1[[#This Row],[ Unit_Price ]]</f>
        <v>3.4</v>
      </c>
      <c r="N22">
        <v>2</v>
      </c>
      <c r="O22" s="1"/>
    </row>
    <row r="23" spans="1:15" x14ac:dyDescent="0.2">
      <c r="A23">
        <v>25</v>
      </c>
      <c r="B23" s="4" t="s">
        <v>90</v>
      </c>
      <c r="C23">
        <v>12</v>
      </c>
      <c r="E23" t="s">
        <v>35</v>
      </c>
      <c r="F23" t="s">
        <v>92</v>
      </c>
      <c r="H23" s="8"/>
      <c r="M23" s="3">
        <f>Tabelle1[[#This Row],[Qty]]*Tabelle1[[#This Row],[ Unit_Price ]]</f>
        <v>0</v>
      </c>
      <c r="N23">
        <v>12</v>
      </c>
      <c r="O23" s="1"/>
    </row>
  </sheetData>
  <phoneticPr fontId="18" type="noConversion"/>
  <hyperlinks>
    <hyperlink ref="K22" r:id="rId1" location="open-modal-image-big-slider" xr:uid="{55EF9935-EEF8-7246-8701-F9DFC3DEFC41}"/>
  </hyperlinks>
  <pageMargins left="0.78740157499999996" right="0.78740157499999996" top="0.984251969" bottom="0.984251969" header="0.4921259845" footer="0.4921259845"/>
  <tableParts count="1">
    <tablePart r:id="rId2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BOM_Mainboard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Lutz Thielemann</dc:creator>
  <cp:lastModifiedBy>Lutz Thielemann</cp:lastModifiedBy>
  <dcterms:created xsi:type="dcterms:W3CDTF">2026-08-18T16:30:18Z</dcterms:created>
  <dcterms:modified xsi:type="dcterms:W3CDTF">2026-08-18T16:30:18Z</dcterms:modified>
</cp:coreProperties>
</file>