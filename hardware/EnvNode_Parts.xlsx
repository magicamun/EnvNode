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da8abfd72b498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arts" sheetId="1" r:id="Rbf849266100f4c03"/>
    <x:sheet xmlns:r="http://schemas.openxmlformats.org/officeDocument/2006/relationships" name="Kits" sheetId="2" r:id="R949ed47b5b5d4eae"/>
    <x:sheet xmlns:r="http://schemas.openxmlformats.org/officeDocument/2006/relationships" name="Kit_BOM" sheetId="3" r:id="Rf763c335473440fc"/>
    <x:sheet xmlns:r="http://schemas.openxmlformats.org/officeDocument/2006/relationships" name="Order_List" sheetId="4" r:id="R145c1283815149bf"/>
    <x:sheet xmlns:r="http://schemas.openxmlformats.org/officeDocument/2006/relationships" name="Stock" sheetId="5" r:id="Re62357e491044587"/>
    <x:sheet xmlns:r="http://schemas.openxmlformats.org/officeDocument/2006/relationships" name="Etiketten_Druck" sheetId="6" r:id="R52dfcff1f695459b"/>
    <x:sheet xmlns:r="http://schemas.openxmlformats.org/officeDocument/2006/relationships" name="Part_Suppliers" sheetId="7" r:id="R46e657600e914500"/>
    <x:sheet xmlns:r="http://schemas.openxmlformats.org/officeDocument/2006/relationships" name="Suppliers" sheetId="8" r:id="R2ca0b87453d44a1f"/>
  </x:sheets>
</x:workbook>
</file>

<file path=xl/sharedStrings.xml><?xml version="1.0" encoding="utf-8"?>
<x:sst xmlns:x="http://schemas.openxmlformats.org/spreadsheetml/2006/main">
  <x:si>
    <x:t xml:space="preserve">Part_ID</x:t>
  </x:si>
  <x:si>
    <x:t xml:space="preserve">Category</x:t>
  </x:si>
  <x:si>
    <x:t xml:space="preserve">Description</x:t>
  </x:si>
  <x:si>
    <x:t xml:space="preserve">Value_Rating</x:t>
  </x:si>
  <x:si>
    <x:t xml:space="preserve">Package_Footprint</x:t>
  </x:si>
  <x:si>
    <x:t xml:space="preserve">Manufacturer</x:t>
  </x:si>
  <x:si>
    <x:t xml:space="preserve">MPN</x:t>
  </x:si>
  <x:si>
    <x:t xml:space="preserve">Found_In</x:t>
  </x:si>
  <x:si>
    <x:t xml:space="preserve">KiCad_References</x:t>
  </x:si>
  <x:si>
    <x:t xml:space="preserve">Source</x:t>
  </x:si>
  <x:si>
    <x:t xml:space="preserve">Review_Status</x:t>
  </x:si>
  <x:si>
    <x:t xml:space="preserve">Notes</x:t>
  </x:si>
  <x:si>
    <x:t xml:space="preserve">Duplicate_Check_Key</x:t>
  </x:si>
  <x:si>
    <x:t xml:space="preserve">ENP-00001</x:t>
  </x:si>
  <x:si>
    <x:t xml:space="preserve">Kabelsatz</x:t>
  </x:si>
  <x:si>
    <x:t xml:space="preserve">Set, SET JST-PH 4-polig 2.00mm vertikaler PCB-Stecker, Buchse THT</x:t>
  </x:si>
  <x:si>
    <x:t xml:space="preserve">JST-PH, 4-polig, Set</x:t>
  </x:si>
  <x:si>
    <x:t xml:space="preserve">JST</x:t>
  </x:si>
  <x:si>
    <x:t xml:space="preserve">EnvNode</x:t>
  </x:si>
  <x:si>
    <x:t xml:space="preserve">GPIO's</x:t>
  </x:si>
  <x:si>
    <x:t xml:space="preserve">BOM_Mainboard.xlsx</x:t>
  </x:si>
  <x:si>
    <x:t xml:space="preserve">OK</x:t>
  </x:si>
  <x:si>
    <x:t xml:space="preserve">GPIO-Anschlüsse; exakte Herstellerartikelnummer vor Bestellung gegen Footprint und Orientierung prüfen Set-Inhalt gegenüber dem separat aus KiCad abgeleiteten PCB-Header prüfen.</x:t>
  </x:si>
  <x:si>
    <x:t xml:space="preserve">SET, SET JST-PH 4-POLIG 2.00MM VERTIKALER PCB-STECKER, BUCHSE THT|</x:t>
  </x:si>
  <x:si>
    <x:t xml:space="preserve">ENP-00002</x:t>
  </x:si>
  <x:si>
    <x:t xml:space="preserve">Qwiic/JST-SH, 4-poliges Pigtail JST</x:t>
  </x:si>
  <x:si>
    <x:t xml:space="preserve">JST-SH/Qwiic, 4-polig</x:t>
  </x:si>
  <x:si>
    <x:t xml:space="preserve">I2CA0 1-3 I2C1 1-3</x:t>
  </x:si>
  <x:si>
    <x:t xml:space="preserve">Qwiic-Konvention: GND=schwarz, 3V3=rot, SDA=blau, SCL=gelb; Kabelbelegung vor Anschluss prüfen Pigtail ist ein Beschaffungsartikel und nicht der PCB-Steckverbinder.</x:t>
  </x:si>
  <x:si>
    <x:t xml:space="preserve">QWIIC/JST-SH, 4-POLIGES PIGTAIL JST|</x:t>
  </x:si>
  <x:si>
    <x:t xml:space="preserve">ENP-00003</x:t>
  </x:si>
  <x:si>
    <x:t xml:space="preserve">Steckverbinder</x:t>
  </x:si>
  <x:si>
    <x:t xml:space="preserve">PinSocket 1x4, 2.54 mm</x:t>
  </x:si>
  <x:si>
    <x:t xml:space="preserve">1x4, 2,54 mm</x:t>
  </x:si>
  <x:si>
    <x:t xml:space="preserve">PinSocket_1x04_P2.54mm_Vertical</x:t>
  </x:si>
  <x:si>
    <x:t xml:space="preserve">fischer Elektronik</x:t>
  </x:si>
  <x:si>
    <x:t xml:space="preserve">EnvNode; RainDetector</x:t>
  </x:si>
  <x:si>
    <x:t xml:space="preserve">EnvNode I2C0_4,I2C1_4; RainDetector J3,J4</x:t>
  </x:si>
  <x:si>
    <x:t xml:space="preserve">Für interne Qwiic-Breakouts; Bauhöhe und Ausführung passend zur Mechanik wählen</x:t>
  </x:si>
  <x:si>
    <x:t xml:space="preserve">10120946</x:t>
  </x:si>
  <x:si>
    <x:t xml:space="preserve">ENP-00004</x:t>
  </x:si>
  <x:si>
    <x:t xml:space="preserve">PinSocket 1x20, 2.54mm, cut to 19 Pins</x:t>
  </x:si>
  <x:si>
    <x:t xml:space="preserve">1x20, 2,54 mm, trennbar</x:t>
  </x:si>
  <x:si>
    <x:t xml:space="preserve">BL1.20 G</x:t>
  </x:si>
  <x:si>
    <x:t xml:space="preserve">ESP32</x:t>
  </x:si>
  <x:si>
    <x:t xml:space="preserve">Für ESP32-DevKitC mit 38 Pins; alternativ eine geeignete 38-Pin-ESP32-Fassung verwenden</x:t>
  </x:si>
  <x:si>
    <x:t xml:space="preserve">ENP-00005</x:t>
  </x:si>
  <x:si>
    <x:t xml:space="preserve">Widerstand</x:t>
  </x:si>
  <x:si>
    <x:t xml:space="preserve">4.7 kOhm 1% SMD 1206</x:t>
  </x:si>
  <x:si>
    <x:t xml:space="preserve">4,7 kΩ, 1 %, 250 mW</x:t>
  </x:si>
  <x:si>
    <x:t xml:space="preserve">Resistor_SMD:R_1206_3216Metric_Pad1.30x1.75mm_HandSolder</x:t>
  </x:si>
  <x:si>
    <x:t xml:space="preserve">Vishay</x:t>
  </x:si>
  <x:si>
    <x:t xml:space="preserve">CRCW12064K70FKEA</x:t>
  </x:si>
  <x:si>
    <x:t xml:space="preserve">EnvNode; EnvNodeMini Rev 0.2; AnalogInput Rev 0.1; AnalogHydroPressure</x:t>
  </x:si>
  <x:si>
    <x:t xml:space="preserve">EnvNode R1-R4; EnvNodeMini Rev 0.2 R1-R4; AnalogInput Rev 0.1 R2; AnalogHydroPressure R2</x:t>
  </x:si>
  <x:si>
    <x:t xml:space="preserve">I2C-Pull-ups für die beiden I2C-Busse</x:t>
  </x:si>
  <x:si>
    <x:t xml:space="preserve">ENP-00006</x:t>
  </x:si>
  <x:si>
    <x:t xml:space="preserve">Kondensator</x:t>
  </x:si>
  <x:si>
    <x:t xml:space="preserve">100 nF Keramik SMD</x:t>
  </x:si>
  <x:si>
    <x:t xml:space="preserve">100 nF, 10 %, X7R, 100 V</x:t>
  </x:si>
  <x:si>
    <x:t xml:space="preserve">Capacitor_SMD:C_1206_3216Metric_Pad1.33x1.80mm_HandSolder</x:t>
  </x:si>
  <x:si>
    <x:t xml:space="preserve">Kyocera</x:t>
  </x:si>
  <x:si>
    <x:t xml:space="preserve">C1206F104K1RACTU</x:t>
  </x:si>
  <x:si>
    <x:t xml:space="preserve">EnvNode; EnvNodeMini Rev 0.2; AnalogHydroPressure; RainDetector; SolarRadiation; Empty FullSize/HalfSize SMD/THT; DuoRelay Rev 0.2</x:t>
  </x:si>
  <x:si>
    <x:t xml:space="preserve">EnvNode C3,C4; EnvNodeMini Rev 0.2 C1,C4,C5; AnalogHydroPressure C1,C3,C8; RainDetector C1; SolarRadiation C1; Empty-Boards C1; DuoRelay Rev 0.2 C1</x:t>
  </x:si>
  <x:si>
    <x:t xml:space="preserve">Spannungsfestigkeit, Dielektrikum und Bauform vor Bestellung gegen Schaltplan und Footprint prüfen; C1 ist in allen vier aktuellen Empty-Schemata derzeit DNP; C1 ist im aktuellen DuoRelay-Schema derzeit DNP</x:t>
  </x:si>
  <x:si>
    <x:t xml:space="preserve">ENP-00007</x:t>
  </x:si>
  <x:si>
    <x:t xml:space="preserve">10 uF Keramik SMD</x:t>
  </x:si>
  <x:si>
    <x:t xml:space="preserve">10 µF, 25 V, X7R</x:t>
  </x:si>
  <x:si>
    <x:t xml:space="preserve">Kyocera AVX</x:t>
  </x:si>
  <x:si>
    <x:t xml:space="preserve">12063C106KAT2A</x:t>
  </x:si>
  <x:si>
    <x:t xml:space="preserve">EnvNode; EnvNodeMini Rev 0.2</x:t>
  </x:si>
  <x:si>
    <x:t xml:space="preserve">EnvNode C1; EnvNodeMini Rev 0.2 C2</x:t>
  </x:si>
  <x:si>
    <x:t xml:space="preserve">Spannungsfestigkeit, Dielektrikum und Bauform vor Bestellung gegen Schaltplan und Footprint prüfen</x:t>
  </x:si>
  <x:si>
    <x:t xml:space="preserve">ENP-00008</x:t>
  </x:si>
  <x:si>
    <x:t xml:space="preserve">47 uF 10V Tantal</x:t>
  </x:si>
  <x:si>
    <x:t xml:space="preserve">47 µF, 10 V</x:t>
  </x:si>
  <x:si>
    <x:t xml:space="preserve">Capacitor_Tantalum_SMD:CP_EIA-3528-21_Kemet-B</x:t>
  </x:si>
  <x:si>
    <x:t xml:space="preserve">TAJB476K010RNJ</x:t>
  </x:si>
  <x:si>
    <x:t xml:space="preserve">EnvNode C2; EnvNodeMini Rev 0.2 C3</x:t>
  </x:si>
  <x:si>
    <x:t xml:space="preserve">Polarisiert; Bauform B</x:t>
  </x:si>
  <x:si>
    <x:t xml:space="preserve">ENP-00009</x:t>
  </x:si>
  <x:si>
    <x:t xml:space="preserve">Spannungsregler</x:t>
  </x:si>
  <x:si>
    <x:t xml:space="preserve">LDO 3.3V SOT-223</x:t>
  </x:si>
  <x:si>
    <x:t xml:space="preserve">3,3 V, 1 A</x:t>
  </x:si>
  <x:si>
    <x:t xml:space="preserve">Package_TO_SOT_SMD:SOT-223-3_TabPin2</x:t>
  </x:si>
  <x:si>
    <x:t xml:space="preserve">Texas Instruments</x:t>
  </x:si>
  <x:si>
    <x:t xml:space="preserve">LM3940IMP-3.3/NOPB</x:t>
  </x:si>
  <x:si>
    <x:t xml:space="preserve">EnvNode U1; EnvNodeMini Rev 0.2 U3</x:t>
  </x:si>
  <x:si>
    <x:t xml:space="preserve">Footprint und thermische Auslegung vor Bestückung prüfen</x:t>
  </x:si>
  <x:si>
    <x:t xml:space="preserve">ENP-00010</x:t>
  </x:si>
  <x:si>
    <x:t xml:space="preserve">Entwicklungsmodul</x:t>
  </x:si>
  <x:si>
    <x:t xml:space="preserve">ESP32-DevKitC</x:t>
  </x:si>
  <x:si>
    <x:t xml:space="preserve">38 Pin</x:t>
  </x:si>
  <x:si>
    <x:t xml:space="preserve">PCM_Espressif:ESP32-DevKitC</x:t>
  </x:si>
  <x:si>
    <x:t xml:space="preserve">Espressif Systems</x:t>
  </x:si>
  <x:si>
    <x:t xml:space="preserve">EnvNode U2; EnvNodeMini Rev 0.2 U1</x:t>
  </x:si>
  <x:si>
    <x:t xml:space="preserve">Exakte Modulvariante und Pinout vor Bestückung prüfen Hersteller/MPN aus verschobenen Altdaten korrigiert; genaue DevKitC-Variante fehlt.</x:t>
  </x:si>
  <x:si>
    <x:t xml:space="preserve">ESP32-DEVKITC|PCM_ESPRESSIF:ESP32-DEVKITC</x:t>
  </x:si>
  <x:si>
    <x:t xml:space="preserve">ENP-00011</x:t>
  </x:si>
  <x:si>
    <x:t xml:space="preserve">PCB</x:t>
  </x:si>
  <x:si>
    <x:t xml:space="preserve">EnvNode Mainboard Rev 0.1</x:t>
  </x:si>
  <x:si>
    <x:t xml:space="preserve">Revision 0.1</x:t>
  </x:si>
  <x:si>
    <x:t xml:space="preserve">JLCPCB</x:t>
  </x:si>
  <x:si>
    <x:t xml:space="preserve">Unbestückte Leiterplatte; SMD-Lötjumper sind PCB-Strukturen und keine Kaufteile Historische PCB-Revision; aktueller KiCad-Stand ist Revision 0.2.</x:t>
  </x:si>
  <x:si>
    <x:t xml:space="preserve">ENVNODE MAINBOARD REV 0.1|</x:t>
  </x:si>
  <x:si>
    <x:t xml:space="preserve">ENP-00012</x:t>
  </x:si>
  <x:si>
    <x:t xml:space="preserve">JST - Stiftleiste, gerade, 1x2-polig - PH</x:t>
  </x:si>
  <x:si>
    <x:t xml:space="preserve">JST-PH, 2-polig, 2,00 mm</x:t>
  </x:si>
  <x:si>
    <x:t xml:space="preserve">Connector_JST:JST_PH_B2B-PH-K_1x02_P2.00mm_Vertical</x:t>
  </x:si>
  <x:si>
    <x:t xml:space="preserve">B2B-PH-K-S</x:t>
  </x:si>
  <x:si>
    <x:t xml:space="preserve">EnvNode J1; EnvNodeMini Rev 0.2 J1</x:t>
  </x:si>
  <x:si>
    <x:t xml:space="preserve">ENP-00013</x:t>
  </x:si>
  <x:si>
    <x:t xml:space="preserve">MOSFET</x:t>
  </x:si>
  <x:si>
    <x:t xml:space="preserve">MOSFET, N-Ch 30V 5,7A 0,018R, SOT-23</x:t>
  </x:si>
  <x:si>
    <x:t xml:space="preserve">N-Kanal, 30 V, 5,7 A</x:t>
  </x:si>
  <x:si>
    <x:t xml:space="preserve">Package_TO_SOT_SMD:SOT-23</x:t>
  </x:si>
  <x:si>
    <x:t xml:space="preserve">Alpha&amp;Omega Semiconductor</x:t>
  </x:si>
  <x:si>
    <x:t xml:space="preserve">AO3400A</x:t>
  </x:si>
  <x:si>
    <x:t xml:space="preserve">RainDetector</x:t>
  </x:si>
  <x:si>
    <x:t xml:space="preserve">Q1</x:t>
  </x:si>
  <x:si>
    <x:t xml:space="preserve">ENP-00014</x:t>
  </x:si>
  <x:si>
    <x:t xml:space="preserve">Sensormodul</x:t>
  </x:si>
  <x:si>
    <x:t xml:space="preserve">Arduino - Temperatur- &amp; Feuchtigkeitssensor, SHTC3</x:t>
  </x:si>
  <x:si>
    <x:t xml:space="preserve">SHTC3 Breakout</x:t>
  </x:si>
  <x:si>
    <x:t xml:space="preserve">Soldered</x:t>
  </x:si>
  <x:si>
    <x:t xml:space="preserve">Sensor</x:t>
  </x:si>
  <x:si>
    <x:t xml:space="preserve">333032</x:t>
  </x:si>
  <x:si>
    <x:t xml:space="preserve">ENP-00015</x:t>
  </x:si>
  <x:si>
    <x:t xml:space="preserve">Entwicklerboards - ADC, 4 Kanal, 16-Bit, ADS1115</x:t>
  </x:si>
  <x:si>
    <x:t xml:space="preserve">ADS1115 Breakout, 4 Kanal, 16 Bit</x:t>
  </x:si>
  <x:si>
    <x:t xml:space="preserve">A/D Wandler</x:t>
  </x:si>
  <x:si>
    <x:t xml:space="preserve">333095</x:t>
  </x:si>
  <x:si>
    <x:t xml:space="preserve">ENP-00016</x:t>
  </x:si>
  <x:si>
    <x:t xml:space="preserve">SMD-Widerstand, 1206, 100 kOhm, 250 mW, 0,1%</x:t>
  </x:si>
  <x:si>
    <x:t xml:space="preserve">100 kΩ, 0,1 %, 250 mW</x:t>
  </x:si>
  <x:si>
    <x:t xml:space="preserve">Panasonic</x:t>
  </x:si>
  <x:si>
    <x:t xml:space="preserve">ERA8AEB104V</x:t>
  </x:si>
  <x:si>
    <x:t xml:space="preserve">RainDetector; DuoRelay; AnalogHydroPressure</x:t>
  </x:si>
  <x:si>
    <x:t xml:space="preserve">RainDetector R2,R4; DuoRelay R3,R4; AnalogHydroPressure R7</x:t>
  </x:si>
  <x:si>
    <x:t xml:space="preserve">Lieferanten-Bestellnummer in der Altdatei enthält vermischte Angaben.</x:t>
  </x:si>
  <x:si>
    <x:t xml:space="preserve">ENP-00017</x:t>
  </x:si>
  <x:si>
    <x:t xml:space="preserve">SMD-Widerstand, 1206, 100 Ohm, 250 mW, 5%</x:t>
  </x:si>
  <x:si>
    <x:t xml:space="preserve">100 Ω, 5 %, 250 mW</x:t>
  </x:si>
  <x:si>
    <x:t xml:space="preserve">YAGEO</x:t>
  </x:si>
  <x:si>
    <x:t xml:space="preserve">RC1206JR-07100RL</x:t>
  </x:si>
  <x:si>
    <x:t xml:space="preserve">RainDetector; SolarRadiation</x:t>
  </x:si>
  <x:si>
    <x:t xml:space="preserve">RainDetector R1; SolarRadiation R2</x:t>
  </x:si>
  <x:si>
    <x:t xml:space="preserve">ENP-00018</x:t>
  </x:si>
  <x:si>
    <x:t xml:space="preserve">SMD-Widerstand, 1206, 10 kOhm, 250 mW, 0,1%</x:t>
  </x:si>
  <x:si>
    <x:t xml:space="preserve">10 kΩ, 0,1 %, 250 mW</x:t>
  </x:si>
  <x:si>
    <x:t xml:space="preserve">ERA8AEB103V</x:t>
  </x:si>
  <x:si>
    <x:t xml:space="preserve">R3</x:t>
  </x:si>
  <x:si>
    <x:t xml:space="preserve">Offensichtlich zusammengesetzte MPN aus Altdaten normalisiert.</x:t>
  </x:si>
  <x:si>
    <x:t xml:space="preserve">ENP-00019</x:t>
  </x:si>
  <x:si>
    <x:t xml:space="preserve">Stiftleiste, 8-polig, Raster 2,54mm</x:t>
  </x:si>
  <x:si>
    <x:t xml:space="preserve">1x8, 2,54 mm</x:t>
  </x:si>
  <x:si>
    <x:t xml:space="preserve">Connector_PinHeader_2.54mm:PinHeader_1x08_P2.54mm_Vertical</x:t>
  </x:si>
  <x:si>
    <x:t xml:space="preserve">BKL Electronic</x:t>
  </x:si>
  <x:si>
    <x:t xml:space="preserve">J1,J2</x:t>
  </x:si>
  <x:si>
    <x:t xml:space="preserve">10120505</x:t>
  </x:si>
  <x:si>
    <x:t xml:space="preserve">ENP-00020</x:t>
  </x:si>
  <x:si>
    <x:t xml:space="preserve">IC</x:t>
  </x:si>
  <x:si>
    <x:t xml:space="preserve">Timer-IC, Typ 555, SO-8</x:t>
  </x:si>
  <x:si>
    <x:t xml:space="preserve">CMOS 555</x:t>
  </x:si>
  <x:si>
    <x:t xml:space="preserve">Package_SO:SOIC-8_3.9x4.9mm_P1.27mm</x:t>
  </x:si>
  <x:si>
    <x:t xml:space="preserve">Renesas</x:t>
  </x:si>
  <x:si>
    <x:t xml:space="preserve">ICM7555IBAZ</x:t>
  </x:si>
  <x:si>
    <x:t xml:space="preserve">U1</x:t>
  </x:si>
  <x:si>
    <x:t xml:space="preserve">ENP-00021</x:t>
  </x:si>
  <x:si>
    <x:t xml:space="preserve">PinSocket 1x8, 2,54mm SMD</x:t>
  </x:si>
  <x:si>
    <x:t xml:space="preserve">1x8, 2,54 mm, SMD</x:t>
  </x:si>
  <x:si>
    <x:t xml:space="preserve">BL 3 8 G</x:t>
  </x:si>
  <x:si>
    <x:t xml:space="preserve">Stall.biz/Weatherman-Detektorplatine</x:t>
  </x:si>
  <x:si>
    <x:t xml:space="preserve">Mechanischer Gegenstecker zu RainDetector J1/J2; nicht im RainDetector-KiCad geführt</x:t>
  </x:si>
  <x:si>
    <x:t xml:space="preserve">BOM_Mainboard.xlsx; Nutzerklärung 2026-09-01</x:t>
  </x:si>
  <x:si>
    <x:t xml:space="preserve">1×8-SMD-Buchsenleiste sitzt physisch auf der Stall.biz/Weatherman-Detektorplatine. Auf der RainDetector-Platine werden für J1/J2 die 1×8-THT-Stiftleisten ENP-00019 bestückt.</x:t>
  </x:si>
  <x:si>
    <x:t xml:space="preserve">ENP-00022</x:t>
  </x:si>
  <x:si>
    <x:t xml:space="preserve">SMD-Widerstand, 1206, 47 Ohm, 250 mW, 5%</x:t>
  </x:si>
  <x:si>
    <x:t xml:space="preserve">47 Ω</x:t>
  </x:si>
  <x:si>
    <x:t xml:space="preserve">RND components</x:t>
  </x:si>
  <x:si>
    <x:t xml:space="preserve">RND 1551206S4J0470T5E</x:t>
  </x:si>
  <x:si>
    <x:t xml:space="preserve">Detector</x:t>
  </x:si>
  <x:si>
    <x:t xml:space="preserve">ENP-00023</x:t>
  </x:si>
  <x:si>
    <x:t xml:space="preserve">Relais</x:t>
  </x:si>
  <x:si>
    <x:t xml:space="preserve">Steck-Printrelais, 1 CO, 6 A, 5 V DC sensitiv</x:t>
  </x:si>
  <x:si>
    <x:t xml:space="preserve">5 V, 1 Wechsler, 6 A</x:t>
  </x:si>
  <x:si>
    <x:t xml:space="preserve">Relay_THT:Relay_SPDT_Finder_34.51_Vertical</x:t>
  </x:si>
  <x:si>
    <x:t xml:space="preserve">finder</x:t>
  </x:si>
  <x:si>
    <x:t xml:space="preserve">34.51.7.005.0010</x:t>
  </x:si>
  <x:si>
    <x:t xml:space="preserve">DuoRelay</x:t>
  </x:si>
  <x:si>
    <x:t xml:space="preserve">K1,K2</x:t>
  </x:si>
  <x:si>
    <x:t xml:space="preserve">ENP-00024</x:t>
  </x:si>
  <x:si>
    <x:t xml:space="preserve">I²C-EEPROM 2 Kbit mit vorprogrammierter EUI-64 und zwei Adresspins</x:t>
  </x:si>
  <x:si>
    <x:t xml:space="preserve">2 Kbit, I²C, EUI-64, A0/A1, 1,7–5,5 V</x:t>
  </x:si>
  <x:si>
    <x:t xml:space="preserve">Package_TO_SOT_SMD:SOT-23-6</x:t>
  </x:si>
  <x:si>
    <x:t xml:space="preserve">Microchip Technology</x:t>
  </x:si>
  <x:si>
    <x:t xml:space="preserve">24AA025E64T-I/OT</x:t>
  </x:si>
  <x:si>
    <x:t xml:space="preserve">EnvNode; EnvNodeMini Rev 0.2; Empty FullSize/HalfSize SMD/THT; DuoRelay; AnalogHydroPressure</x:t>
  </x:si>
  <x:si>
    <x:t xml:space="preserve">EnvNode U3; EnvNodeMini Rev 0.2 U2; Empty-Boards U1; DuoRelay U1; AnalogHydroPressure U1</x:t>
  </x:si>
  <x:si>
    <x:t xml:space="preserve">KiCad; Microchip datasheet DS20002124G; DigiKey Produktseite, abgerufen 2026-09-02</x:t>
  </x:si>
  <x:si>
    <x:t xml:space="preserve"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t>
  </x:si>
  <x:si>
    <x:t xml:space="preserve">ENP-00025</x:t>
  </x:si>
  <x:si>
    <x:t xml:space="preserve">JST-PH Stiftleiste, 4-polig, vertikal</x:t>
  </x:si>
  <x:si>
    <x:t xml:space="preserve">4-polig, 2,00 mm</x:t>
  </x:si>
  <x:si>
    <x:t xml:space="preserve">Connector_JST:JST_PH_B4B-PH-K_1x04_P2.00mm_Vertical</x:t>
  </x:si>
  <x:si>
    <x:t xml:space="preserve">B4B-PH-K-S</x:t>
  </x:si>
  <x:si>
    <x:t xml:space="preserve">GPIO4, GPIO13-19, GPIO23, GPIO32-36, GPIO39</x:t>
  </x:si>
  <x:si>
    <x:t xml:space="preserve">KiCad</x:t>
  </x:si>
  <x:si>
    <x:t xml:space="preserve">Mögliche Überschneidung mit dem vorhandenen JST-PH-Set prüfen.</x:t>
  </x:si>
  <x:si>
    <x:t xml:space="preserve">ENP-00026</x:t>
  </x:si>
  <x:si>
    <x:t xml:space="preserve">JST-SH Stiftleiste, 4-polig, horizontal</x:t>
  </x:si>
  <x:si>
    <x:t xml:space="preserve">4-polig, 1,00 mm</x:t>
  </x:si>
  <x:si>
    <x:t xml:space="preserve">Connector_JST:JST_SH_SM04B-SRSS-TB_1x04-1MP_P1.00mm_Horizontal</x:t>
  </x:si>
  <x:si>
    <x:t xml:space="preserve">SM04B-SRSS-TB</x:t>
  </x:si>
  <x:si>
    <x:t xml:space="preserve">EnvNode; EnvNodeMini Rev 0.2; SolarRadiation</x:t>
  </x:si>
  <x:si>
    <x:t xml:space="preserve">EnvNode I2C0_1-3,I2C1_1-3; EnvNodeMini Rev 0.2 J4,J5; SolarRadiation I2C1</x:t>
  </x:si>
  <x:si>
    <x:t xml:space="preserve">MPN-Suffix und Verpackungsform festlegen; nicht mit Qwiic-Pigtail zusammenführen.</x:t>
  </x:si>
  <x:si>
    <x:t xml:space="preserve">ENP-00027</x:t>
  </x:si>
  <x:si>
    <x:t xml:space="preserve">16-Bit ADC mit I²C</x:t>
  </x:si>
  <x:si>
    <x:t xml:space="preserve">ADS1115IDGS</x:t>
  </x:si>
  <x:si>
    <x:t xml:space="preserve">Package_SO:TSSOP-10_3x3mm_P0.5mm</x:t>
  </x:si>
  <x:si>
    <x:t xml:space="preserve">AnalogInput; SolarRadiation; AnalogHydroPressure</x:t>
  </x:si>
  <x:si>
    <x:t xml:space="preserve">jeweils U1; AnalogHydroPressure U2</x:t>
  </x:si>
  <x:si>
    <x:t xml:space="preserve">Nicht mit dem vorhandenen ADS1115-Entwicklungsboard zusammenführen.</x:t>
  </x:si>
  <x:si>
    <x:t xml:space="preserve">ENP-00028</x:t>
  </x:si>
  <x:si>
    <x:t xml:space="preserve">Keramikkondensator 1 µF SMD</x:t>
  </x:si>
  <x:si>
    <x:t xml:space="preserve">1 µF</x:t>
  </x:si>
  <x:si>
    <x:t xml:space="preserve">12065C105JAT2A</x:t>
  </x:si>
  <x:si>
    <x:t xml:space="preserve">AnalogInput; AnalogHydroPressure</x:t>
  </x:si>
  <x:si>
    <x:t xml:space="preserve">C1; AnalogHydroPressure C4,C7</x:t>
  </x:si>
  <x:si>
    <x:t xml:space="preserve">ENP-00029</x:t>
  </x:si>
  <x:si>
    <x:t xml:space="preserve">Diode</x:t>
  </x:si>
  <x:si>
    <x:t xml:space="preserve">Dual-Schottky-Diode BAT54S</x:t>
  </x:si>
  <x:si>
    <x:t xml:space="preserve">BAT54S</x:t>
  </x:si>
  <x:si>
    <x:t xml:space="preserve">Diotec</x:t>
  </x:si>
  <x:si>
    <x:t xml:space="preserve">D1; AnalogHydroPressure D1</x:t>
  </x:si>
  <x:si>
    <x:t xml:space="preserve">Aktuelles AnalogHydroPressure verwendet SOT-23 und stimmt damit mit dem Artikel-Footprint überein; Gehäuse der bestellten Variante dennoch prüfen.</x:t>
  </x:si>
  <x:si>
    <x:t xml:space="preserve">ENP-00030</x:t>
  </x:si>
  <x:si>
    <x:t xml:space="preserve">Buchsenleiste 2x4, vertikal</x:t>
  </x:si>
  <x:si>
    <x:t xml:space="preserve">2x4, 2,54 mm</x:t>
  </x:si>
  <x:si>
    <x:t xml:space="preserve">PinSocket_2x04_P2.54mm_Vertical / EnvNode Bottom-Variante</x:t>
  </x:si>
  <x:si>
    <x:t xml:space="preserve">Legacy Rev 0.1: EnvNodeMini; AnalogInput; DuoRelay</x:t>
  </x:si>
  <x:si>
    <x:t xml:space="preserve">AnalogInput J1,J2; DuoRelay J1,J2; EnvNodeMini J1,J2,J4,J5</x:t>
  </x:si>
  <x:si>
    <x:t xml:space="preserve">Legacy</x:t>
  </x:si>
  <x:si>
    <x:t xml:space="preserve">Legacy-Artikel für die Modulsteckverbindung Rev 0.1; nicht für die aktuellen 2x7-Steckplätze verwenden.</x:t>
  </x:si>
  <x:si>
    <x:t xml:space="preserve">BUCHSENLEISTE 2X4, VERTIKAL|PINSOCKET_2X04_P2.54MM_VERTICAL / ENVNODE BOTTOM-VARIANTE</x:t>
  </x:si>
  <x:si>
    <x:t xml:space="preserve">ENP-00031</x:t>
  </x:si>
  <x:si>
    <x:t xml:space="preserve">Buchsenleiste 1x2, vertikal</x:t>
  </x:si>
  <x:si>
    <x:t xml:space="preserve">1x2, 2,54 mm</x:t>
  </x:si>
  <x:si>
    <x:t xml:space="preserve">Connector_PinSocket_2.54mm:PinSocket_1x02_P2.54mm_Vertical</x:t>
  </x:si>
  <x:si>
    <x:t xml:space="preserve">J3; AnalogHydroPressure J3</x:t>
  </x:si>
  <x:si>
    <x:t xml:space="preserve">BUCHSENLEISTE 1X2, VERTIKAL|CONNECTOR_PINSOCKET_2.54MM:PINSOCKET_1X02_P2.54MM_VERTICAL</x:t>
  </x:si>
  <x:si>
    <x:t xml:space="preserve">ENP-00032</x:t>
  </x:si>
  <x:si>
    <x:t xml:space="preserve">Widerstand, Metallschicht, 150 Ohm, 0207, 250 mW, 0,1%</x:t>
  </x:si>
  <x:si>
    <x:t xml:space="preserve">150 Ω, 0,1 %, ≤25 ppm/K, &gt;0,125 W</x:t>
  </x:si>
  <x:si>
    <x:t xml:space="preserve">Resistor_THT:R_Axial_DIN0207_L6.3mm_D2.5mm_P7.62mm_Horizontal</x:t>
  </x:si>
  <x:si>
    <x:t xml:space="preserve">Arcol</x:t>
  </x:si>
  <x:si>
    <x:t xml:space="preserve">MRA0207 150R B 15PPM TA</x:t>
  </x:si>
  <x:si>
    <x:t xml:space="preserve">R1; AnalogHydroPressure R3</x:t>
  </x:si>
  <x:si>
    <x:t xml:space="preserve">ENP-00033</x:t>
  </x:si>
  <x:si>
    <x:t xml:space="preserve">Schnelle Schaltdiode 1N4148W</x:t>
  </x:si>
  <x:si>
    <x:t xml:space="preserve">1N4148W</x:t>
  </x:si>
  <x:si>
    <x:t xml:space="preserve">Diode_SMD:D_SOD-123</x:t>
  </x:si>
  <x:si>
    <x:t xml:space="preserve">D1,D2</x:t>
  </x:si>
  <x:si>
    <x:t xml:space="preserve">ENP-00034</x:t>
  </x:si>
  <x:si>
    <x:t xml:space="preserve">Schraubklemme 1x3, horizontal</x:t>
  </x:si>
  <x:si>
    <x:t xml:space="preserve">3-polig, 5,08 mm</x:t>
  </x:si>
  <x:si>
    <x:t xml:space="preserve">TerminalBlock_Phoenix:TerminalBlock_Phoenix_MKDS-3-3-5.08_1x03_P5.08mm_Horizontal</x:t>
  </x:si>
  <x:si>
    <x:t xml:space="preserve">Phoenix Contact</x:t>
  </x:si>
  <x:si>
    <x:t xml:space="preserve">J3,J4</x:t>
  </x:si>
  <x:si>
    <x:t xml:space="preserve">Exakte Hersteller-MPN ergänzen.</x:t>
  </x:si>
  <x:si>
    <x:t xml:space="preserve">SCHRAUBKLEMME 1X3, HORIZONTAL|TERMINALBLOCK_PHOENIX:TERMINALBLOCK_PHOENIX_MKDS-3-3-5.08_1X03_P5.08MM_HORIZONTAL</x:t>
  </x:si>
  <x:si>
    <x:t xml:space="preserve">ENP-00035</x:t>
  </x:si>
  <x:si>
    <x:t xml:space="preserve">Transistor</x:t>
  </x:si>
  <x:si>
    <x:t xml:space="preserve">NPN-Transistor BC817</x:t>
  </x:si>
  <x:si>
    <x:t xml:space="preserve">BC817</x:t>
  </x:si>
  <x:si>
    <x:t xml:space="preserve">Package_TO_SOT_SMD:SOT-23_Handsoldering</x:t>
  </x:si>
  <x:si>
    <x:t xml:space="preserve">Q1,Q2</x:t>
  </x:si>
  <x:si>
    <x:t xml:space="preserve">ENP-00036</x:t>
  </x:si>
  <x:si>
    <x:t xml:space="preserve">Widerstand 1 kΩ SMD</x:t>
  </x:si>
  <x:si>
    <x:t xml:space="preserve">1 kΩ</x:t>
  </x:si>
  <x:si>
    <x:t xml:space="preserve">CRCW12061K00FKEA</x:t>
  </x:si>
  <x:si>
    <x:t xml:space="preserve">R1,R2</x:t>
  </x:si>
  <x:si>
    <x:t xml:space="preserve">ENP-00037</x:t>
  </x:si>
  <x:si>
    <x:t xml:space="preserve">Elektrolytkondensator 47 µF radial</x:t>
  </x:si>
  <x:si>
    <x:t xml:space="preserve">47 µF, 50 V</x:t>
  </x:si>
  <x:si>
    <x:t xml:space="preserve">Capacitor_SMD:CP_Elec_6.3x7.7</x:t>
  </x:si>
  <x:si>
    <x:t xml:space="preserve">Europe ChemiCon</x:t>
  </x:si>
  <x:si>
    <x:t xml:space="preserve">HHXC500ARA470MHA0G</x:t>
  </x:si>
  <x:si>
    <x:t xml:space="preserve">EnvNodeMini Rev 0.1</x:t>
  </x:si>
  <x:si>
    <x:t xml:space="preserve">EnvNodeMini Rev 0.1 C1</x:t>
  </x:si>
  <x:si>
    <x:t xml:space="preserve">ENP-00038</x:t>
  </x:si>
  <x:si>
    <x:t xml:space="preserve">Schottky-Diode STPS3L60S</x:t>
  </x:si>
  <x:si>
    <x:t xml:space="preserve">B360B-13-F</x:t>
  </x:si>
  <x:si>
    <x:t xml:space="preserve">Diode_SMD:D_SMB_Handsoldering</x:t>
  </x:si>
  <x:si>
    <x:t xml:space="preserve">Diodes</x:t>
  </x:si>
  <x:si>
    <x:t xml:space="preserve">STPS3L60S</x:t>
  </x:si>
  <x:si>
    <x:t xml:space="preserve">EnvNodeMini Rev 0.1 D1</x:t>
  </x:si>
  <x:si>
    <x:t xml:space="preserve">ENP-00039</x:t>
  </x:si>
  <x:si>
    <x:t xml:space="preserve">Schutzdiode</x:t>
  </x:si>
  <x:si>
    <x:t xml:space="preserve">TVS-Diode SMBJ24A</x:t>
  </x:si>
  <x:si>
    <x:t xml:space="preserve">24 V</x:t>
  </x:si>
  <x:si>
    <x:t xml:space="preserve">Littelfuse</x:t>
  </x:si>
  <x:si>
    <x:t xml:space="preserve">SMBJ24A</x:t>
  </x:si>
  <x:si>
    <x:t xml:space="preserve">EnvNodeMini Rev 0.1 D2</x:t>
  </x:si>
  <x:si>
    <x:t xml:space="preserve">ENP-00040</x:t>
  </x:si>
  <x:si>
    <x:t xml:space="preserve">Sicherung</x:t>
  </x:si>
  <x:si>
    <x:t xml:space="preserve">Sicherung 2 A</x:t>
  </x:si>
  <x:si>
    <x:t xml:space="preserve">2 A</x:t>
  </x:si>
  <x:si>
    <x:t xml:space="preserve">Fuse:Fuse_Littelfuse-NANO2-451_453</x:t>
  </x:si>
  <x:si>
    <x:t xml:space="preserve">EnvNodeMini Rev 0.1 F1</x:t>
  </x:si>
  <x:si>
    <x:t xml:space="preserve">Exakte Serie/MPN und Auslösecharakteristik ergänzen.</x:t>
  </x:si>
  <x:si>
    <x:t xml:space="preserve">SICHERUNG 2 A|FUSE:FUSE_LITTELFUSE-NANO2-451_453</x:t>
  </x:si>
  <x:si>
    <x:t xml:space="preserve">ENP-00041</x:t>
  </x:si>
  <x:si>
    <x:t xml:space="preserve">Schraubklemme 1x2, horizontal</x:t>
  </x:si>
  <x:si>
    <x:t xml:space="preserve">2-polig, 5,00 mm</x:t>
  </x:si>
  <x:si>
    <x:t xml:space="preserve">TerminalBlock_RND:TerminalBlock_RND_205-00001_1x02_P5.00mm_Horizontal</x:t>
  </x:si>
  <x:si>
    <x:t xml:space="preserve">RND</x:t>
  </x:si>
  <x:si>
    <x:t xml:space="preserve">205-00001</x:t>
  </x:si>
  <x:si>
    <x:t xml:space="preserve">EnvNodeMini Rev 0.1 J3</x:t>
  </x:si>
  <x:si>
    <x:t xml:space="preserve">ENP-00042</x:t>
  </x:si>
  <x:si>
    <x:t xml:space="preserve">DC/DC-Wandler</x:t>
  </x:si>
  <x:si>
    <x:t xml:space="preserve">Schaltreglermodul 5 V</x:t>
  </x:si>
  <x:si>
    <x:t xml:space="preserve">TSR 1-2450</x:t>
  </x:si>
  <x:si>
    <x:t xml:space="preserve">Converter_DCDC:Converter_DCDC_TRACO_TSR-1_THT</x:t>
  </x:si>
  <x:si>
    <x:t xml:space="preserve">Traco Power</x:t>
  </x:si>
  <x:si>
    <x:t xml:space="preserve">EnvNodeMini Rev 0.1 U3</x:t>
  </x:si>
  <x:si>
    <x:t xml:space="preserve">ENP-00043</x:t>
  </x:si>
  <x:si>
    <x:t xml:space="preserve">Schaltreglermodul 3,3 V</x:t>
  </x:si>
  <x:si>
    <x:t xml:space="preserve">TSR 1-2433</x:t>
  </x:si>
  <x:si>
    <x:t xml:space="preserve">EnvNodeMini Rev 0.1 U4</x:t>
  </x:si>
  <x:si>
    <x:t xml:space="preserve">KiCad-Library-ID basiert auf TSR_1-2450; Wert und tatsächliches Teil prüfen.</x:t>
  </x:si>
  <x:si>
    <x:t xml:space="preserve">ENP-00044</x:t>
  </x:si>
  <x:si>
    <x:t xml:space="preserve">Keramikkondensator 10 nF SMD</x:t>
  </x:si>
  <x:si>
    <x:t xml:space="preserve">10 nF</x:t>
  </x:si>
  <x:si>
    <x:t xml:space="preserve">12061C103JAT2A</x:t>
  </x:si>
  <x:si>
    <x:t xml:space="preserve">SolarRadiation</x:t>
  </x:si>
  <x:si>
    <x:t xml:space="preserve">C2</x:t>
  </x:si>
  <x:si>
    <x:t xml:space="preserve">ENP-00045</x:t>
  </x:si>
  <x:si>
    <x:t xml:space="preserve">Widerstand, Metallschicht, 2 Ohm, 0207, 600 mW, 0,1%</x:t>
  </x:si>
  <x:si>
    <x:t xml:space="preserve">2 Ω</x:t>
  </x:si>
  <x:si>
    <x:t xml:space="preserve">Yageo</x:t>
  </x:si>
  <x:si>
    <x:t xml:space="preserve">MF0207FTE52-2R</x:t>
  </x:si>
  <x:si>
    <x:t xml:space="preserve">R1</x:t>
  </x:si>
  <x:si>
    <x:t xml:space="preserve">ENP-00046</x:t>
  </x:si>
  <x:si>
    <x:t xml:space="preserve">Solarzelle</x:t>
  </x:si>
  <x:si>
    <x:t xml:space="preserve">Solarzelle KXOB25-14X1F-TB</x:t>
  </x:si>
  <x:si>
    <x:t xml:space="preserve">KXOB25-14X1F-TB</x:t>
  </x:si>
  <x:si>
    <x:t xml:space="preserve">EnvNode-Footprints:KXOB25-14X1F</x:t>
  </x:si>
  <x:si>
    <x:t xml:space="preserve">SC1</x:t>
  </x:si>
  <x:si>
    <x:t xml:space="preserve">Prüfen</x:t>
  </x:si>
  <x:si>
    <x:t xml:space="preserve">ENP-00047</x:t>
  </x:si>
  <x:si>
    <x:t xml:space="preserve">Sensor-IC</x:t>
  </x:si>
  <x:si>
    <x:t xml:space="preserve">Temperatursensor TMP100</x:t>
  </x:si>
  <x:si>
    <x:t xml:space="preserve">TMP100</x:t>
  </x:si>
  <x:si>
    <x:t xml:space="preserve">U2</x:t>
  </x:si>
  <x:si>
    <x:t xml:space="preserve">Vollständige bestellbare MPN einschließlich Genauigkeits-/Gehäusevariante ergänzen.</x:t>
  </x:si>
  <x:si>
    <x:t xml:space="preserve">ENP-00048</x:t>
  </x:si>
  <x:si>
    <x:t xml:space="preserve">EnvNode Mainboard PCB</x:t>
  </x:si>
  <x:si>
    <x:t xml:space="preserve">Revision 0.2</x:t>
  </x:si>
  <x:si>
    <x:t xml:space="preserve">PCB: EnvNode.kicad_pcb</x:t>
  </x:si>
  <x:si>
    <x:t xml:space="preserve">Aktueller KiCad-Stand; Fertiger und konkrete Fertigungsvariante festlegen.</x:t>
  </x:si>
  <x:si>
    <x:t xml:space="preserve">ENVNODE MAINBOARD PCB|PCB: ENVNODE.KICAD_PCB</x:t>
  </x:si>
  <x:si>
    <x:t xml:space="preserve">ENP-00049</x:t>
  </x:si>
  <x:si>
    <x:t xml:space="preserve">EnvNode Mini PCB</x:t>
  </x:si>
  <x:si>
    <x:t xml:space="preserve">PCB: EnvNodeMini.kicad_pcb</x:t>
  </x:si>
  <x:si>
    <x:t xml:space="preserve">Legacy-Leiterplatte Revision 0.1; für Revision 0.2 existiert ein eigener Artikel.</x:t>
  </x:si>
  <x:si>
    <x:t xml:space="preserve">ENVNODE MINI PCB|PCB: ENVNODEMINI.KICAD_PCB</x:t>
  </x:si>
  <x:si>
    <x:t xml:space="preserve">ENP-00050</x:t>
  </x:si>
  <x:si>
    <x:t xml:space="preserve">AnalogInput HalfSize PCB</x:t>
  </x:si>
  <x:si>
    <x:t xml:space="preserve">PCB: AnalogInput.kicad_pcb</x:t>
  </x:si>
  <x:si>
    <x:t xml:space="preserve">AnalogInput</x:t>
  </x:si>
  <x:si>
    <x:t xml:space="preserve">Fertiger und konkrete Fertigungsvariante festlegen.</x:t>
  </x:si>
  <x:si>
    <x:t xml:space="preserve">ANALOGINPUT HALFSIZE PCB|PCB: ANALOGINPUT.KICAD_PCB</x:t>
  </x:si>
  <x:si>
    <x:t xml:space="preserve">ENP-00051</x:t>
  </x:si>
  <x:si>
    <x:t xml:space="preserve">DuoRelay FullSize PCB Rev 0.1</x:t>
  </x:si>
  <x:si>
    <x:t xml:space="preserve">PCB: DuoRelay.kicad_pcb</x:t>
  </x:si>
  <x:si>
    <x:t xml:space="preserve">DuoRelay Rev 0.1</x:t>
  </x:si>
  <x:si>
    <x:t xml:space="preserve">Legacy-Leiterplatte Revision 0.1; der aktuelle KiCad-Stand ist Revision 0.2 und besitzt einen eigenen Artikel.</x:t>
  </x:si>
  <x:si>
    <x:t xml:space="preserve">DUORELAY FULLSIZE PCB REV 0.1|PCB: DUORELAY.KICAD_PCB</x:t>
  </x:si>
  <x:si>
    <x:t xml:space="preserve">ENP-00052</x:t>
  </x:si>
  <x:si>
    <x:t xml:space="preserve">SolarRadiation PCB</x:t>
  </x:si>
  <x:si>
    <x:t xml:space="preserve">PCB: SolarRadiation.kicad_pcb</x:t>
  </x:si>
  <x:si>
    <x:t xml:space="preserve">SOLARRADIATION PCB|PCB: SOLARRADIATION.KICAD_PCB</x:t>
  </x:si>
  <x:si>
    <x:t xml:space="preserve">ENP-00053</x:t>
  </x:si>
  <x:si>
    <x:t xml:space="preserve">RainDetector PCB</x:t>
  </x:si>
  <x:si>
    <x:t xml:space="preserve">Revision 1.0</x:t>
  </x:si>
  <x:si>
    <x:t xml:space="preserve">PCB: Raindetector.kicad_pcb</x:t>
  </x:si>
  <x:si>
    <x:t xml:space="preserve">RAINDETECTOR PCB|PCB: RAINDETECTOR.KICAD_PCB</x:t>
  </x:si>
  <x:si>
    <x:t xml:space="preserve">ENP-00054</x:t>
  </x:si>
  <x:si>
    <x:t xml:space="preserve">Buchsenleiste 2x7, 2,54 mm, vertikal</x:t>
  </x:si>
  <x:si>
    <x:t xml:space="preserve">2x7, 2,54 mm, THT, vertikal, vergoldet, Bauhöhe 8,4 mm</x:t>
  </x:si>
  <x:si>
    <x:t xml:space="preserve">Connector_PinSocket_2.54mm:PinSocket_2x07_P2.54mm_Vertical</x:t>
  </x:si>
  <x:si>
    <x:t xml:space="preserve">Würth Elektronik</x:t>
  </x:si>
  <x:si>
    <x:t xml:space="preserve">61301421821</x:t>
  </x:si>
  <x:si>
    <x:t xml:space="preserve">EnvNodeMini Rev 0.2</x:t>
  </x:si>
  <x:si>
    <x:t xml:space="preserve">J2,J3</x:t>
  </x:si>
  <x:si>
    <x:t xml:space="preserve">KiCad; Würth Produktkatalog; DigiKey, abgerufen 2026-09-01</x:t>
  </x:si>
  <x:si>
    <x:t xml:space="preserve">Würth WR-PHD Dual Socket Header, 14 Kontakte, 2,54 mm, THT, vergoldet, 3 A/250 V AC. Der generische KiCad-Footprint bildet Raster und THT-Anordnung ab; Gehäusekontur/Courtyard sind nicht herstellerspezifisch.</x:t>
  </x:si>
  <x:si>
    <x:t xml:space="preserve">BUCHSENLEISTE 2X7 2,54 MM VERTIKAL|CONNECTOR_PINSOCKET_2.54MM:PINSOCKET_2X07_P2.54MM_VERTICAL</x:t>
  </x:si>
  <x:si>
    <x:t xml:space="preserve">ENP-00055</x:t>
  </x:si>
  <x:si>
    <x:t xml:space="preserve">Schottky-Diode SS14, SMA</x:t>
  </x:si>
  <x:si>
    <x:t xml:space="preserve">SS14, 1 A, 40 V, UF max. 0,5 V, IFSM 40 A</x:t>
  </x:si>
  <x:si>
    <x:t xml:space="preserve">Diode_SMD:D_SMA</x:t>
  </x:si>
  <x:si>
    <x:t xml:space="preserve">SS14-E3/61T</x:t>
  </x:si>
  <x:si>
    <x:t xml:space="preserve">KiCad; Vishay; Reichelt, abgerufen 2026-09-01</x:t>
  </x:si>
  <x:si>
    <x:t xml:space="preserve"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t>
  </x:si>
  <x:si>
    <x:t xml:space="preserve">ENP-00056</x:t>
  </x:si>
  <x:si>
    <x:t xml:space="preserve">Elektrolytkondensator 10 µF SMD</x:t>
  </x:si>
  <x:si>
    <x:t xml:space="preserve">10 µF, ±20 %, 25 V, 85 °C, 2000 h</x:t>
  </x:si>
  <x:si>
    <x:t xml:space="preserve">Capacitor_SMD:CP_Elec_5x5.4</x:t>
  </x:si>
  <x:si>
    <x:t xml:space="preserve">EEE1EA100SR</x:t>
  </x:si>
  <x:si>
    <x:t xml:space="preserve">C6</x:t>
  </x:si>
  <x:si>
    <x:t xml:space="preserve">KiCad; Panasonic; Reichelt, abgerufen 2026-09-01</x:t>
  </x:si>
  <x:si>
    <x:t xml:space="preserve">Panasonic SMD-Aluminium-Elektrolytkondensator, 10 µF ±20 %, 25 V, 85 °C, 2000 h. Abmessungen Ø 5,0 × 5,4 mm passen exakt zum zugewiesenen KiCad-Footprint. C6 liegt zwischen +3V3_SYS und GND; 25 V bieten deutliche Spannungsreserve. Polarität beachten.</x:t>
  </x:si>
  <x:si>
    <x:t xml:space="preserve">ENP-00057</x:t>
  </x:si>
  <x:si>
    <x:t xml:space="preserve">EnvNode Mini PCB Rev 0.2</x:t>
  </x:si>
  <x:si>
    <x:t xml:space="preserve">PCB: MainBoards/EnvNode Mini/EnvNode Mini.kicad_pcb</x:t>
  </x:si>
  <x:si>
    <x:t xml:space="preserve">ENVNODE MINI PCB REV 0.2|PCB: MAINBOARDS/ENVNODE MINI/ENVNODE MINI.KICAD_PCB</x:t>
  </x:si>
  <x:si>
    <x:t xml:space="preserve">ENP-00058</x:t>
  </x:si>
  <x:si>
    <x:t xml:space="preserve">Stiftleiste 2x7, 2,54 mm, SMD</x:t>
  </x:si>
  <x:si>
    <x:t xml:space="preserve">2x7, 2,54 mm, SMD, vertikal, vergoldet, 6,0 mm Stecklänge</x:t>
  </x:si>
  <x:si>
    <x:t xml:space="preserve">EnvNode-Footprints:J_Wurth_WR-PHD_61031421121</x:t>
  </x:si>
  <x:si>
    <x:t xml:space="preserve">61031421121</x:t>
  </x:si>
  <x:si>
    <x:t xml:space="preserve">Empty FullSize/HalfSize SMD</x:t>
  </x:si>
  <x:si>
    <x:t xml:space="preserve">J1</x:t>
  </x:si>
  <x:si>
    <x:t xml:space="preserve">KiCad; Würth Datenblatt; DigiKey, abgerufen 2026-09-01</x:t>
  </x:si>
  <x:si>
    <x:t xml:space="preserve">Würth WR-PHD SMD-Stiftleiste, 14 Kontakte, 2,54 mm, vergoldet, 3 A/250 V. Exakter Artikel für den Projekt-Footprint J_Wurth_WR-PHD_61031421121. Einzelpreis Gurtabschnitt, Stand 2026-09-01; Preis und Verfügbarkeit vor Bestellung prüfen.</x:t>
  </x:si>
  <x:si>
    <x:t xml:space="preserve">ENP-00059</x:t>
  </x:si>
  <x:si>
    <x:t xml:space="preserve">Stiftleiste 2x7, 2,54 mm, vertikal, Bottom-Mount</x:t>
  </x:si>
  <x:si>
    <x:t xml:space="preserve">2x7, 2,54 mm, THT, vertikal, vergoldet, 6,1 mm Stecklänge, 3,0 mm Lötstift</x:t>
  </x:si>
  <x:si>
    <x:t xml:space="preserve">EnvNode-Footprints:PinHeader_2x07_P2.54mm_Vertical_Bottom</x:t>
  </x:si>
  <x:si>
    <x:t xml:space="preserve">ECON Connect</x:t>
  </x:si>
  <x:si>
    <x:t xml:space="preserve">SL14G2</x:t>
  </x:si>
  <x:si>
    <x:t xml:space="preserve">Empty FullSize/HalfSize THT; DuoRelay Rev 0.2; AnalogHydroPressure</x:t>
  </x:si>
  <x:si>
    <x:t xml:space="preserve">J1; DuoRelay Rev 0.2 J1; AnalogHydroPressure J1</x:t>
  </x:si>
  <x:si>
    <x:t xml:space="preserve">KiCad; ECON Connect Datenblatt; Reichelt, abgerufen 2026-09-01</x:t>
  </x:si>
  <x:si>
    <x:t xml:space="preserve"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t>
  </x:si>
  <x:si>
    <x:t xml:space="preserve">STIFTLEISTE 2X7 2,54 MM THT BOTTOM|ENVNODE-FOOTPRINTS:PINHEADER_2X07_P2.54MM_VERTICAL_BOTTOM</x:t>
  </x:si>
  <x:si>
    <x:t xml:space="preserve">ENP-00060</x:t>
  </x:si>
  <x:si>
    <x:t xml:space="preserve">Empty FullSize SMD PCB</x:t>
  </x:si>
  <x:si>
    <x:t xml:space="preserve">Revision offen</x:t>
  </x:si>
  <x:si>
    <x:t xml:space="preserve">PCB: Modules/FullSize/Empty-SMD/Empty-SMD.kicad_pcb</x:t>
  </x:si>
  <x:si>
    <x:t xml:space="preserve">Empty FullSize SMD</x:t>
  </x:si>
  <x:si>
    <x:t xml:space="preserve">Aktueller KiCad-Stand; Revision, Fertiger und konkrete Fertigungsvariante festlegen.</x:t>
  </x:si>
  <x:si>
    <x:t xml:space="preserve">EMPTY FULLSIZE SMD PCB|PCB: MODULES/FULLSIZE/EMPTY-SMD/EMPTY-SMD.KICAD_PCB</x:t>
  </x:si>
  <x:si>
    <x:t xml:space="preserve">ENP-00061</x:t>
  </x:si>
  <x:si>
    <x:t xml:space="preserve">Empty FullSize THT PCB</x:t>
  </x:si>
  <x:si>
    <x:t xml:space="preserve">PCB: Modules/FullSize/Empty-THT/Empty-THT.kicad_pcb</x:t>
  </x:si>
  <x:si>
    <x:t xml:space="preserve">Empty FullSize THT</x:t>
  </x:si>
  <x:si>
    <x:t xml:space="preserve">EMPTY FULLSIZE THT PCB|PCB: MODULES/FULLSIZE/EMPTY-THT/EMPTY-THT.KICAD_PCB</x:t>
  </x:si>
  <x:si>
    <x:t xml:space="preserve">ENP-00062</x:t>
  </x:si>
  <x:si>
    <x:t xml:space="preserve">Empty HalfSize SMD PCB</x:t>
  </x:si>
  <x:si>
    <x:t xml:space="preserve">PCB: Modules/HalfSize/Empty-SMD/Empty-SMD.kicad_pcb</x:t>
  </x:si>
  <x:si>
    <x:t xml:space="preserve">Empty HalfSize SMD</x:t>
  </x:si>
  <x:si>
    <x:t xml:space="preserve">EMPTY HALFSIZE SMD PCB|PCB: MODULES/HALFSIZE/EMPTY-SMD/EMPTY-SMD.KICAD_PCB</x:t>
  </x:si>
  <x:si>
    <x:t xml:space="preserve">ENP-00063</x:t>
  </x:si>
  <x:si>
    <x:t xml:space="preserve">Empty HalfSize THT PCB</x:t>
  </x:si>
  <x:si>
    <x:t xml:space="preserve">PCB: Modules/HalfSize/Empty-THT/Empty-THT.kicad_pcb</x:t>
  </x:si>
  <x:si>
    <x:t xml:space="preserve">Empty HalfSize THT</x:t>
  </x:si>
  <x:si>
    <x:t xml:space="preserve">EMPTY HALFSIZE THT PCB|PCB: MODULES/HALFSIZE/EMPTY-THT/EMPTY-THT.KICAD_PCB</x:t>
  </x:si>
  <x:si>
    <x:t xml:space="preserve">ENP-00064</x:t>
  </x:si>
  <x:si>
    <x:t xml:space="preserve">LED</x:t>
  </x:si>
  <x:si>
    <x:t xml:space="preserve">LED SMD 1206, rot</x:t>
  </x:si>
  <x:si>
    <x:t xml:space="preserve">Hyperrot, 645 nm, 250 mcd, 140°, Vf 2,0–2,5 V, IF max. 30 mA</x:t>
  </x:si>
  <x:si>
    <x:t xml:space="preserve">LED_SMD:LED_1206_3216Metric_Pad1.42x1.75mm_HandSolder</x:t>
  </x:si>
  <x:si>
    <x:t xml:space="preserve">Kingbright</x:t>
  </x:si>
  <x:si>
    <x:t xml:space="preserve">KP-3216SURC</x:t>
  </x:si>
  <x:si>
    <x:t xml:space="preserve">DuoRelay Rev 0.2</x:t>
  </x:si>
  <x:si>
    <x:t xml:space="preserve">D3,D4</x:t>
  </x:si>
  <x:si>
    <x:t xml:space="preserve">KiCad; Kingbright; Reichelt, abgerufen 2026-09-01</x:t>
  </x:si>
  <x:si>
    <x:t xml:space="preserve">Kingbright SMD-LED im 1206-/3216-Gehäuse, hyperrot, 250 mcd, 140° Abstrahlwinkel, Bauhöhe 1,1 mm. Im DuoRelay liegen D3/D4 über je 1,5 kΩ an +5 V; bei etwa 2 V Vorwärtsspannung fließen rund 2 mA.</x:t>
  </x:si>
  <x:si>
    <x:t xml:space="preserve">ENP-00065</x:t>
  </x:si>
  <x:si>
    <x:t xml:space="preserve">Widerstand 1,5 kΩ SMD</x:t>
  </x:si>
  <x:si>
    <x:t xml:space="preserve">1,5 kΩ, 1 %, 0,25 W, 1206</x:t>
  </x:si>
  <x:si>
    <x:t xml:space="preserve">CRCW12061K50FKEA</x:t>
  </x:si>
  <x:si>
    <x:t xml:space="preserve">R5,R6</x:t>
  </x:si>
  <x:si>
    <x:t xml:space="preserve">KiCad; Reichelt, abgerufen 2026-09-01</x:t>
  </x:si>
  <x:si>
    <x:t xml:space="preserve">Exakt passend als Vorwiderstand der Relais-LEDs. Einzelpreis, Stand 2026-09-01; Preis und Verfügbarkeit vor Bestellung prüfen.</x:t>
  </x:si>
  <x:si>
    <x:t xml:space="preserve">1,5 KOHM|RESISTOR_SMD:R_1206_3216METRIC_PAD1.30X1.75MM_HANDSOLDER</x:t>
  </x:si>
  <x:si>
    <x:t xml:space="preserve">ENP-00066</x:t>
  </x:si>
  <x:si>
    <x:t xml:space="preserve">DuoRelay FullSize PCB Rev 0.2</x:t>
  </x:si>
  <x:si>
    <x:t xml:space="preserve">PCB: Modules/FullSize/DuoRelay/DuoRelay.kicad_pcb</x:t>
  </x:si>
  <x:si>
    <x:t xml:space="preserve">DUORELAY FULLSIZE PCB REV 0.2|PCB: MODULES/FULLSIZE/DUORELAY/DUORELAY.KICAD_PCB</x:t>
  </x:si>
  <x:si>
    <x:t xml:space="preserve">ENP-00067</x:t>
  </x:si>
  <x:si>
    <x:t xml:space="preserve">Keramikkondensator 4,7 µF SMD</x:t>
  </x:si>
  <x:si>
    <x:t xml:space="preserve">4,7 µF, 25 V, X7R, ±10 %, 1206</x:t>
  </x:si>
  <x:si>
    <x:t xml:space="preserve">Samsung Electro-Mechanics</x:t>
  </x:si>
  <x:si>
    <x:t xml:space="preserve">CL31B475KAHNNNE</x:t>
  </x:si>
  <x:si>
    <x:t xml:space="preserve">AnalogHydroPressure</x:t>
  </x:si>
  <x:si>
    <x:t xml:space="preserve">25-V-Ausführung übertrifft die geforderten mindestens 10 V. Einzelpreis, Stand 2026-09-01; Preis und Verfügbarkeit vor Bestellung prüfen.</x:t>
  </x:si>
  <x:si>
    <x:t xml:space="preserve">4,7 UF 10 V|CAPACITOR_SMD:C_1206_3216METRIC_PAD1.33X1.80MM_HANDSOLDER</x:t>
  </x:si>
  <x:si>
    <x:t xml:space="preserve">ENP-00068</x:t>
  </x:si>
  <x:si>
    <x:t xml:space="preserve">4,7 µF, 50 V, X7R, ±10 %, 1210</x:t>
  </x:si>
  <x:si>
    <x:t xml:space="preserve">Capacitor_SMD:C_1210_3225Metric_Pad1.33x2.70mm_HandSolder</x:t>
  </x:si>
  <x:si>
    <x:t xml:space="preserve">CL32B475KBJVPNE</x:t>
  </x:si>
  <x:si>
    <x:t xml:space="preserve">C9</x:t>
  </x:si>
  <x:si>
    <x:t xml:space="preserve">Passende 50-V-/1210-Ausführung für den Ausgang des 24-V-Boosters. Einzelpreis, Stand 2026-09-01; Preis und Verfügbarkeit vor Bestellung prüfen.</x:t>
  </x:si>
  <x:si>
    <x:t xml:space="preserve">4,7 UF 50 V|CAPACITOR_SMD:C_1210_3225METRIC_PAD1.33X2.70MM_HANDSOLDER</x:t>
  </x:si>
  <x:si>
    <x:t xml:space="preserve">ENP-00069</x:t>
  </x:si>
  <x:si>
    <x:t xml:space="preserve">Schottky-Diode SMD</x:t>
  </x:si>
  <x:si>
    <x:t xml:space="preserve">Typ und elektrische Daten offen</x:t>
  </x:si>
  <x:si>
    <x:t xml:space="preserve">Diode_SMD:D_SOD-323F</x:t>
  </x:si>
  <x:si>
    <x:t xml:space="preserve">D3</x:t>
  </x:si>
  <x:si>
    <x:t xml:space="preserve">Schema enthält nur den generischen Wert D_Schottky; Sperrspannung, Strom, Hersteller und MPN festlegen. Einkaufsdaten bleiben offen, bis Sperrspannung und Strombelastbarkeit festgelegt sind.</x:t>
  </x:si>
  <x:si>
    <x:t xml:space="preserve">SCHOTTKY|DIODE_SMD:D_SOD-323F</x:t>
  </x:si>
  <x:si>
    <x:t xml:space="preserve">ENP-00070</x:t>
  </x:si>
  <x:si>
    <x:t xml:space="preserve">Induktivität</x:t>
  </x:si>
  <x:si>
    <x:t xml:space="preserve">Leistungsinduktivität 0,68 µH</x:t>
  </x:si>
  <x:si>
    <x:t xml:space="preserve">0,68 µH, 8,2 A, DCR 9 mΩ, WE-MAPI 3012</x:t>
  </x:si>
  <x:si>
    <x:t xml:space="preserve">Inductor_SMD:L_Wuerth_MAPI-3012</x:t>
  </x:si>
  <x:si>
    <x:t xml:space="preserve">744383560068</x:t>
  </x:si>
  <x:si>
    <x:t xml:space="preserve">L1</x:t>
  </x:si>
  <x:si>
    <x:t xml:space="preserve">KiCad; Würth Datenblatt; Mouser, abgerufen 2026-09-01</x:t>
  </x:si>
  <x:si>
    <x:t xml:space="preserve">Exakte MAPI-3012-Ausführung: 680 nH, 8,2 A, DCR 9 mΩ, AEC-Q200. Einzelpreis, Stand 2026-09-01; Preis und Verfügbarkeit vor Bestellung prüfen.</x:t>
  </x:si>
  <x:si>
    <x:t xml:space="preserve">0,68 UH|INDUCTOR_SMD:L_WUERTH_MAPI-3012</x:t>
  </x:si>
  <x:si>
    <x:t xml:space="preserve">ENP-00071</x:t>
  </x:si>
  <x:si>
    <x:t xml:space="preserve">Widerstand 1 MΩ SMD</x:t>
  </x:si>
  <x:si>
    <x:t xml:space="preserve">1 MΩ, 1 %, 0,25 W, 1206</x:t>
  </x:si>
  <x:si>
    <x:t xml:space="preserve">CRCW12061M00FKEA</x:t>
  </x:si>
  <x:si>
    <x:t xml:space="preserve">R5</x:t>
  </x:si>
  <x:si>
    <x:t xml:space="preserve">Elektrisch und mechanisch passend. Einzelpreis, Stand 2026-09-01; Preis und Verfügbarkeit vor Bestellung prüfen.</x:t>
  </x:si>
  <x:si>
    <x:t xml:space="preserve">1 MOHM 1%|RESISTOR_SMD:R_1206_3216METRIC_PAD1.30X1.75MM_HANDSOLDER</x:t>
  </x:si>
  <x:si>
    <x:t xml:space="preserve">ENP-00072</x:t>
  </x:si>
  <x:si>
    <x:t xml:space="preserve">Widerstand 71,5 kΩ SMD</x:t>
  </x:si>
  <x:si>
    <x:t xml:space="preserve">71,5 kΩ, 1 %, 0,25 W, 1206</x:t>
  </x:si>
  <x:si>
    <x:t xml:space="preserve">RC1206FR-0771K5L</x:t>
  </x:si>
  <x:si>
    <x:t xml:space="preserve">R6</x:t>
  </x:si>
  <x:si>
    <x:t xml:space="preserve">KiCad; DigiKey, abgerufen 2026-09-01</x:t>
  </x:si>
  <x:si>
    <x:t xml:space="preserve">Exakter Wert für den Feedback-Widerstand; DigiKey-Bestellnummer auf der Produktseite vor Bestellung ergänzen. Einzelpreis, Stand 2026-09-01; Preis und Verfügbarkeit vor Bestellung prüfen.</x:t>
  </x:si>
  <x:si>
    <x:t xml:space="preserve">71,5 KOHM 1%|RESISTOR_SMD:R_1206_3216METRIC_PAD1.30X1.75MM_HANDSOLDER</x:t>
  </x:si>
  <x:si>
    <x:t xml:space="preserve">ENP-00073</x:t>
  </x:si>
  <x:si>
    <x:t xml:space="preserve">Widerstand 220 kΩ SMD</x:t>
  </x:si>
  <x:si>
    <x:t xml:space="preserve">220 kΩ, 1 %, 0,25 W, 1206</x:t>
  </x:si>
  <x:si>
    <x:t xml:space="preserve">Walsin</x:t>
  </x:si>
  <x:si>
    <x:t xml:space="preserve">WR12X2203FTL</x:t>
  </x:si>
  <x:si>
    <x:t xml:space="preserve">R8</x:t>
  </x:si>
  <x:si>
    <x:t xml:space="preserve">KiCad; TME, abgerufen 2026-09-01</x:t>
  </x:si>
  <x:si>
    <x:t xml:space="preserve">Exakte 1-%-Ausführung; der gefundene Reichelt-Typ mit 5 % wurde nicht übernommen. Einzelpreis, Stand 2026-09-01; Preis und Verfügbarkeit vor Bestellung prüfen.</x:t>
  </x:si>
  <x:si>
    <x:t xml:space="preserve">220 KOHM 1%|RESISTOR_SMD:R_1206_3216METRIC_PAD1.30X1.75MM_HANDSOLDER</x:t>
  </x:si>
  <x:si>
    <x:t xml:space="preserve">ENP-00074</x:t>
  </x:si>
  <x:si>
    <x:t xml:space="preserve">Schalter</x:t>
  </x:si>
  <x:si>
    <x:t xml:space="preserve">Schiebeschalter DPDT</x:t>
  </x:si>
  <x:si>
    <x:t xml:space="preserve">DPDT</x:t>
  </x:si>
  <x:si>
    <x:t xml:space="preserve">EnvNode-Footprints:SW_Slide_CK_OS202011MS2QS1</x:t>
  </x:si>
  <x:si>
    <x:t xml:space="preserve">C&amp;K</x:t>
  </x:si>
  <x:si>
    <x:t xml:space="preserve">OS202011MS2QS1</x:t>
  </x:si>
  <x:si>
    <x:t xml:space="preserve">SW1</x:t>
  </x:si>
  <x:si>
    <x:t xml:space="preserve">KiCad; C&amp;K Datenblatt; Mouser, abgerufen 2026-09-01</x:t>
  </x:si>
  <x:si>
    <x:t xml:space="preserve">Exakt der dem Projekt-Footprint zugrunde liegende DPDT-On-On-Schalter. Einzelpreis, Stand 2026-09-01; Preis und Verfügbarkeit vor Bestellung prüfen.</x:t>
  </x:si>
  <x:si>
    <x:t xml:space="preserve">ENP-00075</x:t>
  </x:si>
  <x:si>
    <x:t xml:space="preserve">Boost-Regler LT8330</x:t>
  </x:si>
  <x:si>
    <x:t xml:space="preserve">LT8330, 3…40 V Eingang, 60 V/1 A Schalter, TSOT-23-6</x:t>
  </x:si>
  <x:si>
    <x:t xml:space="preserve">Analog Devices</x:t>
  </x:si>
  <x:si>
    <x:t xml:space="preserve">LT8330ES6#TRMPBF</x:t>
  </x:si>
  <x:si>
    <x:t xml:space="preserve">U4</x:t>
  </x:si>
  <x:si>
    <x:t xml:space="preserve">KiCad; Analog Devices Datenblatt; Mouser, abgerufen 2026-09-01</x:t>
  </x:si>
  <x:si>
    <x:t xml:space="preserve">Bestellbare E-Temperaturvariante im geforderten TSOT-23-6, Cut Tape. Einzelpreis, Stand 2026-09-01; Preis und Verfügbarkeit vor Bestellung prüfen.</x:t>
  </x:si>
  <x:si>
    <x:t xml:space="preserve">LT8330|PACKAGE_TO_SOT_SMD:SOT-23-6</x:t>
  </x:si>
  <x:si>
    <x:t xml:space="preserve">ENP-00076</x:t>
  </x:si>
  <x:si>
    <x:t xml:space="preserve">AnalogHydroPressure FullSize PCB Rev 0.2</x:t>
  </x:si>
  <x:si>
    <x:t xml:space="preserve">PCB: Modules/FullSize/AnalogHydroPressure/AnalogHydroPressure.kicad_pcb</x:t>
  </x:si>
  <x:si>
    <x:t xml:space="preserve">Aktueller KiCad-Stand einschließlich Busumschaltung auf Modulseite und F.Cu-Backfill; Fertiger und Fertigungsvariante festlegen.</x:t>
  </x:si>
  <x:si>
    <x:t xml:space="preserve">ANALOGHYDROPRESSURE FULLSIZE PCB REV 0.2|PCB: MODULES/FULLSIZE/ANALOGHYDROPRESSURE/ANALOGHYDROPRESSURE.KICAD_PCB</x:t>
  </x:si>
  <x:si>
    <x:t xml:space="preserve">ENP-00077</x:t>
  </x:si>
  <x:si>
    <x:t xml:space="preserve">Adapter</x:t>
  </x:si>
  <x:si>
    <x:t xml:space="preserve">SMD-Adapter SOT23-3 auf Raster 2,54 mm</x:t>
  </x:si>
  <x:si>
    <x:t xml:space="preserve">SOT23-3, Pitch 0,95 mm auf RM 2,54 mm</x:t>
  </x:si>
  <x:si>
    <x:t xml:space="preserve">ROTH-ELEKTRONIK</x:t>
  </x:si>
  <x:si>
    <x:t xml:space="preserve">RE909</x:t>
  </x:si>
  <x:si>
    <x:t xml:space="preserve">Bestand/Werkstatt</x:t>
  </x:si>
  <x:si>
    <x:t xml:space="preserve">Reichelt-Bestellung; Nutzerangabe 2026-09-01</x:t>
  </x:si>
  <x:si>
    <x:t xml:space="preserve">Prototyping-Adapter, 8,6 × 13,2 mm; derzeit keinem Kit oder KiCad-BOM zugeordnet.</x:t>
  </x:si>
  <x:si>
    <x:t xml:space="preserve">ENP-00078</x:t>
  </x:si>
  <x:si>
    <x:t xml:space="preserve">Metalloxidwiderstand 100 Ohm, 1 W, 5 %</x:t>
  </x:si>
  <x:si>
    <x:t xml:space="preserve">100 Ω, 1 W, 5 %, 500 V</x:t>
  </x:si>
  <x:si>
    <x:t xml:space="preserve">Resistor_THT:R_Axial_DIN0207_L6.3mm_D2.5mm_P10.16mm_Horizontal</x:t>
  </x:si>
  <x:si>
    <x:t xml:space="preserve">VITROHM</x:t>
  </x:si>
  <x:si>
    <x:t xml:space="preserve">POS100JT-52-100RAA</x:t>
  </x:si>
  <x:si>
    <x:t xml:space="preserve">Gegurteter THT-Metalloxidwiderstand, Bauform 0207; derzeit keinem Kit oder KiCad-BOM zugeordnet.</x:t>
  </x:si>
  <x:si>
    <x:t xml:space="preserve">ENP-00079</x:t>
  </x:si>
  <x:si>
    <x:t xml:space="preserve">Metalloxidwiderstand 100 kOhm, 1 W, 5 %</x:t>
  </x:si>
  <x:si>
    <x:t xml:space="preserve">100 kΩ, 1 W, 5 %, 500 V</x:t>
  </x:si>
  <x:si>
    <x:t xml:space="preserve">POS100JT-52-100KAA</x:t>
  </x:si>
  <x:si>
    <x:t xml:space="preserve">ENP-00080</x:t>
  </x:si>
  <x:si>
    <x:t xml:space="preserve">WEIPU SP13 Gehäusebuchse, 2-polig</x:t>
  </x:si>
  <x:si>
    <x:t xml:space="preserve">2-polig, Buchsenkontakte, IP68 gesteckt, Lötanschluss, Hinterwandmontage</x:t>
  </x:si>
  <x:si>
    <x:t xml:space="preserve">WEIPU</x:t>
  </x:si>
  <x:si>
    <x:t xml:space="preserve">SP1312/S2-N</x:t>
  </x:si>
  <x:si>
    <x:t xml:space="preserve">Gehäusemontage (offen)</x:t>
  </x:si>
  <x:si>
    <x:t xml:space="preserve">WEIPU SP13 Katalog, abgerufen 2026-09-01</x:t>
  </x:si>
  <x:si>
    <x:t xml:space="preserve">Passend zu Kabelstecker SP1310/P2-N (ENP-00081). 13 A / 250 V AC; Panel-Ausschnitt Ø13 mm. Einsatz und Pinbelegung im Kit festlegen.</x:t>
  </x:si>
  <x:si>
    <x:t xml:space="preserve">ENP-00081</x:t>
  </x:si>
  <x:si>
    <x:t xml:space="preserve">WEIPU SP13 Kabelstecker, 2-polig</x:t>
  </x:si>
  <x:si>
    <x:t xml:space="preserve">2-polig, Stiftkontakte, IP68 gesteckt, Lötanschluss</x:t>
  </x:si>
  <x:si>
    <x:t xml:space="preserve">SP1310/P2-N</x:t>
  </x:si>
  <x:si>
    <x:t xml:space="preserve">Passend zu Gehäusebuchse SP1312/S2-N (ENP-00080). 13 A / 250 V AC. Standardvariante I für Kabel-Ø 4–6,5 mm; Variante II für 5–8 mm vor Bestellung prüfen.</x:t>
  </x:si>
  <x:si>
    <x:t xml:space="preserve">ENP-00082</x:t>
  </x:si>
  <x:si>
    <x:t xml:space="preserve">WEIPU SP13 Gehäusestecker, 2-polig</x:t>
  </x:si>
  <x:si>
    <x:t xml:space="preserve">2-polig, Stiftkontakte, IP68 gesteckt, Lötanschluss, Hinterwandmontage</x:t>
  </x:si>
  <x:si>
    <x:t xml:space="preserve">SP1312/P2-N</x:t>
  </x:si>
  <x:si>
    <x:t xml:space="preserve">Passend zu Kabelbuchse SP1310/S2-N (ENP-00083). 13 A / 250 V AC; Panel-Ausschnitt Ø13 mm. Einsatz und Pinbelegung im Kit festlegen.</x:t>
  </x:si>
  <x:si>
    <x:t xml:space="preserve">ENP-00083</x:t>
  </x:si>
  <x:si>
    <x:t xml:space="preserve">WEIPU SP13 Kabelbuchse, 2-polig</x:t>
  </x:si>
  <x:si>
    <x:t xml:space="preserve">2-polig, Buchsenkontakte, IP68 gesteckt, Lötanschluss</x:t>
  </x:si>
  <x:si>
    <x:t xml:space="preserve">SP1310/S2-N</x:t>
  </x:si>
  <x:si>
    <x:t xml:space="preserve">Passend zu Gehäusestecker SP1312/P2-N (ENP-00082). 13 A / 250 V AC. Standardvariante I für Kabel-Ø 4–6,5 mm; Variante II für 5–8 mm vor Bestellung prüfen.</x:t>
  </x:si>
  <x:si>
    <x:t xml:space="preserve">ENP-00084</x:t>
  </x:si>
  <x:si>
    <x:t xml:space="preserve">WEIPU SP13 Gehäusebuchse, 4-polig</x:t>
  </x:si>
  <x:si>
    <x:t xml:space="preserve">4-polig, Buchsenkontakte, IP68 gesteckt, Lötanschluss, Hinterwandmontage</x:t>
  </x:si>
  <x:si>
    <x:t xml:space="preserve">SP1312/S4-N</x:t>
  </x:si>
  <x:si>
    <x:t xml:space="preserve">Passend zu Kabelstecker SP1310/P4-N (ENP-00085). 5 A / 200 V AC; Panel-Ausschnitt Ø13 mm. Vorgesehen für I2C/GPIO/Sensorik.</x:t>
  </x:si>
  <x:si>
    <x:t xml:space="preserve">ENP-00085</x:t>
  </x:si>
  <x:si>
    <x:t xml:space="preserve">WEIPU SP13 Kabelstecker, 4-polig</x:t>
  </x:si>
  <x:si>
    <x:t xml:space="preserve">4-polig, Stiftkontakte, IP68 gesteckt, Lötanschluss</x:t>
  </x:si>
  <x:si>
    <x:t xml:space="preserve">SP1310/P4-N</x:t>
  </x:si>
  <x:si>
    <x:t xml:space="preserve">Passend zu Gehäusebuchse SP1312/S4-N (ENP-00084). 5 A / 200 V AC. Standardvariante I für Kabel-Ø 4–6,5 mm; Variante II für 5–8 mm vor Bestellung prüfen.</x:t>
  </x:si>
  <x:si>
    <x:t xml:space="preserve">ENP-00086</x:t>
  </x:si>
  <x:si>
    <x:t xml:space="preserve">WEIPU SP13 Gehäusestecker, 4-polig</x:t>
  </x:si>
  <x:si>
    <x:t xml:space="preserve">4-polig, Stiftkontakte, IP68 gesteckt, Lötanschluss, Hinterwandmontage</x:t>
  </x:si>
  <x:si>
    <x:t xml:space="preserve">SP1312/P4-N</x:t>
  </x:si>
  <x:si>
    <x:t xml:space="preserve">Passend zu Kabelbuchse SP1310/S4-N (ENP-00087). 5 A / 200 V AC; Panel-Ausschnitt Ø13 mm. Vorgesehen für I2C/GPIO/Sensorik.</x:t>
  </x:si>
  <x:si>
    <x:t xml:space="preserve">ENP-00087</x:t>
  </x:si>
  <x:si>
    <x:t xml:space="preserve">WEIPU SP13 Kabelbuchse, 4-polig</x:t>
  </x:si>
  <x:si>
    <x:t xml:space="preserve">4-polig, Buchsenkontakte, IP68 gesteckt, Lötanschluss</x:t>
  </x:si>
  <x:si>
    <x:t xml:space="preserve">SP1310/S4-N</x:t>
  </x:si>
  <x:si>
    <x:t xml:space="preserve">Passend zu Gehäusestecker SP1312/P4-N (ENP-00086). 5 A / 200 V AC. Standardvariante I für Kabel-Ø 4–6,5 mm; Variante II für 5–8 mm vor Bestellung prüfen.</x:t>
  </x:si>
  <x:si>
    <x:t xml:space="preserve">ENP-00088</x:t>
  </x:si>
  <x:si>
    <x:t xml:space="preserve">DC-Einbaubuchse 5,5/2,1 mm – EnvNode 5-V-Versorgung</x:t>
  </x:si>
  <x:si>
    <x:t xml:space="preserve">5,5 × 2,1 mm, 2-polig, 20 V DC / 10 A, Lötanschluss</x:t>
  </x:si>
  <x:si>
    <x:t xml:space="preserve">Delock</x:t>
  </x:si>
  <x:si>
    <x:t xml:space="preserve">90174</x:t>
  </x:si>
  <x:si>
    <x:t xml:space="preserve">Reichelt Produktseite, abgerufen 2026-09-01</x:t>
  </x:si>
  <x:si>
    <x:t xml:space="preserve">Für 5-V-Versorgung in trockener Umgebung. Passend für DC-Stecker 5,5/2,1 mm mit 9,5 oder 12 mm Stiftlänge. Polarität im Kit verbindlich festlegen, empfohlen: Plus am Innenkontakt.</x:t>
  </x:si>
  <x:si>
    <x:t xml:space="preserve">ENP-00089</x:t>
  </x:si>
  <x:si>
    <x:t xml:space="preserve">USB-C-Buchse, 16-polig, USB 2.0, Top-Mount</x:t>
  </x:si>
  <x:si>
    <x:t xml:space="preserve">USB Type-C Receptacle, 16 Signalpins (+ 8 Dummy), 5 A, 48 V DC, SMD/TH, horizontal</x:t>
  </x:si>
  <x:si>
    <x:t xml:space="preserve">Connector_USB:USB_C_Receptacle_GCT_USB4105-xx-A_16P_TopMnt_Horizontal</x:t>
  </x:si>
  <x:si>
    <x:t xml:space="preserve">GCT</x:t>
  </x:si>
  <x:si>
    <x:t xml:space="preserve">USB4105-GF-A</x:t>
  </x:si>
  <x:si>
    <x:t xml:space="preserve">EnvNode Rev 0.2</x:t>
  </x:si>
  <x:si>
    <x:t xml:space="preserve">USB-C-Power-Eingang</x:t>
  </x:si>
  <x:si>
    <x:t xml:space="preserve">GCT USB4105 Spezifikation; KiCad Standardbibliothek; DigiKey, abgerufen 2026-09-02</x:t>
  </x:si>
  <x:si>
    <x:t xml:space="preserve">Power-only mit Symbol Connector:USB_C_Receptacle_USB2.0_16P. Robuste Top-Mount-Ausführung mit vier durchkontaktierten Shield-/Haltezungen. D+/D− und SBU1/SBU2 NC; Shield an GND; CC1 und CC2 jeweils separat über 5,1 kΩ nach GND.</x:t>
  </x:si>
  <x:si>
    <x:t xml:space="preserve">ENP-00090</x:t>
  </x:si>
  <x:si>
    <x:t xml:space="preserve">SMD-Widerstand 5,1 kOhm, 1 %, 1206</x:t>
  </x:si>
  <x:si>
    <x:t xml:space="preserve">5,1 kΩ, 1 %, 250 mW</x:t>
  </x:si>
  <x:si>
    <x:t xml:space="preserve">Vishay Dale</x:t>
  </x:si>
  <x:si>
    <x:t xml:space="preserve">CRCW12065K10FKEA</x:t>
  </x:si>
  <x:si>
    <x:t xml:space="preserve">USB-C CC1/CC2 (2×)</x:t>
  </x:si>
  <x:si>
    <x:t xml:space="preserve">DigiKey Produktseite, abgerufen 2026-09-02</x:t>
  </x:si>
  <x:si>
    <x:t xml:space="preserve">Zwei Stück als getrennte Rd-Widerstände: je einer von CC1 bzw. CC2 nach GND; CC1 und CC2 nicht miteinander verbinden.</x:t>
  </x:si>
  <x:si>
    <x:t xml:space="preserve">ENP-00091</x:t>
  </x:si>
  <x:si>
    <x:t xml:space="preserve">Präzisions-Buchsenleiste 1x8, 2,54 mm, gerade</x:t>
  </x:si>
  <x:si>
    <x:t xml:space="preserve">1x8, 2,54 mm, THT, gerade, Präzisionskontakte, 3 A / 150 V</x:t>
  </x:si>
  <x:si>
    <x:t xml:space="preserve">Connector_PinSocket_2.54mm:PinSocket_1x08_P2.54mm_Vertical</x:t>
  </x:si>
  <x:si>
    <x:t xml:space="preserve">Binder MPE</x:t>
  </x:si>
  <x:si>
    <x:t xml:space="preserve">115-1-008-1-0-MTF-XS0</x:t>
  </x:si>
  <x:si>
    <x:t xml:space="preserve">Reichelt Produktseite, abgerufen 2026-09-03</x:t>
  </x:si>
  <x:si>
    <x:t xml:space="preserve">Gerade THT-Präzisionsbuchsenleiste mit gedrehten Kontakten; Höhe 7 mm, UL 94V-0, Temperaturbereich −55 bis +125 °C. Derzeit keinem Kit oder KiCad-BOM zugeordnet.</x:t>
  </x:si>
  <x:si>
    <x:t xml:space="preserve">ENP-00092</x:t>
  </x:si>
  <x:si>
    <x:t xml:space="preserve">Dual-MOSFET N-/P-Kanal, SO-8</x:t>
  </x:si>
  <x:si>
    <x:t xml:space="preserve">N-/P-Kanal, ±30 V, 1,4 W</x:t>
  </x:si>
  <x:si>
    <x:t xml:space="preserve">Infineon</x:t>
  </x:si>
  <x:si>
    <x:t xml:space="preserve">IRF7309PBF</x:t>
  </x:si>
  <x:si>
    <x:t xml:space="preserve">Komplementäres N-/P-Kanal-MOSFET-Paar im SO-8-Gehäuse; derzeit keinem Kit oder KiCad-BOM zugeordnet.</x:t>
  </x:si>
  <x:si>
    <x:t xml:space="preserve">ENP-00093</x:t>
  </x:si>
  <x:si>
    <x:t xml:space="preserve">SMD-Widerstand 100 kOhm, 5 %, 1206</x:t>
  </x:si>
  <x:si>
    <x:t xml:space="preserve">100 kΩ, 5 %, 250 mW, 200 V, ±100 ppm/K</x:t>
  </x:si>
  <x:si>
    <x:t xml:space="preserve">RC1206JR-07100KL</x:t>
  </x:si>
  <x:si>
    <x:t xml:space="preserve">Nicht mit ENP-00016 zusammenführen: Dieser Artikel hat 5 % Toleranz; ENP-00016 hat 0,1 %. Derzeit keinem Kit oder KiCad-BOM zugeordnet.</x:t>
  </x:si>
  <x:si>
    <x:t xml:space="preserve">ENP-00094</x:t>
  </x:si>
  <x:si>
    <x:t xml:space="preserve">SMD-Widerstand 10 kOhm, 5 %, 1206</x:t>
  </x:si>
  <x:si>
    <x:t xml:space="preserve">10 kΩ, 5 %, 250 mW, 200 V, ±100 ppm/K</x:t>
  </x:si>
  <x:si>
    <x:t xml:space="preserve">RC1206JR-0710KL</x:t>
  </x:si>
  <x:si>
    <x:t xml:space="preserve">Nicht mit ENP-00018 zusammenführen: Dieser Artikel hat 5 % Toleranz; ENP-00018 hat 0,1 %. Derzeit keinem Kit oder KiCad-BOM zugeordnet.</x:t>
  </x:si>
  <x:si>
    <x:t xml:space="preserve">ENP-00095</x:t>
  </x:si>
  <x:si>
    <x:t xml:space="preserve">Hex-Inverter mit Schmitt-Trigger, SO-14</x:t>
  </x:si>
  <x:si>
    <x:t xml:space="preserve">4000B, 6-fach, 3–15 V, SO-14</x:t>
  </x:si>
  <x:si>
    <x:t xml:space="preserve">Package_SO:SOIC-14_3.9x8.7mm_P1.27mm</x:t>
  </x:si>
  <x:si>
    <x:t xml:space="preserve">FREI</x:t>
  </x:si>
  <x:si>
    <x:t xml:space="preserve">Reichelt nennt keinen konkreten Hersteller und keine MPN; funktional als HEF40106/HCF40106/CD40106 beschrieben. Vor BOM-Zuordnung die tatsächliche Gehäusebeschriftung prüfen.</x:t>
  </x:si>
  <x:si>
    <x:t xml:space="preserve">SMD 40106</x:t>
  </x:si>
  <x:si>
    <x:t xml:space="preserve">ENP-00096</x:t>
  </x:si>
  <x:si>
    <x:t xml:space="preserve">Elektrolytkondensator 220 µF SMD, Low ESR</x:t>
  </x:si>
  <x:si>
    <x:t xml:space="preserve">220 µF, ±20 %, 16 V, 105 °C, 2000 h, ESR 160 mΩ</x:t>
  </x:si>
  <x:si>
    <x:t xml:space="preserve">EEEFPC221XAP</x:t>
  </x:si>
  <x:si>
    <x:t xml:space="preserve">Panasonic Serie V-FP; Ø 6,3 × 7,7 mm, Ripple-Strom 600 mA. Polarität beachten; derzeit keinem Kit oder KiCad-BOM zugeordnet.</x:t>
  </x:si>
  <x:si>
    <x:t xml:space="preserve">ENP-00097</x:t>
  </x:si>
  <x:si>
    <x:t xml:space="preserve">Elektrolytkondensator 470 µF SMD, Low ESR</x:t>
  </x:si>
  <x:si>
    <x:t xml:space="preserve">470 µF, ±20 %, 16 V, 105 °C, 5000 h, ESR 160 mΩ</x:t>
  </x:si>
  <x:si>
    <x:t xml:space="preserve">Capacitor_SMD:CP_Elec_8x10.2</x:t>
  </x:si>
  <x:si>
    <x:t xml:space="preserve">Europe Chemi-Con</x:t>
  </x:si>
  <x:si>
    <x:t xml:space="preserve">EMZL160ARA471MHA0G</x:t>
  </x:si>
  <x:si>
    <x:t xml:space="preserve">Europe Chemi-Con Serie MZL; Ø 8 × 10 mm, Ripple-Strom 600 mA. Polarität beachten; derzeit keinem Kit oder KiCad-BOM zugeordnet.</x:t>
  </x:si>
  <x:si>
    <x:t xml:space="preserve">ENP-00098</x:t>
  </x:si>
  <x:si>
    <x:t xml:space="preserve">JST-XH Stiftleiste 1x2, abgewinkelt</x:t>
  </x:si>
  <x:si>
    <x:t xml:space="preserve">1x2, 2,50 mm, THT, 90°, 250 V / 3 A</x:t>
  </x:si>
  <x:si>
    <x:t xml:space="preserve">Connector_JST:JST_XH_S2B-XH-A-1_1x02_P2.50mm_Horizontal</x:t>
  </x:si>
  <x:si>
    <x:t xml:space="preserve">S2B-XH-A</x:t>
  </x:si>
  <x:si>
    <x:t xml:space="preserve">Abgewinkelte Print-Stiftleiste der JST-XH-Serie; Rastermaß 2,50 mm, nicht 2,54 mm. Derzeit keinem Kit oder KiCad-BOM zugeordnet.</x:t>
  </x:si>
  <x:si>
    <x:t xml:space="preserve">ENP-00099</x:t>
  </x:si>
  <x:si>
    <x:t xml:space="preserve">SMD-Widerstand 1 kOhm, 1 %, 1206</x:t>
  </x:si>
  <x:si>
    <x:t xml:space="preserve">1 kΩ, 1 %, 250 mW, 200 V, ±100 ppm/K</x:t>
  </x:si>
  <x:si>
    <x:t xml:space="preserve">WR12X1001FTL</x:t>
  </x:si>
  <x:si>
    <x:t xml:space="preserve">Nicht mit ENP-00036 zusammenführen: gleicher Nennwert und gleiche Toleranz, aber anderer Hersteller und andere MPN. Derzeit keinem Kit oder KiCad-BOM zugeordnet.</x:t>
  </x:si>
  <x:si>
    <x:t xml:space="preserve">ENP-00100</x:t>
  </x:si>
  <x:si>
    <x:t xml:space="preserve">Rot, 624 nm, 40 mcd, 160°, Vf max. 1,7 V, IF max. 20 mA</x:t>
  </x:si>
  <x:si>
    <x:t xml:space="preserve">Everlight</x:t>
  </x:si>
  <x:si>
    <x:t xml:space="preserve">15-21SURD/S530-A3/TR8</x:t>
  </x:si>
  <x:si>
    <x:t xml:space="preserve">Nicht mit ENP-00064 zusammenführen: andere MPN, Lichtstärke, Wellenlänge und Abstrahlwinkel. Polarität beachten; derzeit keinem Kit oder KiCad-BOM zugeordnet.</x:t>
  </x:si>
  <x:si>
    <x:t xml:space="preserve">ENP-00101</x:t>
  </x:si>
  <x:si>
    <x:t xml:space="preserve">Steckbrücke</x:t>
  </x:si>
  <x:si>
    <x:t xml:space="preserve">Kurzschlussbrücke 2,54 mm, schwarz, mit Grifflasche</x:t>
  </x:si>
  <x:si>
    <x:t xml:space="preserve">2-polig, Raster 2,54 mm, vergoldet, schwarz, mit Grifflasche</x:t>
  </x:si>
  <x:si>
    <x:t xml:space="preserve">Reichelt nennt keinen konkreten Hersteller und keine MPN. Lose Steckbrücke für 2,54-mm-Stiftleisten; derzeit keinem Kit oder KiCad-BOM zugeordnet.</x:t>
  </x:si>
  <x:si>
    <x:t xml:space="preserve">JUMPER 2,54GL SW</x:t>
  </x:si>
  <x:si>
    <x:t xml:space="preserve">ENP-00102</x:t>
  </x:si>
  <x:si>
    <x:t xml:space="preserve">EEPROM</x:t>
  </x:si>
  <x:si>
    <x:t xml:space="preserve">I²C-EEPROM 32 Kbit, SOIC-8</x:t>
  </x:si>
  <x:si>
    <x:t xml:space="preserve">32 Kbit, I²C, 2,5–5,5 V</x:t>
  </x:si>
  <x:si>
    <x:t xml:space="preserve">24LC32A-I/SN</x:t>
  </x:si>
  <x:si>
    <x:t xml:space="preserve">EnvNode Mini Rev 0.3; Empty FullSize/HalfSize SMD/THT Rev 0.3; DuoRelay Rev 0.3; AnalogHydroPressure Rev 0.3; ESP32 Core Dual Power Rev 0.3</x:t>
  </x:si>
  <x:si>
    <x:t xml:space="preserve">EnvNode Mini U4; Empty/DuoRelay U2; AnalogHydroPressure U3; ESP32 Core Dual Power ORing U3</x:t>
  </x:si>
  <x:si>
    <x:t xml:space="preserve">Kit_ID</x:t>
  </x:si>
  <x:si>
    <x:t xml:space="preserve">Kit_Name</x:t>
  </x:si>
  <x:si>
    <x:t xml:space="preserve">Revision</x:t>
  </x:si>
  <x:si>
    <x:t xml:space="preserve">Status</x:t>
  </x:si>
  <x:si>
    <x:t xml:space="preserve">KiCad_Schematic</x:t>
  </x:si>
  <x:si>
    <x:t xml:space="preserve">KiCad_PCB</x:t>
  </x:si>
  <x:si>
    <x:t xml:space="preserve">ENK-00001</x:t>
  </x:si>
  <x:si>
    <x:t xml:space="preserve">EnvNode Mini Bausatz</x:t>
  </x:si>
  <x:si>
    <x:t xml:space="preserve">0.2</x:t>
  </x:si>
  <x:si>
    <x:t xml:space="preserve">Entwurf</x:t>
  </x:si>
  <x:si>
    <x:t xml:space="preserve">hardware/kicad/MainBoards/EnvNode Mini/EnvNode Mini.kicad_sch</x:t>
  </x:si>
  <x:si>
    <x:t xml:space="preserve">hardware/kicad/MainBoards/EnvNode Mini/EnvNode Mini.kicad_pcb</x:t>
  </x:si>
  <x:si>
    <x:t xml:space="preserve">Elektronischer Grundumfang vollständig aus aktuellem KiCad-Stand übernommen. Externe 5-V-Zuführung, Pigtail und weitere Montagekomponenten werden anschließend ergänzt.</x:t>
  </x:si>
  <x:si>
    <x:t xml:space="preserve">ENK-00002</x:t>
  </x:si>
  <x:si>
    <x:t xml:space="preserve">DuoRelay FullSize Bausatz</x:t>
  </x:si>
  <x:si>
    <x:t xml:space="preserve">hardware/kicad/Modules/FullSize/DuoRelay/DuoRelay.kicad_sch</x:t>
  </x:si>
  <x:si>
    <x:t xml:space="preserve">hardware/kicad/Modules/FullSize/DuoRelay/DuoRelay.kicad_pcb</x:t>
  </x:si>
  <x:si>
    <x:t xml:space="preserve">Aktueller bestückter KiCad-Umfang plus PCB; DNP-Positionen enthalten und als DNP gekennzeichnet. Mechanische Zusatzteile können anschließend ergänzt werden.</x:t>
  </x:si>
  <x:si>
    <x:t xml:space="preserve">ENK-00003</x:t>
  </x:si>
  <x:si>
    <x:t xml:space="preserve">AnalogHydroPressure FullSize Bausatz</x:t>
  </x:si>
  <x:si>
    <x:t xml:space="preserve">hardware/kicad/Modules/FullSize/AnalogHydroPressure/AnalogHydroPressure.kicad_sch</x:t>
  </x:si>
  <x:si>
    <x:t xml:space="preserve">hardware/kicad/Modules/FullSize/AnalogHydroPressure/AnalogHydroPressure.kicad_pcb</x:t>
  </x:si>
  <x:si>
    <x:t xml:space="preserve">Aktueller bestückter KiCad-Umfang einschließlich Busumschaltung plus PCB; DNP-Positionen enthalten und als DNP gekennzeichnet. Mechanische Zusatzteile können anschließend ergänzt werden.</x:t>
  </x:si>
  <x:si>
    <x:t xml:space="preserve">ENK-00004</x:t>
  </x:si>
  <x:si>
    <x:t xml:space="preserve">RainDetector Bausatz</x:t>
  </x:si>
  <x:si>
    <x:t xml:space="preserve">1.0</x:t>
  </x:si>
  <x:si>
    <x:t xml:space="preserve">hardware/kicad/Sensors/Raindetector/Raindetector.kicad_sch</x:t>
  </x:si>
  <x:si>
    <x:t xml:space="preserve">hardware/kicad/Sensors/Raindetector/Raindetector.kicad_pcb</x:t>
  </x:si>
  <x:si>
    <x:t xml:space="preserve">Aktueller bestückter KiCad-Umfang plus PCB. Stall.biz/Weatherman-Detektorplatine und deren 1×8-SMD-Buchsenleisten ENP-00021 gehören zur Gegenseite und sind nicht Bestandteil dieses Kits. Keine DNP-Positionen.</x:t>
  </x:si>
  <x:si>
    <x:t xml:space="preserve">Kit_Revision</x:t>
  </x:si>
  <x:si>
    <x:t xml:space="preserve">Position</x:t>
  </x:si>
  <x:si>
    <x:t xml:space="preserve">RefDes</x:t>
  </x:si>
  <x:si>
    <x:t xml:space="preserve">Part_Number</x:t>
  </x:si>
  <x:si>
    <x:t xml:space="preserve">Quantity</x:t>
  </x:si>
  <x:si>
    <x:t xml:space="preserve">Build_Status</x:t>
  </x:si>
  <x:si>
    <x:t xml:space="preserve">Source_Type</x:t>
  </x:si>
  <x:si>
    <x:t xml:space="preserve">Value</x:t>
  </x:si>
  <x:si>
    <x:t xml:space="preserve">Footprint</x:t>
  </x:si>
  <x:si>
    <x:t xml:space="preserve">Unit_Price_EUR</x:t>
  </x:si>
  <x:si>
    <x:t xml:space="preserve">Position_Price_EUR</x:t>
  </x:si>
  <x:si>
    <x:t xml:space="preserve">C1</x:t>
  </x:si>
  <x:si>
    <x:t xml:space="preserve">Bestücken</x:t>
  </x:si>
  <x:si>
    <x:t xml:space="preserve">C3</x:t>
  </x:si>
  <x:si>
    <x:t xml:space="preserve">C4</x:t>
  </x:si>
  <x:si>
    <x:t xml:space="preserve">C5</x:t>
  </x:si>
  <x:si>
    <x:t xml:space="preserve">D1</x:t>
  </x:si>
  <x:si>
    <x:t xml:space="preserve">D2</x:t>
  </x:si>
  <x:si>
    <x:t xml:space="preserve">J2</x:t>
  </x:si>
  <x:si>
    <x:t xml:space="preserve">J3</x:t>
  </x:si>
  <x:si>
    <x:t xml:space="preserve">J4</x:t>
  </x:si>
  <x:si>
    <x:t xml:space="preserve">J5</x:t>
  </x:si>
  <x:si>
    <x:t xml:space="preserve">R2</x:t>
  </x:si>
  <x:si>
    <x:t xml:space="preserve">R4</x:t>
  </x:si>
  <x:si>
    <x:t xml:space="preserve">U3</x:t>
  </x:si>
  <x:si>
    <x:t xml:space="preserve">Mechanical</x:t>
  </x:si>
  <x:si>
    <x:t xml:space="preserve">Assembly</x:t>
  </x:si>
  <x:si>
    <x:t xml:space="preserve">J6</x:t>
  </x:si>
  <x:si>
    <x:t xml:space="preserve">DNP</x:t>
  </x:si>
  <x:si>
    <x:t xml:space="preserve">D4</x:t>
  </x:si>
  <x:si>
    <x:t xml:space="preserve">K1</x:t>
  </x:si>
  <x:si>
    <x:t xml:space="preserve">K2</x:t>
  </x:si>
  <x:si>
    <x:t xml:space="preserve">Q2</x:t>
  </x:si>
  <x:si>
    <x:t xml:space="preserve">C7</x:t>
  </x:si>
  <x:si>
    <x:t xml:space="preserve">C8</x:t>
  </x:si>
  <x:si>
    <x:t xml:space="preserve">R7</x:t>
  </x:si>
  <x:si>
    <x:t xml:space="preserve">Bestellliste für EnvNode-Bausätze</x:t>
  </x:si>
  <x:si>
    <x:t xml:space="preserve">Stückzahlen wählen; die Liste aggregiert gleiche Parts über alle Kits. DNP ist standardmäßig ausgeschlossen.</x:t>
  </x:si>
  <x:si>
    <x:t xml:space="preserve">Bausatz</x:t>
  </x:si>
  <x:si>
    <x:t xml:space="preserve">Stückzahl</x:t>
  </x:si>
  <x:si>
    <x:t xml:space="preserve">Option</x:t>
  </x:si>
  <x:si>
    <x:t xml:space="preserve">Auswahl</x:t>
  </x:si>
  <x:si>
    <x:t xml:space="preserve">Optional bestellen</x:t>
  </x:si>
  <x:si>
    <x:t xml:space="preserve">Nein</x:t>
  </x:si>
  <x:si>
    <x:t xml:space="preserve">DNP bestellen</x:t>
  </x:si>
  <x:si>
    <x:t xml:space="preserve">Ja</x:t>
  </x:si>
  <x:si>
    <x:t xml:space="preserve">Hinweis</x:t>
  </x:si>
  <x:si>
    <x:t xml:space="preserve">Bestellmenge wird bei hinterlegter Verpackungseinheit auf das nächste Vielfache aufgerundet.</x:t>
  </x:si>
  <x:si>
    <x:t xml:space="preserve">Supplier</x:t>
  </x:si>
  <x:si>
    <x:t xml:space="preserve">Supplier_PN</x:t>
  </x:si>
  <x:si>
    <x:t xml:space="preserve">Bedarf</x:t>
  </x:si>
  <x:si>
    <x:t xml:space="preserve">Packaging_Unit</x:t>
  </x:si>
  <x:si>
    <x:t xml:space="preserve">Bedarf_gerundet</x:t>
  </x:si>
  <x:si>
    <x:t xml:space="preserve">Bedarfswert_EUR</x:t>
  </x:si>
  <x:si>
    <x:t xml:space="preserve">Import_Status</x:t>
  </x:si>
  <x:si>
    <x:t xml:space="preserve">URL</x:t>
  </x:si>
  <x:si>
    <x:t xml:space="preserve">Bestand</x:t>
  </x:si>
  <x:si>
    <x:t xml:space="preserve">Bestellt</x:t>
  </x:si>
  <x:si>
    <x:t xml:space="preserve">Deckung</x:t>
  </x:si>
  <x:si>
    <x:t xml:space="preserve">Bestellvorschlag</x:t>
  </x:si>
  <x:si>
    <x:t xml:space="preserve">Bestellmenge</x:t>
  </x:si>
  <x:si>
    <x:t xml:space="preserve">Bestand und offene Bestellungen</x:t>
  </x:si>
  <x:si>
    <x:t xml:space="preserve">Etikettendruck Avery 6173</x:t>
  </x:si>
  <x:si>
    <x:t xml:space="preserve">Gelb markierte Felder werden manuell gepflegt: Lieferant, Bestand, Bestellt, voraussichtlicher Termin und Etikett. Technische Angaben stammen aus Parts; Bestelldaten aus Part_Suppliers.</x:t>
  </x:si>
  <x:si>
    <x:t xml:space="preserve">Startetikett</x:t>
  </x:si>
  <x:si>
    <x:t xml:space="preserve">Startzeile</x:t>
  </x:si>
  <x:si>
    <x:t xml:space="preserve">Voraussichtlicher_Termin</x:t>
  </x:si>
  <x:si>
    <x:t xml:space="preserve">Etikett</x:t>
  </x:si>
  <x:si>
    <x:t xml:space="preserve">Startspalte</x:t>
  </x:si>
  <x:si>
    <x:t xml:space="preserve">_Druckfolge</x:t>
  </x:si>
  <x:si>
    <x:t xml:space="preserve">eBay</x:t>
  </x:si>
  <x:si>
    <x:t xml:space="preserve">nicht drucken</x:t>
  </x:si>
  <x:si>
    <x:t xml:space="preserve">Raster</x:t>
  </x:si>
  <x:si>
    <x:t xml:space="preserve">3 x 8 (24)</x:t>
  </x:si>
  <x:si>
    <x:t xml:space="preserve">Etikett = drucken</x:t>
  </x:si>
  <x:si>
    <x:t xml:space="preserve">Reichelt</x:t>
  </x:si>
  <x:si>
    <x:t xml:space="preserve">Drucken</x:t>
  </x:si>
  <x:si>
    <x:t xml:space="preserve">Blatt Etiketten_Druck</x:t>
  </x:si>
  <x:si>
    <x:t xml:space="preserve">ab Lager</x:t>
  </x:si>
  <x:si>
    <x:t xml:space="preserve">Noch festlegen</x:t>
  </x:si>
  <x:si>
    <x:t xml:space="preserve">28.08.2026</x:t>
  </x:si>
  <x:si>
    <x:t xml:space="preserve">drucken</x:t>
  </x:si>
  <x:si>
    <x:t xml:space="preserve">DigiKey</x:t>
  </x:si>
  <x:si>
    <x:t xml:space="preserve">RS</x:t>
  </x:si>
  <x:si>
    <x:t xml:space="preserve">Mouser</x:t>
  </x:si>
  <x:si>
    <x:t xml:space="preserve">TME</x:t>
  </x:si>
  <x:si>
    <x:t xml:space="preserve">14.09.2026</x:t>
  </x:si>
  <x:si>
    <x:t xml:space="preserve">Purchase_Unit</x:t>
  </x:si>
  <x:si>
    <x:t xml:space="preserve">Preferred</x:t>
  </x:si>
  <x:si>
    <x:t xml:space="preserve">Last_Checked</x:t>
  </x:si>
  <x:si>
    <x:t xml:space="preserve">Part_Supplier_Key</x:t>
  </x:si>
  <x:si>
    <x:t xml:space="preserve">Preferred_Key</x:t>
  </x:si>
  <x:si>
    <x:t xml:space="preserve">https://www.ebay.de/itm/175537690511?_skw=jst+ph+set&amp;itmmeta=01M0AMR98NFGJV2FS30RR17BQ3&amp;hash=item28dedc978f:g:A3kAAOSw229j0YAt&amp;itmprp=enc%3AAQALAAAA0GfYFPkwiKCW4ZNSs2u11xAqJnJgTdJ%2FIJ1I2fxZKRMDiu6X0YrWY5D3w4DQOc5o%2FaOXGmcjIgTnzr6ZSr5vXhmBWytsd%2BVqmj0wzTE8DG%2BTs8RqbjdKpejAkG5A8BZqR0CHVQRoh5S5YInpcAcul6x8Wctn1VQHQBXPR%2FXsSs9oWck2%2BQ7koAWk9BEZEN9dagXH6v3Mmz5PHheo1V3%2ByPo1rz9Au%2BRLA4rvEIjR474lCC3Jyl3mD3occXmLZjl7i6IY9cBlKcCfkbIa4zkXYnk%3D%7Ctkp%3ABk9SR9aU4dSCaA</x:t>
  </x:si>
  <x:si>
    <x:t xml:space="preserve">Stk</x:t>
  </x:si>
  <x:si>
    <x:t xml:space="preserve">https://www.ebay.de/itm/173373182853?var=472082388514&amp;mkevt=1&amp;mkcid=1&amp;mkrid=707-53477-19255-0&amp;campid=5338900900&amp;toolid=20006&amp;_ul=DE&amp;customid=56357.a3ed6a6e290d515ebd3c2719dda804fc89ac0aba&amp;gclid=Cj0KCQjwkOvTBhDgARIsAKUNyRushMKf0tSoocu00ZtebiM-JK-GbXhf7yKDhPSZVdsZL-EEyywLbIcaAndsEALw_wcB&amp;gbraid=0AAAAAqbaHat7Q_3DRZ3ZEIWwp68U1IjOi&amp;adtype=pla&amp;loc_physical_ms=9041684</x:t>
  </x:si>
  <x:si>
    <x:t xml:space="preserve">BKL 10120946</x:t>
  </x:si>
  <x:si>
    <x:t xml:space="preserve">https://www.reichelt.de/de/de/shop/produkt/buchsenleiste_2_54mm_1x4_gerade-266671</x:t>
  </x:si>
  <x:si>
    <x:t xml:space="preserve">FIS BL1 20 G</x:t>
  </x:si>
  <x:si>
    <x:t xml:space="preserve">https://www.reichelt.de/de/de/shop/produkt/buchsenleiste_2_54mm_1x20_trennbar_vergoldet-283787</x:t>
  </x:si>
  <x:si>
    <x:t xml:space="preserve">VIS CRCW12064K7</x:t>
  </x:si>
  <x:si>
    <x:t xml:space="preserve">https://www.reichelt.de/de/de/shop/produkt/smd-widerstand_1206_4_7_kohm_250_mw_1_-238119</x:t>
  </x:si>
  <x:si>
    <x:t xml:space="preserve">KEM X7R1206A100N</x:t>
  </x:si>
  <x:si>
    <x:t xml:space="preserve">https://www.reichelt.de/de/de/shop/produkt/vielschicht_kerko_1206_100_nf_10_x7r_100_v_125_c-207151</x:t>
  </x:si>
  <x:si>
    <x:t xml:space="preserve">https://www.reichelt.de/de/de/shop/produkt/mlcc_1206_10_f_25_v_-10_x7r-409262</x:t>
  </x:si>
  <x:si>
    <x:t xml:space="preserve">TAJ 3528 47/10</x:t>
  </x:si>
  <x:si>
    <x:t xml:space="preserve">https://www.reichelt.de/de/de/shop/produkt/smd-tantal_kondensator_47_f_10_v-167014</x:t>
  </x:si>
  <x:si>
    <x:t xml:space="preserve">LM 3940 IMP-3</x:t>
  </x:si>
  <x:si>
    <x:t xml:space="preserve">https://www.reichelt.de/de/de/shop/produkt/ldo-spannungsregler_fix_3_3_vout_1_a_sot-223-109407?search=LM3940%2520&amp;</x:t>
  </x:si>
  <x:si>
    <x:t xml:space="preserve">https://jlcpcb.com/file/download?uuid=eef69d2d694441c8ab71168d8447cb4c&amp;businessType=example</x:t>
  </x:si>
  <x:si>
    <x:t xml:space="preserve">JST PH2P ST</x:t>
  </x:si>
  <x:si>
    <x:t xml:space="preserve">https://www.reichelt.de/de/de/shop/produkt/jst_-_stiftleiste_gerade_1x2-polig_-_ph-185049</x:t>
  </x:si>
  <x:si>
    <x:t xml:space="preserve">https://www.reichelt.de/de/de/shop/produkt/mosfet_n-ch_30v_5_7a_0_018r_sot-23-166490</x:t>
  </x:si>
  <x:si>
    <x:t xml:space="preserve">DEBO SENS SHTC3</x:t>
  </x:si>
  <x:si>
    <x:t xml:space="preserve">https://www.reichelt.de/de/de/shop/produkt/arduino_-_temperatur-_feuchtigkeitssensor_shtc3-375947</x:t>
  </x:si>
  <x:si>
    <x:t xml:space="preserve">DEBO ADC 16BIT</x:t>
  </x:si>
  <x:si>
    <x:t xml:space="preserve">https://www.reichelt.de/de/de/shop/produkt/entwicklerboards_-_adc_4_kanal_16-bit_ads1115-372499?search=ADS1115&amp;#open-modal-image-big-slider</x:t>
  </x:si>
  <x:si>
    <x:t xml:space="preserve">PAN ERA8AEB104V</x:t>
  </x:si>
  <x:si>
    <x:t xml:space="preserve">https://www.reichelt.de/de/de/shop/produkt/smd-widerstand_1206_100_kohm_250_mw_0_1_-238081</x:t>
  </x:si>
  <x:si>
    <x:t xml:space="preserve">SMD 1/4W 100</x:t>
  </x:si>
  <x:si>
    <x:t xml:space="preserve">https://www.reichelt.de/de/de/shop/produkt/smd-widerstand_1206_100_ohm_250_mw_5_-18242</x:t>
  </x:si>
  <x:si>
    <x:t xml:space="preserve">PAN ERA8AEB103V</x:t>
  </x:si>
  <x:si>
    <x:t xml:space="preserve">https://www.reichelt.de/de/de/shop/produkt/smd-widerstand_1206_10_kohm_250_mw_0_1_-238080</x:t>
  </x:si>
  <x:si>
    <x:t xml:space="preserve">BKL 10120505</x:t>
  </x:si>
  <x:si>
    <x:t xml:space="preserve">https://www.reichelt.de/de/de/shop/produkt/stiftleiste_8-polig_raster_2_54mm-235656</x:t>
  </x:si>
  <x:si>
    <x:t xml:space="preserve">ICM 7555 IBAZ</x:t>
  </x:si>
  <x:si>
    <x:t xml:space="preserve">https://www.reichelt.de/de/de/shop/produkt/timer-ic_typ_555_so-8-188889</x:t>
  </x:si>
  <x:si>
    <x:t xml:space="preserve">FIS BL 3 8G</x:t>
  </x:si>
  <x:si>
    <x:t xml:space="preserve">https://www.reichelt.de/de/de/shop/produkt/buchsenleiste_1-reihig_1_x_8_-_2_54_mm-407106#open-modal-image-big-slider</x:t>
  </x:si>
  <x:si>
    <x:t xml:space="preserve">RND 1551206 AF</x:t>
  </x:si>
  <x:si>
    <x:t xml:space="preserve">https://www.reichelt.de/de/de/shop/produkt/smd-widerstand_1206_47_ohm_250_mw_5_-250359</x:t>
  </x:si>
  <x:si>
    <x:t xml:space="preserve">FIN 34.51.7 5V</x:t>
  </x:si>
  <x:si>
    <x:t xml:space="preserve">https://www.reichelt.de/de/de/shop/produkt/steck-printrelais_1_co_6_a_5_v_dc_sensitiv-259179?PROVID=2788&amp;gad_source=1&amp;gad_campaignid=21154720511&amp;gbraid=0AAAAADwnxtb50MtqKwtKae8MAeGQARqWX&amp;gclid=CjwKCAjw7p_UBhBlEiwAhpIs72D6cK8XQyuxcrvb0uftoYY3618BT3lTyYSWWSou1J99G9udBcpsbhoCJbcQAvD_BwE</x:t>
  </x:si>
  <x:si>
    <x:t xml:space="preserve">24AA025E64T-I/OTCT-ND</x:t>
  </x:si>
  <x:si>
    <x:t xml:space="preserve">https://www.digikey.de/de/products/detail/microchip-technology/24AA025E64T-I-OT/3908633</x:t>
  </x:si>
  <x:si>
    <x:t xml:space="preserve">JST PH4P ST</x:t>
  </x:si>
  <x:si>
    <x:t xml:space="preserve">https://www.reichelt.de/de/de/shop/produkt/jst_-_stiftleiste_gerade_1x4-polig_-_ph-185051?PROVID=2788&amp;gad_source=1&amp;gad_campaignid=21154720511&amp;gbraid=0AAAAADwnxtY1nWJSSrFeiIcYv9xLkqyFk&amp;gclid=Cj0KCQjwnbrUBhDOARIsAKKhPpe2Az4gP1hQm4ZAaF5_8h_A8xPRV2yb28WCjCf626YJKTgCMxHQlnYaAjcNEALw_wcB</x:t>
  </x:si>
  <x:si>
    <x:t xml:space="preserve">515-1513</x:t>
  </x:si>
  <x:si>
    <x:t xml:space="preserve"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x:t>
  </x:si>
  <x:si>
    <x:t xml:space="preserve">https://www.reichelt.de/de/de/shop/produkt/mlcc_1206_1_f_50_v_-5_x7r-409277</x:t>
  </x:si>
  <x:si>
    <x:t xml:space="preserve">BAT 54S DIO</x:t>
  </x:si>
  <x:si>
    <x:t xml:space="preserve">https://www.reichelt.de/de/de/shop/produkt/schottkydiode_30_v_0_2_a_sot-23-219176</x:t>
  </x:si>
  <x:si>
    <x:t xml:space="preserve">ARC MRA0207 150R</x:t>
  </x:si>
  <x:si>
    <x:t xml:space="preserve">https://www.reichelt.de/de/de/shop/produkt/widerstand_metallschicht_150_ohm_0207_250_mw_0_1_-237515</x:t>
  </x:si>
  <x:si>
    <x:t xml:space="preserve">1N 4148W DIO</x:t>
  </x:si>
  <x:si>
    <x:t xml:space="preserve">https://www.reichelt.de/de/de/shop/produkt/kleinsignal-schalt-diode_100_v_150_ma_sod-123-219382</x:t>
  </x:si>
  <x:si>
    <x:t xml:space="preserve">BC 817-25 DIO</x:t>
  </x:si>
  <x:si>
    <x:t xml:space="preserve">https://www.reichelt.de/de/de/shop/produkt/bipolartransistor_npn_45v_0_5a_0_25w_sot-23-219186</x:t>
  </x:si>
  <x:si>
    <x:t xml:space="preserve">VIS CRCW12061K0</x:t>
  </x:si>
  <x:si>
    <x:t xml:space="preserve">https://www.reichelt.de/de/de/shop/produkt/smd-widerstand_1206_1_0_kohm_250_mw_1_-238107?PROVID=2788&amp;gad_source=1&amp;gad_campaignid=1622074784&amp;gbraid=0AAAAADwnxtbRDWe6ThqPkANhw_ak4jWBw&amp;gclid=Cj0KCQjwnbrUBhDOARIsAKKhPpdctdiA6tqULvTn2sTUS6FqmJC1_J6HoVQmYOjjMGhSPlfi9dK4bSQaAmesEALw_wcB</x:t>
  </x:si>
  <x:si>
    <x:t xml:space="preserve">ECC HXC500ARA470</x:t>
  </x:si>
  <x:si>
    <x:t xml:space="preserve">https://www.reichelt.de/de/de/shop/produkt/elko_smd_47_f_50v_105_c_4000h_aec-q200-289252</x:t>
  </x:si>
  <x:si>
    <x:t xml:space="preserve">B360B-13-F DII</x:t>
  </x:si>
  <x:si>
    <x:t xml:space="preserve">https://www.reichelt.de/de/de/shop/produkt/gleichrichterdiode_60_v_3_a_smb-216725</x:t>
  </x:si>
  <x:si>
    <x:t xml:space="preserve">P6SMB 24A SMD</x:t>
  </x:si>
  <x:si>
    <x:t xml:space="preserve">https://www.reichelt.de/de/de/shop/produkt/tvs-diode_unidirectional_24_v_600_w_do-214aa_smb-204320</x:t>
  </x:si>
  <x:si>
    <x:t xml:space="preserve">https://www.reichelt.de/de/de/shop/produkt/dc_dc-wandler_tsr-1_1_w_5_v_1000_ma_sil_to-220-116850</x:t>
  </x:si>
  <x:si>
    <x:t xml:space="preserve">https://www.reichelt.de/de/de/shop/produkt/dc_dc-wandler_tsr-1_1_w_3_3_v_1000_ma_sil_to-220-116849?search=TSR-1-2433&amp;</x:t>
  </x:si>
  <x:si>
    <x:t xml:space="preserve">https://www.reichelt.de/de/de/shop/produkt/mlcc_1206_10_nf_100_v_-5_x7r-409237</x:t>
  </x:si>
  <x:si>
    <x:t xml:space="preserve">METALL 2,00</x:t>
  </x:si>
  <x:si>
    <x:t xml:space="preserve">https://www.reichelt.de/de/de/shop/produkt/widerstand_metallschicht_2_0_ohm_0207_0_6_w_1_-11577</x:t>
  </x:si>
  <x:si>
    <x:t xml:space="preserve">732-61301421821-ND</x:t>
  </x:si>
  <x:si>
    <x:t xml:space="preserve">https://www.digikey.de/de/products/detail/w%C3%BCrth-elektronik/61301421821/16608590</x:t>
  </x:si>
  <x:si>
    <x:t xml:space="preserve">SS 14 VIS</x:t>
  </x:si>
  <x:si>
    <x:t xml:space="preserve">https://www.reichelt.de/de/de/shop/produkt/schottkydiode_40_v_1_a_do-214ac-219612</x:t>
  </x:si>
  <x:si>
    <x:t xml:space="preserve">S-V 10U 25</x:t>
  </x:si>
  <x:si>
    <x:t xml:space="preserve">https://www.reichelt.de/de/de/shop/produkt/smd-elko_10_f_-20_25_v_85_5_x_5_4_mm-228459</x:t>
  </x:si>
  <x:si>
    <x:t xml:space="preserve">732-61031421121CT-ND</x:t>
  </x:si>
  <x:si>
    <x:t xml:space="preserve">https://www.digikey.de/de/products/detail/w%C3%BCrth-elektronik/61031421121/4846903</x:t>
  </x:si>
  <x:si>
    <x:t xml:space="preserve">ECON SL14G2</x:t>
  </x:si>
  <x:si>
    <x:t xml:space="preserve">https://www.reichelt.de/de/de/shop/produkt/stiftleiste_2_x_7_polig_gerade_rastermass_2_54_mm-404299</x:t>
  </x:si>
  <x:si>
    <x:t xml:space="preserve">KBT KP-3216SURC</x:t>
  </x:si>
  <x:si>
    <x:t xml:space="preserve">https://www.reichelt.de/de/de/shop/produkt/smd-led_1206_hyper-rot_250_mcd_645_nm_140_-231713</x:t>
  </x:si>
  <x:si>
    <x:t xml:space="preserve">VIS CRCW12061K5</x:t>
  </x:si>
  <x:si>
    <x:t xml:space="preserve">https://www.reichelt.de/de/de/shop/produkt/smd-widerstand_1206_1_5_kohm_250_mw_1_-238108</x:t>
  </x:si>
  <x:si>
    <x:t xml:space="preserve">https://www.reichelt.de/de/de/shop/produkt/mlcc_1206_4_7uf_25v_x7r_-10_h1_6_mm-429143</x:t>
  </x:si>
  <x:si>
    <x:t xml:space="preserve">https://www.reichelt.de/de/de/shop/produkt/mlcc_1210_4_7_f_50v_x7r_-10_-438066</x:t>
  </x:si>
  <x:si>
    <x:t xml:space="preserve">710-744383560068</x:t>
  </x:si>
  <x:si>
    <x:t xml:space="preserve">https://eu.mouser.com/en/ProductDetail/Wurth-Elektronik/744383560068</x:t>
  </x:si>
  <x:si>
    <x:t xml:space="preserve">VIS CRCW12061M0</x:t>
  </x:si>
  <x:si>
    <x:t xml:space="preserve">https://www.reichelt.de/de/de/shop/produkt/smd-widerstand_1206_1_0_mohm_250_mw_1_-238109</x:t>
  </x:si>
  <x:si>
    <x:t xml:space="preserve">https://www.digikey.de/de/products/filter/chipwiderstand-oberfl%C3%A4chenmontage/71-5-kohms/52</x:t>
  </x:si>
  <x:si>
    <x:t xml:space="preserve">https://www.tme.eu/de/details/wr12x2203ftl/smd-widerstaende/walsin/</x:t>
  </x:si>
  <x:si>
    <x:t xml:space="preserve">611-OS202011MS2QS1</x:t>
  </x:si>
  <x:si>
    <x:t xml:space="preserve">https://www.mouser.de/de/c/electromechanical/switches/slide-switches/?q=OS202011MS2QS1</x:t>
  </x:si>
  <x:si>
    <x:t xml:space="preserve">584-LT8330ES6#TRMPBF</x:t>
  </x:si>
  <x:si>
    <x:t xml:space="preserve">https://www.mouser.de/ProductDetail/Analog-Devices/LT8330ES6TRMPBF</x:t>
  </x:si>
  <x:si>
    <x:t xml:space="preserve">RE 909</x:t>
  </x:si>
  <x:si>
    <x:t xml:space="preserve">https://www.reichelt.de/de/de/shop/produkt/adapter_sot23-3_0_95_mm_pitch_rm_2_54_mm-167706</x:t>
  </x:si>
  <x:si>
    <x:t xml:space="preserve">1W 100</x:t>
  </x:si>
  <x:si>
    <x:t xml:space="preserve">https://www.reichelt.de/de/de/shop/produkt/widerstand_metalloxyd_100_ohm_0207_1_0_w_5_-1777</x:t>
  </x:si>
  <x:si>
    <x:t xml:space="preserve">1W 100K</x:t>
  </x:si>
  <x:si>
    <x:t xml:space="preserve">https://www.reichelt.de/de/de/shop/produkt/widerstand_metalloxyd_100_kohm_0207_1_0_w_5_-1778</x:t>
  </x:si>
  <x:si>
    <x:t xml:space="preserve">https://www.weipuconnector.com/products/sp13/</x:t>
  </x:si>
  <x:si>
    <x:t xml:space="preserve">DELOCK 90174</x:t>
  </x:si>
  <x:si>
    <x:t xml:space="preserve">https://www.reichelt.de/de/de/shop/produkt/steckverbinder_dc_5_5_x_2_1_mm_buchse_zum_einbau_loetversion-371063</x:t>
  </x:si>
  <x:si>
    <x:t xml:space="preserve">2073-USB4105-GF-ACT-ND</x:t>
  </x:si>
  <x:si>
    <x:t xml:space="preserve">https://www.digikey.com/en/products/detail/gct/USB4105-GF-A/11198510</x:t>
  </x:si>
  <x:si>
    <x:t xml:space="preserve">541-5.10KFCT-ND</x:t>
  </x:si>
  <x:si>
    <x:t xml:space="preserve">https://www.digikey.com/en/products/detail/vishay-dale/CRCW12065K10FKEA/1176724</x:t>
  </x:si>
  <x:si>
    <x:t xml:space="preserve">MPE 115-1-008</x:t>
  </x:si>
  <x:si>
    <x:t xml:space="preserve">https://www.reichelt.de/de/de/shop/produkt/praez_-buchsenleisten_2_54_mm_1x08_gerade-187275</x:t>
  </x:si>
  <x:si>
    <x:t xml:space="preserve">IRF 7309</x:t>
  </x:si>
  <x:si>
    <x:t xml:space="preserve">https://www.reichelt.de/de/de/shop/produkt/mosfet_n_p-ch_30v_4_3a_1_4w_so-8-129777</x:t>
  </x:si>
  <x:si>
    <x:t xml:space="preserve">SMD 1/4W 100K</x:t>
  </x:si>
  <x:si>
    <x:t xml:space="preserve">https://www.reichelt.de/de/de/shop/produkt/smd-widerstand_1206_100_kohm_250_mw_5_-18243</x:t>
  </x:si>
  <x:si>
    <x:t xml:space="preserve">SMD 1/4W 10K</x:t>
  </x:si>
  <x:si>
    <x:t xml:space="preserve">https://www.reichelt.de/de/de/shop/produkt/smd-widerstand_1206_10_kohm_250_mw_5_-18244</x:t>
  </x:si>
  <x:si>
    <x:t xml:space="preserve">https://www.reichelt.de/de/de/shop/produkt/hex_inverting_schmitt_trigger_3_15_v_so-14-18422</x:t>
  </x:si>
  <x:si>
    <x:t xml:space="preserve">VF 220/16 P-D8</x:t>
  </x:si>
  <x:si>
    <x:t xml:space="preserve">https://www.reichelt.de/de/de/shop/produkt/elko_smd_220_f_16v_2000h_low_esr-109198</x:t>
  </x:si>
  <x:si>
    <x:t xml:space="preserve">ECC MZL160ARA471</x:t>
  </x:si>
  <x:si>
    <x:t xml:space="preserve">https://www.reichelt.de/de/de/shop/produkt/elko_smd_470_f_16_v_105_c_low_esr_8_x_10_mm-289206</x:t>
  </x:si>
  <x:si>
    <x:t xml:space="preserve">JST XH2P ST90</x:t>
  </x:si>
  <x:si>
    <x:t xml:space="preserve">https://www.reichelt.de/de/de/shop/produkt/jst_-_stiftleiste_90_1x2-polig_-_xh-185079</x:t>
  </x:si>
  <x:si>
    <x:t xml:space="preserve">WAL WR12X1001FTL</x:t>
  </x:si>
  <x:si>
    <x:t xml:space="preserve">https://www.reichelt.de/de/de/shop/produkt/smd-widerstand_1206_1_kohm_250_mw_1_-346654</x:t>
  </x:si>
  <x:si>
    <x:t xml:space="preserve">EVL 15-21SURD</x:t>
  </x:si>
  <x:si>
    <x:t xml:space="preserve">https://www.reichelt.de/de/de/shop/produkt/led_smd_1206_rot_40_mcd_160_-231622</x:t>
  </x:si>
  <x:si>
    <x:t xml:space="preserve">https://www.reichelt.de/de/de/shop/produkt/kurzschlussbruecke_schw_m_grifflasche-9019</x:t>
  </x:si>
  <x:si>
    <x:t xml:space="preserve">Active</x:t>
  </x:si>
  <x:si>
    <x:t xml:space="preserve">Conrad</x:t>
  </x:si>
  <x:si>
    <x:t xml:space="preserve">Lieferant noch zuordnen</x:t>
  </x:si>
</x:sst>
</file>

<file path=xl/styles.xml><?xml version="1.0" encoding="utf-8"?>
<x:styleSheet xmlns:x="http://schemas.openxmlformats.org/spreadsheetml/2006/main">
  <x:numFmts count="10">
    <x:numFmt numFmtId="164" formatCode="_-* #,##0.00\ _€_-;\-* #,##0.00\ _€_-;_-* \-??\ _€_-;_-@_-"/>
    <x:numFmt numFmtId="165" formatCode="_-* #,##0\ _€_-;\-* #,##0\ _€_-;_-* &quot;- &quot;_€_-;_-@_-"/>
    <x:numFmt numFmtId="166" formatCode="_-* #,##0.00&quot; €&quot;_-;\-* #,##0.00&quot; €&quot;_-;_-* \-??&quot; €&quot;_-;_-@_-"/>
    <x:numFmt numFmtId="167" formatCode="_-* #,##0&quot; €&quot;_-;\-* #,##0&quot; €&quot;_-;_-* &quot;- €&quot;_-;_-@_-"/>
    <x:numFmt numFmtId="168" formatCode="0\ %"/>
    <x:numFmt numFmtId="169" formatCode="\€#,##0.00"/>
    <x:numFmt numFmtId="170" formatCode="0.00&quot; €&quot;"/>
    <x:numFmt numFmtId="171" formatCode="\€0.00"/>
    <x:numFmt numFmtId="172" formatCode="yyyy\-mm\-dd"/>
    <x:numFmt numFmtId="200" formatCode="yyyy-mm-dd"/>
  </x:numFmts>
  <x:fonts count="27">
    <x:font>
      <x:sz val="10"/>
      <x:name val="Arial"/>
    </x:font>
    <x:font>
      <x:sz val="10"/>
      <x:name val="Arial"/>
    </x:font>
    <x:font>
      <x:sz val="11"/>
      <x:color theme="10"/>
      <x:name val="Calibri"/>
    </x:font>
    <x:font>
      <x:sz val="11"/>
      <x:name val="Calibri"/>
    </x:font>
    <x:font>
      <x:sz val="11"/>
      <x:name val="Abadi ExtraLight"/>
    </x:font>
    <x:font>
      <x:b/>
      <x:sz val="11"/>
      <x:color rgb="FFFFFFFF"/>
      <x:name val="Calibri Light"/>
    </x:font>
    <x:font>
      <x:sz val="11"/>
      <x:name val="Calibri Light"/>
    </x:font>
    <x:font>
      <x:sz val="10"/>
      <x:name val="Calibri"/>
    </x:font>
    <x:font>
      <x:b/>
      <x:sz val="11"/>
      <x:color rgb="FFFFFFFF"/>
      <x:name val="Calibri"/>
    </x:font>
    <x:font>
      <x:i/>
      <x:sz val="11"/>
      <x:color rgb="FF1F1F1F"/>
      <x:name val="Calibri"/>
    </x:font>
    <x:font>
      <x:b/>
      <x:sz val="11"/>
      <x:name val="Calibri"/>
    </x:font>
    <x:font>
      <x:b/>
      <x:sz val="11"/>
      <x:color rgb="FF375623"/>
      <x:name val="Calibri"/>
    </x:font>
    <x:font>
      <x:sz val="11"/>
      <x:color rgb="FF375623"/>
      <x:name val="Calibri"/>
    </x:font>
    <x:font>
      <x:b/>
      <x:sz val="11"/>
      <x:color rgb="FF1F1F1F"/>
      <x:name val="Calibri"/>
    </x:font>
    <x:font>
      <x:b/>
      <x:sz val="10"/>
      <x:color rgb="FFFFFFFF"/>
      <x:name val="Arial"/>
    </x:font>
    <x:font>
      <x:b/>
      <x:sz val="11"/>
      <x:color rgb="FF7F7F7F"/>
      <x:name val="Calibri"/>
    </x:font>
    <x:font>
      <x:b/>
      <x:sz val="10"/>
      <x:name val="Arial"/>
    </x:font>
    <x:font>
      <x:b/>
      <x:sz val="11"/>
      <x:color rgb="FF1F4E78"/>
      <x:name val="Calibri"/>
    </x:font>
    <x:font>
      <x:b/>
      <x:sz val="10"/>
      <x:color rgb="FF1F4E78"/>
      <x:name val="Arial"/>
    </x:font>
    <x:font>
      <x:b/>
      <x:sz val="11"/>
      <x:color rgb="FF111111"/>
      <x:name val="Calibri"/>
    </x:font>
    <x:font>
      <x:b/>
      <x:sz val="10"/>
      <x:color rgb="FF111111"/>
      <x:name val="Arial"/>
    </x:font>
    <x:font>
      <x:sz val="11"/>
      <x:color rgb="FF333333"/>
      <x:name val="Calibri"/>
    </x:font>
    <x:font>
      <x:sz val="10"/>
      <x:color rgb="FF333333"/>
      <x:name val="Arial"/>
    </x:font>
    <x:font>
      <x:sz val="11"/>
      <x:color rgb="FF555555"/>
      <x:name val="Calibri"/>
    </x:font>
    <x:font>
      <x:sz val="10"/>
      <x:color rgb="FF555555"/>
      <x:name val="Arial"/>
    </x:font>
    <x:font>
      <x:b/>
      <x:sz val="10"/>
      <x:color rgb="FF7F7F7F"/>
      <x:name val="Arial"/>
    </x:font>
    <x:font>
      <x:sz val="10"/>
      <x:color rgb="FF7F7F7F"/>
      <x:name val="Calibri"/>
    </x:font>
  </x:fonts>
  <x:fills count="1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146C87"/>
      </x:patternFill>
    </x:fill>
    <x:fill>
      <x:patternFill patternType="solid">
        <x:fgColor rgb="FFD9E2F3"/>
      </x:patternFill>
    </x:fill>
    <x:fill>
      <x:patternFill patternType="solid">
        <x:fgColor rgb="FFF3F6F9"/>
      </x:patternFill>
    </x:fill>
    <x:fill>
      <x:patternFill patternType="solid">
        <x:fgColor rgb="FF156082"/>
      </x:patternFill>
    </x:fill>
    <x:fill>
      <x:patternFill patternType="solid">
        <x:fgColor rgb="FFE7E6E6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</x:fills>
  <x:borders count="19">
    <x:border/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bottom style="double">
        <x:color rgb="FF1F4E78"/>
      </x:bottom>
    </x:border>
    <x:border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  <x:top style="thin">
        <x:color rgb="FFB4C7E7"/>
      </x:top>
    </x:border>
  </x:borders>
  <x:cellStyleXfs count="30">
    <x:xf numFmtId="0" fontId="0" fillId="0" borderId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4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5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6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167" fontId="1" fillId="0" borderId="0" applyBorder="0" applyAlignment="0" applyProtection="0"/>
    <x:xf numFmtId="0" fontId="2" fillId="0" borderId="0" applyBorder="0" applyAlignment="0" applyProtection="0"/>
    <x:xf numFmtId="0" fontId="1" fillId="0" borderId="0"/>
    <x:xf numFmtId="0" fontId="3" fillId="0" borderId="0"/>
    <x:xf numFmtId="0" fontId="1" fillId="0" borderId="0"/>
    <x:xf numFmtId="0" fontId="1" fillId="0" borderId="0"/>
    <x:xf numFmtId="0" fontId="1" fillId="0" borderId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168" fontId="1" fillId="0" borderId="0" applyBorder="0" applyAlignment="0" applyProtection="0"/>
    <x:xf numFmtId="0" fontId="3" fillId="0" borderId="0"/>
    <x:xf numFmtId="0" fontId="1" fillId="0" borderId="0"/>
    <x:xf numFmtId="0" fontId="1" fillId="0" borderId="0"/>
  </x:cellStyleXfs>
  <x:cellXfs count="85">
    <x:xf numFmtId="0" fontId="0" fillId="0" borderId="0" xfId="0"/>
    <x:xf numFmtId="0" fontId="8" fillId="2" borderId="14" xfId="27" applyFont="1" applyFill="1" applyBorder="1" applyAlignment="1">
      <x:alignment vertical="center"/>
    </x:xf>
    <x:xf numFmtId="0" fontId="8" fillId="2" borderId="0" xfId="27" applyFont="1" applyFill="1" applyAlignment="1">
      <x:alignment vertical="center"/>
    </x:xf>
    <x:xf numFmtId="0" fontId="12" fillId="6" borderId="0" xfId="27" applyFont="1" applyFill="1" applyAlignment="1">
      <x:alignment vertical="center" wrapText="1"/>
    </x:xf>
    <x:xf numFmtId="0" fontId="9" fillId="3" borderId="0" xfId="27" applyFont="1" applyFill="1" applyAlignment="1">
      <x:alignment vertical="center" wrapText="1"/>
    </x:xf>
    <x:xf numFmtId="0" fontId="8" fillId="2" borderId="0" xfId="27" applyFont="1" applyFill="1" applyAlignment="1">
      <x:alignment vertical="center" wrapText="1"/>
    </x:xf>
    <x:xf numFmtId="0" fontId="4" fillId="0" borderId="0" xfId="27" applyFont="1"/>
    <x:xf numFmtId="0" fontId="5" fillId="2" borderId="1" xfId="29" applyFont="1" applyFill="1" applyBorder="1" applyAlignment="1">
      <x:alignment vertical="center" wrapText="1"/>
    </x:xf>
    <x:xf numFmtId="0" fontId="6" fillId="0" borderId="0" xfId="27" applyFont="1"/>
    <x:xf numFmtId="49" fontId="3" fillId="0" borderId="2" xfId="29" applyNumberFormat="1" applyFont="1" applyBorder="1" applyAlignment="1">
      <x:alignment vertical="top"/>
    </x:xf>
    <x:xf numFmtId="0" fontId="3" fillId="0" borderId="2" xfId="29" applyFont="1" applyBorder="1" applyAlignment="1">
      <x:alignment vertical="top"/>
    </x:xf>
    <x:xf numFmtId="0" fontId="3" fillId="0" borderId="2" xfId="29" applyFont="1" applyBorder="1" applyAlignment="1">
      <x:alignment vertical="top" wrapText="1"/>
    </x:xf>
    <x:xf numFmtId="49" fontId="3" fillId="0" borderId="2" xfId="29" applyNumberFormat="1" applyFont="1" applyBorder="1" applyAlignment="1">
      <x:alignment vertical="top" wrapText="1"/>
    </x:xf>
    <x:xf numFmtId="169" fontId="3" fillId="0" borderId="2" xfId="29" applyNumberFormat="1" applyFont="1" applyBorder="1" applyAlignment="1">
      <x:alignment vertical="top" wrapText="1"/>
    </x:xf>
    <x:xf numFmtId="1" fontId="3" fillId="0" borderId="2" xfId="29" applyNumberFormat="1" applyFont="1" applyBorder="1" applyAlignment="1">
      <x:alignment vertical="top"/>
    </x:xf>
    <x:xf numFmtId="0" fontId="2" fillId="0" borderId="0" xfId="29" applyFont="1" applyAlignment="1">
      <x:alignment wrapText="1"/>
    </x:xf>
    <x:xf numFmtId="0" fontId="2" fillId="0" borderId="2" xfId="29" applyFont="1" applyBorder="1" applyAlignment="1">
      <x:alignment vertical="top" wrapText="1"/>
    </x:xf>
    <x:xf numFmtId="49" fontId="3" fillId="0" borderId="3" xfId="29" applyNumberFormat="1" applyFont="1" applyBorder="1" applyAlignment="1">
      <x:alignment vertical="top"/>
    </x:xf>
    <x:xf numFmtId="0" fontId="3" fillId="0" borderId="3" xfId="29" applyFont="1" applyBorder="1" applyAlignment="1">
      <x:alignment vertical="top"/>
    </x:xf>
    <x:xf numFmtId="0" fontId="3" fillId="0" borderId="3" xfId="29" applyFont="1" applyBorder="1" applyAlignment="1">
      <x:alignment vertical="top" wrapText="1"/>
    </x:xf>
    <x:xf numFmtId="49" fontId="3" fillId="0" borderId="3" xfId="29" applyNumberFormat="1" applyFont="1" applyBorder="1" applyAlignment="1">
      <x:alignment vertical="top" wrapText="1"/>
    </x:xf>
    <x:xf numFmtId="169" fontId="3" fillId="0" borderId="3" xfId="29" applyNumberFormat="1" applyFont="1" applyBorder="1" applyAlignment="1">
      <x:alignment vertical="top" wrapText="1"/>
    </x:xf>
    <x:xf numFmtId="1" fontId="3" fillId="0" borderId="3" xfId="29" applyNumberFormat="1" applyFont="1" applyBorder="1" applyAlignment="1">
      <x:alignment vertical="top"/>
    </x:xf>
    <x:xf numFmtId="0" fontId="3" fillId="0" borderId="0" xfId="29" applyFont="1"/>
    <x:xf numFmtId="0" fontId="3" fillId="0" borderId="0" xfId="29" applyFont="1" applyAlignment="1">
      <x:alignment wrapText="1"/>
    </x:xf>
    <x:xf numFmtId="170" fontId="3" fillId="0" borderId="0" xfId="29" applyNumberFormat="1" applyFont="1" applyAlignment="1">
      <x:alignment wrapText="1"/>
    </x:xf>
    <x:xf numFmtId="0" fontId="7" fillId="0" borderId="0" xfId="29" applyFont="1"/>
    <x:xf numFmtId="0" fontId="7" fillId="0" borderId="0" xfId="29" applyFont="1" applyAlignment="1">
      <x:alignment wrapText="1"/>
    </x:xf>
    <x:xf numFmtId="0" fontId="8" fillId="2" borderId="0" xfId="27" applyFont="1" applyFill="1" applyAlignment="1">
      <x:alignment vertical="center"/>
    </x:xf>
    <x:xf numFmtId="0" fontId="1" fillId="0" borderId="0" xfId="20"/>
    <x:xf numFmtId="0" fontId="8" fillId="2" borderId="0" xfId="27" applyFont="1" applyFill="1" applyAlignment="1">
      <x:alignment vertical="center" wrapText="1"/>
    </x:xf>
    <x:xf numFmtId="1" fontId="3" fillId="0" borderId="0" xfId="27" applyNumberFormat="1"/>
    <x:xf numFmtId="171" fontId="3" fillId="0" borderId="0" xfId="27" applyNumberFormat="1"/>
    <x:xf numFmtId="0" fontId="8" fillId="4" borderId="0" xfId="27" applyFont="1" applyFill="1"/>
    <x:xf numFmtId="0" fontId="3" fillId="0" borderId="4" xfId="27" applyBorder="1"/>
    <x:xf numFmtId="0" fontId="3" fillId="0" borderId="5" xfId="27" applyBorder="1"/>
    <x:xf numFmtId="1" fontId="10" fillId="5" borderId="6" xfId="27" applyNumberFormat="1" applyFont="1" applyFill="1" applyBorder="1" applyAlignment="1">
      <x:alignment horizontal="center"/>
    </x:xf>
    <x:xf numFmtId="0" fontId="10" fillId="5" borderId="6" xfId="27" applyFont="1" applyFill="1" applyBorder="1" applyAlignment="1">
      <x:alignment horizontal="center"/>
    </x:xf>
    <x:xf numFmtId="0" fontId="3" fillId="0" borderId="7" xfId="27" applyBorder="1"/>
    <x:xf numFmtId="0" fontId="3" fillId="0" borderId="8" xfId="27" applyBorder="1"/>
    <x:xf numFmtId="1" fontId="10" fillId="5" borderId="9" xfId="27" applyNumberFormat="1" applyFont="1" applyFill="1" applyBorder="1" applyAlignment="1">
      <x:alignment horizontal="center"/>
    </x:xf>
    <x:xf numFmtId="0" fontId="3" fillId="0" borderId="10" xfId="27" applyBorder="1"/>
    <x:xf numFmtId="0" fontId="10" fillId="5" borderId="11" xfId="27" applyFont="1" applyFill="1" applyBorder="1" applyAlignment="1">
      <x:alignment horizontal="center"/>
    </x:xf>
    <x:xf numFmtId="0" fontId="3" fillId="0" borderId="12" xfId="27" applyBorder="1"/>
    <x:xf numFmtId="1" fontId="10" fillId="5" borderId="11" xfId="27" applyNumberFormat="1" applyFont="1" applyFill="1" applyBorder="1" applyAlignment="1">
      <x:alignment horizontal="center"/>
    </x:xf>
    <x:xf numFmtId="0" fontId="11" fillId="6" borderId="0" xfId="27" applyFont="1" applyFill="1" applyAlignment="1">
      <x:alignment vertical="center" wrapText="1"/>
    </x:xf>
    <x:xf numFmtId="0" fontId="12" fillId="6" borderId="0" xfId="27" applyFont="1" applyFill="1" applyAlignment="1">
      <x:alignment vertical="center" wrapText="1"/>
    </x:xf>
    <x:xf numFmtId="0" fontId="8" fillId="7" borderId="0" xfId="27" applyFont="1" applyFill="1" applyAlignment="1">
      <x:alignment wrapText="1"/>
    </x:xf>
    <x:xf numFmtId="0" fontId="3" fillId="0" borderId="0" xfId="27" applyAlignment="1">
      <x:alignment wrapText="1"/>
    </x:xf>
    <x:xf numFmtId="169" fontId="3" fillId="0" borderId="0" xfId="27" applyNumberFormat="1"/>
    <x:xf numFmtId="1" fontId="10" fillId="5" borderId="0" xfId="27" applyNumberFormat="1" applyFont="1" applyFill="1" applyAlignment="1">
      <x:alignment horizontal="center"/>
    </x:xf>
    <x:xf numFmtId="1" fontId="10" fillId="8" borderId="13" xfId="27" applyNumberFormat="1" applyFont="1" applyFill="1" applyBorder="1"/>
    <x:xf numFmtId="0" fontId="13" fillId="3" borderId="15" xfId="27" applyFont="1" applyFill="1" applyBorder="1" applyAlignment="1">
      <x:alignment vertical="center"/>
    </x:xf>
    <x:xf numFmtId="1" fontId="10" fillId="5" borderId="16" xfId="27" applyNumberFormat="1" applyFont="1" applyFill="1" applyBorder="1" applyAlignment="1">
      <x:alignment horizontal="center"/>
    </x:xf>
    <x:xf numFmtId="0" fontId="3" fillId="9" borderId="16" xfId="27" applyFill="1" applyBorder="1" applyAlignment="1">
      <x:alignment horizontal="center"/>
    </x:xf>
    <x:xf numFmtId="0" fontId="14" fillId="7" borderId="0" xfId="29" applyFont="1" applyFill="1" applyAlignment="1">
      <x:alignment wrapText="1"/>
    </x:xf>
    <x:xf numFmtId="0" fontId="8" fillId="10" borderId="0" xfId="27" applyFont="1" applyFill="1" applyAlignment="1">
      <x:alignment horizontal="center" vertical="center" wrapText="1"/>
    </x:xf>
    <x:xf numFmtId="0" fontId="15" fillId="11" borderId="0" xfId="27" applyFont="1" applyFill="1"/>
    <x:xf numFmtId="0" fontId="16" fillId="5" borderId="0" xfId="29" applyFont="1" applyFill="1" applyAlignment="1">
      <x:alignment horizontal="center"/>
    </x:xf>
    <x:xf numFmtId="49" fontId="3" fillId="5" borderId="0" xfId="27" applyNumberFormat="1" applyFill="1" applyAlignment="1">
      <x:alignment horizontal="center"/>
    </x:xf>
    <x:xf numFmtId="0" fontId="3" fillId="5" borderId="0" xfId="27" applyFill="1" applyAlignment="1">
      <x:alignment horizontal="center" vertical="center"/>
    </x:xf>
    <x:xf numFmtId="0" fontId="13" fillId="3" borderId="17" xfId="27" applyFont="1" applyFill="1" applyBorder="1" applyAlignment="1">
      <x:alignment vertical="center"/>
    </x:xf>
    <x:xf numFmtId="0" fontId="3" fillId="9" borderId="18" xfId="27" applyFill="1" applyBorder="1" applyAlignment="1">
      <x:alignment horizontal="center"/>
    </x:xf>
    <x:xf numFmtId="0" fontId="17" fillId="12" borderId="0" xfId="18" applyFont="1" applyFill="1" applyAlignment="1">
      <x:alignment wrapText="1"/>
    </x:xf>
    <x:xf numFmtId="0" fontId="17" fillId="12" borderId="0" xfId="0" applyFont="1" applyFill="1" applyAlignment="1">
      <x:alignment wrapText="1"/>
    </x:xf>
    <x:xf numFmtId="0" fontId="18" fillId="12" borderId="0" xfId="0" applyFont="1" applyFill="1" applyAlignment="1">
      <x:alignment wrapText="1"/>
    </x:xf>
    <x:xf numFmtId="0" fontId="1" fillId="12" borderId="0" xfId="18" applyFill="1"/>
    <x:xf numFmtId="0" fontId="19" fillId="12" borderId="0" xfId="18" applyFont="1" applyFill="1" applyAlignment="1">
      <x:alignment vertical="center" wrapText="1"/>
    </x:xf>
    <x:xf numFmtId="0" fontId="19" fillId="12" borderId="0" xfId="0" applyFont="1" applyFill="1" applyAlignment="1">
      <x:alignment vertical="center" wrapText="1"/>
    </x:xf>
    <x:xf numFmtId="0" fontId="20" fillId="12" borderId="0" xfId="0" applyFont="1" applyFill="1" applyAlignment="1">
      <x:alignment wrapText="1"/>
    </x:xf>
    <x:xf numFmtId="0" fontId="21" fillId="12" borderId="0" xfId="18" applyFont="1" applyFill="1" applyAlignment="1">
      <x:alignment vertical="top" wrapText="1"/>
    </x:xf>
    <x:xf numFmtId="0" fontId="21" fillId="12" borderId="0" xfId="0" applyFont="1" applyFill="1" applyAlignment="1">
      <x:alignment vertical="top" wrapText="1"/>
    </x:xf>
    <x:xf numFmtId="0" fontId="22" fillId="12" borderId="0" xfId="0" applyFont="1" applyFill="1" applyAlignment="1">
      <x:alignment wrapText="1"/>
    </x:xf>
    <x:xf numFmtId="0" fontId="23" fillId="12" borderId="0" xfId="18" applyFont="1" applyFill="1" applyAlignment="1">
      <x:alignment vertical="top" wrapText="1"/>
    </x:xf>
    <x:xf numFmtId="0" fontId="23" fillId="12" borderId="0" xfId="0" applyFont="1" applyFill="1" applyAlignment="1">
      <x:alignment vertical="top" wrapText="1"/>
    </x:xf>
    <x:xf numFmtId="0" fontId="24" fillId="12" borderId="0" xfId="0" applyFont="1" applyFill="1" applyAlignment="1">
      <x:alignment wrapText="1"/>
    </x:xf>
    <x:xf numFmtId="0" fontId="14" fillId="2" borderId="0" xfId="29" applyFont="1" applyFill="1" applyAlignment="1">
      <x:alignment vertical="center" wrapText="1"/>
    </x:xf>
    <x:xf numFmtId="0" fontId="25" fillId="13" borderId="0" xfId="29" applyFont="1" applyFill="1" applyAlignment="1">
      <x:alignment vertical="center" wrapText="1"/>
    </x:xf>
    <x:xf numFmtId="0" fontId="7" fillId="0" borderId="0" xfId="29" applyFont="1" applyAlignment="1">
      <x:alignment vertical="top"/>
    </x:xf>
    <x:xf numFmtId="171" fontId="7" fillId="0" borderId="0" xfId="29" applyNumberFormat="1" applyFont="1" applyAlignment="1">
      <x:alignment vertical="top"/>
    </x:xf>
    <x:xf numFmtId="172" fontId="7" fillId="0" borderId="0" xfId="29" applyNumberFormat="1" applyFont="1" applyAlignment="1">
      <x:alignment vertical="top"/>
    </x:xf>
    <x:xf numFmtId="0" fontId="26" fillId="13" borderId="0" xfId="29" applyFont="1" applyFill="1" applyAlignment="1">
      <x:alignment vertical="top"/>
    </x:xf>
    <x:xf numFmtId="0" fontId="14" fillId="2" borderId="0" xfId="29" applyFont="1" applyFill="1"/>
    <x:xf numFmtId="0" fontId="1" fillId="0" borderId="0" xfId="21"/>
    <x:xf numFmtId="200" fontId="0" fillId="0" borderId="0" xfId="0" applyNumberFormat="1" applyFont="1" applyFill="1" applyBorder="1"/>
  </x:cellXfs>
  <x:cellStyles count="30">
    <x:cellStyle name="Comma" xfId="1"/>
    <x:cellStyle name="Comma [0]" xfId="5"/>
    <x:cellStyle name="Comma [0] 2" xfId="6"/>
    <x:cellStyle name="Comma [0] 3" xfId="7"/>
    <x:cellStyle name="Comma [0] 4" xfId="8"/>
    <x:cellStyle name="Comma 1" xfId="2"/>
    <x:cellStyle name="Comma 2" xfId="3"/>
    <x:cellStyle name="Comma 3" xfId="4"/>
    <x:cellStyle name="Currency" xfId="9"/>
    <x:cellStyle name="Currency [0]" xfId="13"/>
    <x:cellStyle name="Currency [0] 4" xfId="14"/>
    <x:cellStyle name="Currency [0] 5" xfId="15"/>
    <x:cellStyle name="Currency [0] 6" xfId="16"/>
    <x:cellStyle name="Currency 3" xfId="10"/>
    <x:cellStyle name="Currency 4" xfId="11"/>
    <x:cellStyle name="Currency 5" xfId="12"/>
    <x:cellStyle name="Link" xfId="17"/>
    <x:cellStyle name="Normal" xfId="18"/>
    <x:cellStyle name="Normal 1" xfId="19"/>
    <x:cellStyle name="Normal 5" xfId="20"/>
    <x:cellStyle name="Normal 6" xfId="21"/>
    <x:cellStyle name="Normal 7" xfId="22"/>
    <x:cellStyle name="Percent" xfId="23"/>
    <x:cellStyle name="Percent 6" xfId="24"/>
    <x:cellStyle name="Percent 7" xfId="25"/>
    <x:cellStyle name="Percent 8" xfId="26"/>
    <x:cellStyle name="Standard" xfId="0"/>
    <x:cellStyle name="Standard 2" xfId="27"/>
    <x:cellStyle name="Standard 3" xfId="28"/>
    <x:cellStyle name="Standard 4" xfId="29"/>
  </x:cellStyles>
  <x:dxfs count="12">
    <x:dxf>
      <x:font>
        <x:b/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color rgb="FFA6A6A6"/>
      </x:font>
    </x:dxf>
    <x:dxf>
      <x:font>
        <x:color rgb="FF7F6000"/>
      </x:font>
      <x:fill>
        <x:patternFill>
          <x:bgColor rgb="FFFFF2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9C0006"/>
      <x:rgbColor rgb="FF375623"/>
      <x:rgbColor rgb="FF000080"/>
      <x:rgbColor rgb="FF7F6000"/>
      <x:rgbColor rgb="FF800080"/>
      <x:rgbColor rgb="FF146C87"/>
      <x:rgbColor rgb="FFB4C7E7"/>
      <x:rgbColor rgb="FF7F7F7F"/>
      <x:rgbColor rgb="FF9999FF"/>
      <x:rgbColor rgb="FF555555"/>
      <x:rgbColor rgb="FFFFF2CC"/>
      <x:rgbColor rgb="FFD9EAF7"/>
      <x:rgbColor rgb="FF660066"/>
      <x:rgbColor rgb="FFFF8080"/>
      <x:rgbColor rgb="FF0066CC"/>
      <x:rgbColor rgb="FFD9E2F3"/>
      <x:rgbColor rgb="FF000080"/>
      <x:rgbColor rgb="FFFF00FF"/>
      <x:rgbColor rgb="FFFFFF00"/>
      <x:rgbColor rgb="FF00FFFF"/>
      <x:rgbColor rgb="FF800080"/>
      <x:rgbColor rgb="FF800000"/>
      <x:rgbColor rgb="FF156082"/>
      <x:rgbColor rgb="FF0000FF"/>
      <x:rgbColor rgb="FF00CCFF"/>
      <x:rgbColor rgb="FFF3F6F9"/>
      <x:rgbColor rgb="FFE2F0D9"/>
      <x:rgbColor rgb="FFFCE4D6"/>
      <x:rgbColor rgb="FFE7E6E6"/>
      <x:rgbColor rgb="FFF2F2F2"/>
      <x:rgbColor rgb="FFCC99FF"/>
      <x:rgbColor rgb="FFF4CCCC"/>
      <x:rgbColor rgb="FF4472C4"/>
      <x:rgbColor rgb="FF46B1E1"/>
      <x:rgbColor rgb="FF99CC00"/>
      <x:rgbColor rgb="FFFFCC00"/>
      <x:rgbColor rgb="FFFF9900"/>
      <x:rgbColor rgb="FFFF6600"/>
      <x:rgbColor rgb="FF467886"/>
      <x:rgbColor rgb="FFA6A6A6"/>
      <x:rgbColor rgb="FF003366"/>
      <x:rgbColor rgb="FF339966"/>
      <x:rgbColor rgb="FF111111"/>
      <x:rgbColor rgb="FF1F1F1F"/>
      <x:rgbColor rgb="FF9C6500"/>
      <x:rgbColor rgb="FF993366"/>
      <x:rgbColor rgb="FF1F4E78"/>
      <x:rgbColor rgb="FF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a3440d297e340cd" /><Relationship Type="http://schemas.openxmlformats.org/officeDocument/2006/relationships/theme" Target="/xl/theme/theme1.xml" Id="R4b523722fc3a43ea" /><Relationship Type="http://schemas.openxmlformats.org/officeDocument/2006/relationships/sharedStrings" Target="/xl/sharedStrings.xml" Id="Reebd73c0d5eb4b36" /><Relationship Type="http://schemas.openxmlformats.org/officeDocument/2006/relationships/worksheet" Target="/xl/worksheets/sheet1.xml" Id="Rbf849266100f4c03" /><Relationship Type="http://schemas.openxmlformats.org/officeDocument/2006/relationships/worksheet" Target="/xl/worksheets/sheet2.xml" Id="R949ed47b5b5d4eae" /><Relationship Type="http://schemas.openxmlformats.org/officeDocument/2006/relationships/worksheet" Target="/xl/worksheets/sheet3.xml" Id="Rf763c335473440fc" /><Relationship Type="http://schemas.openxmlformats.org/officeDocument/2006/relationships/worksheet" Target="/xl/worksheets/sheet4.xml" Id="R145c1283815149bf" /><Relationship Type="http://schemas.openxmlformats.org/officeDocument/2006/relationships/worksheet" Target="/xl/worksheets/sheet5.xml" Id="Re62357e491044587" /><Relationship Type="http://schemas.openxmlformats.org/officeDocument/2006/relationships/worksheet" Target="/xl/worksheets/sheet6.xml" Id="R52dfcff1f695459b" /><Relationship Type="http://schemas.openxmlformats.org/officeDocument/2006/relationships/worksheet" Target="/xl/worksheets/sheet7.xml" Id="R46e657600e914500" /><Relationship Type="http://schemas.openxmlformats.org/officeDocument/2006/relationships/worksheet" Target="/xl/worksheets/sheet8.xml" Id="R2ca0b87453d44a1f" /></Relationships>
</file>

<file path=xl/tables/table1.xml><?xml version="1.0" encoding="utf-8"?>
<x:table xmlns:x="http://schemas.openxmlformats.org/spreadsheetml/2006/main" id="4" name="PartsTable" displayName="PartsTable" ref="A1:M103" totalsRowShown="0">
  <x:autoFilter ref="A1:M103"/>
  <x:tableColumns count="13">
    <x:tableColumn id="1" name="Part_ID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Found_In"/>
    <x:tableColumn id="9" name="KiCad_References"/>
    <x:tableColumn id="10" name="Source"/>
    <x:tableColumn id="11" name="Review_Status"/>
    <x:tableColumn id="12" name="Notes"/>
    <x:tableColumn id="13" name="Duplicate_Check_Ke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KitsTable" displayName="KitsTable" ref="A1:G5" totalsRowShown="0">
  <x:tableColumns count="7">
    <x:tableColumn id="1" name="Kit_ID"/>
    <x:tableColumn id="2" name="Kit_Name"/>
    <x:tableColumn id="3" name="Revision"/>
    <x:tableColumn id="4" name="Status"/>
    <x:tableColumn id="5" name="KiCad_Schematic"/>
    <x:tableColumn id="6" name="KiCad_PCB"/>
    <x:tableColumn id="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" name="KitBomTable" displayName="KitBomTable" ref="A1:M84" totalsRowShown="0">
  <x:tableColumns count="13">
    <x:tableColumn id="1" name="Kit_ID"/>
    <x:tableColumn id="2" name="Kit_Revision"/>
    <x:tableColumn id="3" name="Position"/>
    <x:tableColumn id="4" name="RefDes"/>
    <x:tableColumn id="5" name="Part_Number"/>
    <x:tableColumn id="6" name="Quantity"/>
    <x:tableColumn id="7" name="Build_Status"/>
    <x:tableColumn id="8" name="Source_Type"/>
    <x:tableColumn id="9" name="Value"/>
    <x:tableColumn id="10" name="Footprint"/>
    <x:tableColumn id="11" name="Unit_Price_EUR"/>
    <x:tableColumn id="12" name="Position_Price_EUR"/>
    <x:tableColumn id="13" name="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OrderListTable" displayName="OrderListTable" ref="A13:K66" totalsRowCount="1">
  <x:autoFilter ref="A13:K65"/>
  <x:tableColumns count="11">
    <x:tableColumn id="1" name="Part_ID"/>
    <x:tableColumn id="2" name="Description"/>
    <x:tableColumn id="3" name="Supplier"/>
    <x:tableColumn id="4" name="Supplier_PN"/>
    <x:tableColumn id="5" name="Bedarf"/>
    <x:tableColumn id="6" name="Packaging_Unit"/>
    <x:tableColumn id="7" name="Bedarf_gerundet"/>
    <x:tableColumn id="8" name="Unit_Price_EUR"/>
    <x:tableColumn id="9" name="Bedarfswert_EUR"/>
    <x:tableColumn id="10" name="Import_Status"/>
    <x:tableColumn id="11" name="URL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StockTable" displayName="StockTable" ref="A4:M106" totalsRowShown="0">
  <x:autoFilter ref="A4:M106"/>
  <x:tableColumns count="13">
    <x:tableColumn id="1" name="Part_Number"/>
    <x:tableColumn id="2" name="Category"/>
    <x:tableColumn id="3" name="Description"/>
    <x:tableColumn id="4" name="Value_Rating"/>
    <x:tableColumn id="5" name="Package_Footprint"/>
    <x:tableColumn id="6" name="Manufacturer"/>
    <x:tableColumn id="7" name="MPN"/>
    <x:tableColumn id="8" name="Supplier"/>
    <x:tableColumn id="9" name="Supplier_PN"/>
    <x:tableColumn id="10" name="Bestand"/>
    <x:tableColumn id="11" name="Bestellt"/>
    <x:tableColumn id="12" name="Found_In"/>
    <x:tableColumn id="13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" name="PartSuppliersTable" displayName="PartSuppliersTable" ref="A1:L103" totalsRowShown="0">
  <x:tableColumns count="12">
    <x:tableColumn id="1" name="Part_ID"/>
    <x:tableColumn id="2" name="Supplier"/>
    <x:tableColumn id="3" name="Supplier_PN"/>
    <x:tableColumn id="4" name="URL"/>
    <x:tableColumn id="5" name="Unit_Price_EUR"/>
    <x:tableColumn id="6" name="Purchase_Unit"/>
    <x:tableColumn id="7" name="Packaging_Unit"/>
    <x:tableColumn id="8" name="Preferred"/>
    <x:tableColumn id="9" name="Last_Checked"/>
    <x:tableColumn id="10" name="Notes"/>
    <x:tableColumn id="11" name="Part_Supplier_Key"/>
    <x:tableColumn id="12" name="Preferred_Ke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uppliersTable" displayName="SuppliersTable" ref="A1:C10" totalsRowShown="0">
  <x:tableColumns count="3">
    <x:tableColumn id="1" name="Supplier"/>
    <x:tableColumn id="2" name="Active"/>
    <x:tableColumn id="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reichelt.de/de/de/shop/produkt/smd-widerstand_1206_47_ohm_250_mw_5_-250359" TargetMode="External" Id="R88d14adc82c9426d" /><Relationship Type="http://schemas.openxmlformats.org/officeDocument/2006/relationships/table" Target="/xl/tables/table1.xml" Id="Rded2a154fcbf4b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c879e7b6fba44d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e7c8e79d8cb495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82af76f8e0314ca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3e4a82be556a4c1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9a5c628bd58464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d6c78b4155374b7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2"/>
  <x:cols>
    <x:col min="1" max="1" width="14" style="6" customWidth="1"/>
    <x:col min="2" max="2" width="18" style="6" customWidth="1"/>
    <x:col min="3" max="3" width="38" style="6" customWidth="1"/>
    <x:col min="4" max="4" width="24" style="6" customWidth="1"/>
    <x:col min="5" max="5" width="42" style="6" customWidth="1"/>
    <x:col min="6" max="6" width="24" style="6" customWidth="1"/>
    <x:col min="7" max="7" width="26" style="6" customWidth="1"/>
    <x:col min="8" max="8" width="35" style="6" customWidth="1"/>
    <x:col min="9" max="9" width="42" style="6" customWidth="1"/>
    <x:col min="10" max="10" width="22" style="6" customWidth="1"/>
    <x:col min="11" max="11" width="15" style="6" customWidth="1"/>
    <x:col min="12" max="12" width="55" style="6" customWidth="1"/>
    <x:col min="13" max="13" width="38" style="6" customWidth="1"/>
    <x:col min="14" max="14" width="30" style="6" customWidth="1"/>
    <x:col min="15" max="15" width="42" style="6" customWidth="1"/>
    <x:col min="16" max="16" width="55.83203125" style="6" customWidth="1"/>
    <x:col min="17" max="17" width="15" style="6" customWidth="1"/>
    <x:col min="18" max="18" width="174.33203125" style="6" customWidth="1"/>
    <x:col min="19" max="19" width="42" style="6" customWidth="1"/>
    <x:col min="20" max="16384" width="8.83203125" style="6" customWidth="0"/>
  </x:cols>
  <x:sheetData>
    <x:row r="1" s="8" customFormat="1" ht="34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7" t="s">
        <x:v>7</x:v>
      </x:c>
      <x:c r="I1" s="7" t="s">
        <x:v>8</x:v>
      </x:c>
      <x:c r="J1" s="7" t="s">
        <x:v>9</x:v>
      </x:c>
      <x:c r="K1" s="7" t="s">
        <x:v>10</x:v>
      </x:c>
      <x:c r="L1" s="7" t="s">
        <x:v>11</x:v>
      </x:c>
      <x:c r="M1" s="7" t="s">
        <x:v>12</x:v>
      </x:c>
    </x:row>
    <x:row r="2" ht="48">
      <x:c r="A2" s="9" t="s">
        <x:v>13</x:v>
      </x:c>
      <x:c r="B2" s="10" t="s">
        <x:v>14</x:v>
      </x:c>
      <x:c r="C2" s="11" t="s">
        <x:v>15</x:v>
      </x:c>
      <x:c r="D2" s="11" t="s">
        <x:v>16</x:v>
      </x:c>
      <x:c r="E2" s="11"/>
      <x:c r="F2" s="11" t="s">
        <x:v>17</x:v>
      </x:c>
      <x:c r="G2" s="12"/>
      <x:c r="H2" s="12" t="s">
        <x:v>18</x:v>
      </x:c>
      <x:c r="I2" s="12" t="s">
        <x:v>19</x:v>
      </x:c>
      <x:c r="J2" s="11" t="s">
        <x:v>20</x:v>
      </x:c>
      <x:c r="K2" s="13" t="s">
        <x:v>21</x:v>
      </x:c>
      <x:c r="L2" s="11" t="s">
        <x:v>22</x:v>
      </x:c>
      <x:c r="M2" s="14" t="s">
        <x:v>23</x:v>
      </x:c>
      <x:c r="S2" s="6" t="str">
        <x:f t="shared" ref="S2:S33" si="0">IF(G2&lt;&gt;"",UPPER(TRIM(G2)),UPPER(TRIM(C2&amp;"|"&amp;E2)))</x:f>
        <x:v>SET, SET JST-PH 4-POLIG 2.00MM VERTIKALER PCB-STECKER, BUCHSE THT|</x:v>
      </x:c>
    </x:row>
    <x:row r="3" ht="48">
      <x:c r="A3" s="9" t="s">
        <x:v>24</x:v>
      </x:c>
      <x:c r="B3" s="10" t="s">
        <x:v>14</x:v>
      </x:c>
      <x:c r="C3" s="11" t="s">
        <x:v>25</x:v>
      </x:c>
      <x:c r="D3" s="11" t="s">
        <x:v>26</x:v>
      </x:c>
      <x:c r="E3" s="11"/>
      <x:c r="F3" s="11" t="s">
        <x:v>17</x:v>
      </x:c>
      <x:c r="G3" s="12"/>
      <x:c r="H3" s="12" t="s">
        <x:v>18</x:v>
      </x:c>
      <x:c r="I3" s="12" t="s">
        <x:v>27</x:v>
      </x:c>
      <x:c r="J3" s="11" t="s">
        <x:v>20</x:v>
      </x:c>
      <x:c r="K3" s="13" t="s">
        <x:v>21</x:v>
      </x:c>
      <x:c r="L3" s="11" t="s">
        <x:v>28</x:v>
      </x:c>
      <x:c r="M3" s="14" t="s">
        <x:v>29</x:v>
      </x:c>
      <x:c r="S3" s="6" t="str">
        <x:f t="shared" si="0"/>
        <x:v>QWIIC/JST-SH, 4-POLIGES PIGTAIL JST|</x:v>
      </x:c>
    </x:row>
    <x:row r="4" ht="32">
      <x:c r="A4" s="9" t="s">
        <x:v>30</x:v>
      </x:c>
      <x:c r="B4" s="10" t="s">
        <x:v>31</x:v>
      </x:c>
      <x:c r="C4" s="11" t="s">
        <x:v>32</x:v>
      </x:c>
      <x:c r="D4" s="11" t="s">
        <x:v>33</x:v>
      </x:c>
      <x:c r="E4" s="11" t="s">
        <x:v>34</x:v>
      </x:c>
      <x:c r="F4" s="11" t="s">
        <x:v>35</x:v>
      </x:c>
      <x:c r="G4" s="12">
        <x:v>10120946</x:v>
      </x:c>
      <x:c r="H4" s="12" t="s">
        <x:v>36</x:v>
      </x:c>
      <x:c r="I4" s="12" t="s">
        <x:v>37</x:v>
      </x:c>
      <x:c r="J4" s="11" t="s">
        <x:v>20</x:v>
      </x:c>
      <x:c r="K4" s="13" t="s">
        <x:v>21</x:v>
      </x:c>
      <x:c r="L4" s="11" t="s">
        <x:v>38</x:v>
      </x:c>
      <x:c r="M4" s="14" t="s">
        <x:v>39</x:v>
      </x:c>
      <x:c r="S4" s="6" t="str">
        <x:f t="shared" si="0"/>
        <x:v>10120946</x:v>
      </x:c>
    </x:row>
    <x:row r="5" ht="32">
      <x:c r="A5" s="9" t="s">
        <x:v>40</x:v>
      </x:c>
      <x:c r="B5" s="10" t="s">
        <x:v>31</x:v>
      </x:c>
      <x:c r="C5" s="11" t="s">
        <x:v>41</x:v>
      </x:c>
      <x:c r="D5" s="11" t="s">
        <x:v>42</x:v>
      </x:c>
      <x:c r="E5" s="11"/>
      <x:c r="F5" s="11" t="s">
        <x:v>35</x:v>
      </x:c>
      <x:c r="G5" s="12" t="s">
        <x:v>43</x:v>
      </x:c>
      <x:c r="H5" s="12" t="s">
        <x:v>18</x:v>
      </x:c>
      <x:c r="I5" s="12" t="s">
        <x:v>44</x:v>
      </x:c>
      <x:c r="J5" s="11" t="s">
        <x:v>20</x:v>
      </x:c>
      <x:c r="K5" s="13" t="s">
        <x:v>21</x:v>
      </x:c>
      <x:c r="L5" s="11" t="s">
        <x:v>45</x:v>
      </x:c>
      <x:c r="M5" s="14" t="s">
        <x:v>43</x:v>
      </x:c>
      <x:c r="S5" s="6" t="str">
        <x:f t="shared" si="0"/>
        <x:v>BL1.20 G</x:v>
      </x:c>
    </x:row>
    <x:row r="6" ht="32">
      <x:c r="A6" s="9" t="s">
        <x:v>46</x:v>
      </x:c>
      <x:c r="B6" s="10" t="s">
        <x:v>47</x:v>
      </x:c>
      <x:c r="C6" s="11" t="s">
        <x:v>48</x:v>
      </x:c>
      <x:c r="D6" s="11" t="s">
        <x:v>49</x:v>
      </x:c>
      <x:c r="E6" s="11" t="s">
        <x:v>50</x:v>
      </x:c>
      <x:c r="F6" s="11" t="s">
        <x:v>51</x:v>
      </x:c>
      <x:c r="G6" s="12" t="s">
        <x:v>52</x:v>
      </x:c>
      <x:c r="H6" s="12" t="s">
        <x:v>53</x:v>
      </x:c>
      <x:c r="I6" s="12" t="s">
        <x:v>54</x:v>
      </x:c>
      <x:c r="J6" s="11" t="s">
        <x:v>20</x:v>
      </x:c>
      <x:c r="K6" s="13" t="s">
        <x:v>21</x:v>
      </x:c>
      <x:c r="L6" s="11" t="s">
        <x:v>55</x:v>
      </x:c>
      <x:c r="M6" s="14" t="s">
        <x:v>52</x:v>
      </x:c>
      <x:c r="S6" s="6" t="str">
        <x:f t="shared" si="0"/>
        <x:v>CRCW12064K70FKEA</x:v>
      </x:c>
    </x:row>
    <x:row r="7" ht="64">
      <x:c r="A7" s="9" t="s">
        <x:v>56</x:v>
      </x:c>
      <x:c r="B7" s="10" t="s">
        <x:v>57</x:v>
      </x:c>
      <x:c r="C7" s="11" t="s">
        <x:v>58</x:v>
      </x:c>
      <x:c r="D7" s="11" t="s">
        <x:v>59</x:v>
      </x:c>
      <x:c r="E7" s="11" t="s">
        <x:v>60</x:v>
      </x:c>
      <x:c r="F7" s="11" t="s">
        <x:v>61</x:v>
      </x:c>
      <x:c r="G7" s="12" t="s">
        <x:v>62</x:v>
      </x:c>
      <x:c r="H7" s="12" t="s">
        <x:v>63</x:v>
      </x:c>
      <x:c r="I7" s="12" t="s">
        <x:v>64</x:v>
      </x:c>
      <x:c r="J7" s="11" t="s">
        <x:v>20</x:v>
      </x:c>
      <x:c r="K7" s="13" t="s">
        <x:v>21</x:v>
      </x:c>
      <x:c r="L7" s="11" t="s">
        <x:v>65</x:v>
      </x:c>
      <x:c r="M7" s="14" t="s">
        <x:v>62</x:v>
      </x:c>
      <x:c r="S7" s="6" t="str">
        <x:f t="shared" si="0"/>
        <x:v>C1206F104K1RACTU</x:v>
      </x:c>
    </x:row>
    <x:row r="8" ht="32">
      <x:c r="A8" s="9" t="s">
        <x:v>66</x:v>
      </x:c>
      <x:c r="B8" s="10" t="s">
        <x:v>57</x:v>
      </x:c>
      <x:c r="C8" s="11" t="s">
        <x:v>67</x:v>
      </x:c>
      <x:c r="D8" s="11" t="s">
        <x:v>68</x:v>
      </x:c>
      <x:c r="E8" s="11" t="s">
        <x:v>60</x:v>
      </x:c>
      <x:c r="F8" s="11" t="s">
        <x:v>69</x:v>
      </x:c>
      <x:c r="G8" s="12" t="s">
        <x:v>70</x:v>
      </x:c>
      <x:c r="H8" s="12" t="s">
        <x:v>71</x:v>
      </x:c>
      <x:c r="I8" s="12" t="s">
        <x:v>72</x:v>
      </x:c>
      <x:c r="J8" s="11" t="s">
        <x:v>20</x:v>
      </x:c>
      <x:c r="K8" s="13" t="s">
        <x:v>21</x:v>
      </x:c>
      <x:c r="L8" s="11" t="s">
        <x:v>73</x:v>
      </x:c>
      <x:c r="M8" s="14" t="s">
        <x:v>70</x:v>
      </x:c>
      <x:c r="S8" s="6" t="str">
        <x:f t="shared" si="0"/>
        <x:v>12063C106KAT2A</x:v>
      </x:c>
    </x:row>
    <x:row r="9" ht="16">
      <x:c r="A9" s="9" t="s">
        <x:v>74</x:v>
      </x:c>
      <x:c r="B9" s="10" t="s">
        <x:v>57</x:v>
      </x:c>
      <x:c r="C9" s="11" t="s">
        <x:v>75</x:v>
      </x:c>
      <x:c r="D9" s="11" t="s">
        <x:v>76</x:v>
      </x:c>
      <x:c r="E9" s="11" t="s">
        <x:v>77</x:v>
      </x:c>
      <x:c r="F9" s="11" t="s">
        <x:v>69</x:v>
      </x:c>
      <x:c r="G9" s="12" t="s">
        <x:v>78</x:v>
      </x:c>
      <x:c r="H9" s="12" t="s">
        <x:v>71</x:v>
      </x:c>
      <x:c r="I9" s="12" t="s">
        <x:v>79</x:v>
      </x:c>
      <x:c r="J9" s="11" t="s">
        <x:v>20</x:v>
      </x:c>
      <x:c r="K9" s="13" t="s">
        <x:v>21</x:v>
      </x:c>
      <x:c r="L9" s="11" t="s">
        <x:v>80</x:v>
      </x:c>
      <x:c r="M9" s="14" t="s">
        <x:v>78</x:v>
      </x:c>
      <x:c r="S9" s="6" t="str">
        <x:f t="shared" si="0"/>
        <x:v>TAJB476K010RNJ</x:v>
      </x:c>
    </x:row>
    <x:row r="10" ht="16">
      <x:c r="A10" s="9" t="s">
        <x:v>81</x:v>
      </x:c>
      <x:c r="B10" s="10" t="s">
        <x:v>82</x:v>
      </x:c>
      <x:c r="C10" s="11" t="s">
        <x:v>83</x:v>
      </x:c>
      <x:c r="D10" s="11" t="s">
        <x:v>84</x:v>
      </x:c>
      <x:c r="E10" s="11" t="s">
        <x:v>85</x:v>
      </x:c>
      <x:c r="F10" s="11" t="s">
        <x:v>86</x:v>
      </x:c>
      <x:c r="G10" s="12" t="s">
        <x:v>87</x:v>
      </x:c>
      <x:c r="H10" s="12" t="s">
        <x:v>71</x:v>
      </x:c>
      <x:c r="I10" s="12" t="s">
        <x:v>88</x:v>
      </x:c>
      <x:c r="J10" s="11" t="s">
        <x:v>20</x:v>
      </x:c>
      <x:c r="K10" s="13" t="s">
        <x:v>21</x:v>
      </x:c>
      <x:c r="L10" s="11" t="s">
        <x:v>89</x:v>
      </x:c>
      <x:c r="M10" s="14" t="s">
        <x:v>87</x:v>
      </x:c>
      <x:c r="S10" s="6" t="str">
        <x:f t="shared" si="0"/>
        <x:v>LM3940IMP-3.3/NOPB</x:v>
      </x:c>
    </x:row>
    <x:row r="11" ht="48">
      <x:c r="A11" s="9" t="s">
        <x:v>90</x:v>
      </x:c>
      <x:c r="B11" s="10" t="s">
        <x:v>91</x:v>
      </x:c>
      <x:c r="C11" s="11" t="s">
        <x:v>92</x:v>
      </x:c>
      <x:c r="D11" s="11" t="s">
        <x:v>93</x:v>
      </x:c>
      <x:c r="E11" s="11" t="s">
        <x:v>94</x:v>
      </x:c>
      <x:c r="F11" s="11" t="s">
        <x:v>95</x:v>
      </x:c>
      <x:c r="G11" s="12"/>
      <x:c r="H11" s="12" t="s">
        <x:v>71</x:v>
      </x:c>
      <x:c r="I11" s="12" t="s">
        <x:v>96</x:v>
      </x:c>
      <x:c r="J11" s="11" t="s">
        <x:v>20</x:v>
      </x:c>
      <x:c r="K11" s="13" t="s">
        <x:v>21</x:v>
      </x:c>
      <x:c r="L11" s="11" t="s">
        <x:v>97</x:v>
      </x:c>
      <x:c r="M11" s="14" t="s">
        <x:v>98</x:v>
      </x:c>
      <x:c r="S11" s="6" t="str">
        <x:f t="shared" si="0"/>
        <x:v>ESP32-DEVKITC|PCM_ESPRESSIF:ESP32-DEVKITC</x:v>
      </x:c>
    </x:row>
    <x:row r="12" ht="48">
      <x:c r="A12" s="9" t="s">
        <x:v>99</x:v>
      </x:c>
      <x:c r="B12" s="10" t="s">
        <x:v>100</x:v>
      </x:c>
      <x:c r="C12" s="11" t="s">
        <x:v>101</x:v>
      </x:c>
      <x:c r="D12" s="11" t="s">
        <x:v>102</x:v>
      </x:c>
      <x:c r="E12" s="11"/>
      <x:c r="F12" s="11" t="s">
        <x:v>103</x:v>
      </x:c>
      <x:c r="G12" s="12"/>
      <x:c r="H12" s="12" t="s">
        <x:v>18</x:v>
      </x:c>
      <x:c r="I12" s="12"/>
      <x:c r="J12" s="11" t="s">
        <x:v>20</x:v>
      </x:c>
      <x:c r="K12" s="13" t="s">
        <x:v>21</x:v>
      </x:c>
      <x:c r="L12" s="11" t="s">
        <x:v>104</x:v>
      </x:c>
      <x:c r="M12" s="14" t="s">
        <x:v>105</x:v>
      </x:c>
      <x:c r="S12" s="6" t="str">
        <x:f t="shared" si="0"/>
        <x:v>ENVNODE MAINBOARD REV 0.1|</x:v>
      </x:c>
    </x:row>
    <x:row r="13" ht="32">
      <x:c r="A13" s="9" t="s">
        <x:v>106</x:v>
      </x:c>
      <x:c r="B13" s="10" t="s">
        <x:v>31</x:v>
      </x:c>
      <x:c r="C13" s="11" t="s">
        <x:v>107</x:v>
      </x:c>
      <x:c r="D13" s="11" t="s">
        <x:v>108</x:v>
      </x:c>
      <x:c r="E13" s="11" t="s">
        <x:v>109</x:v>
      </x:c>
      <x:c r="F13" s="11" t="s">
        <x:v>17</x:v>
      </x:c>
      <x:c r="G13" s="12" t="s">
        <x:v>110</x:v>
      </x:c>
      <x:c r="H13" s="12" t="s">
        <x:v>71</x:v>
      </x:c>
      <x:c r="I13" s="12" t="s">
        <x:v>111</x:v>
      </x:c>
      <x:c r="J13" s="11" t="s">
        <x:v>20</x:v>
      </x:c>
      <x:c r="K13" s="13" t="s">
        <x:v>21</x:v>
      </x:c>
      <x:c r="L13" s="11"/>
      <x:c r="M13" s="14" t="s">
        <x:v>110</x:v>
      </x:c>
      <x:c r="S13" s="6" t="str">
        <x:f t="shared" si="0"/>
        <x:v>B2B-PH-K-S</x:v>
      </x:c>
    </x:row>
    <x:row r="14" ht="32">
      <x:c r="A14" s="9" t="s">
        <x:v>112</x:v>
      </x:c>
      <x:c r="B14" s="10" t="s">
        <x:v>113</x:v>
      </x:c>
      <x:c r="C14" s="11" t="s">
        <x:v>114</x:v>
      </x:c>
      <x:c r="D14" s="11" t="s">
        <x:v>115</x:v>
      </x:c>
      <x:c r="E14" s="11" t="s">
        <x:v>116</x:v>
      </x:c>
      <x:c r="F14" s="11" t="s">
        <x:v>117</x:v>
      </x:c>
      <x:c r="G14" s="12" t="s">
        <x:v>118</x:v>
      </x:c>
      <x:c r="H14" s="12" t="s">
        <x:v>119</x:v>
      </x:c>
      <x:c r="I14" s="12" t="s">
        <x:v>120</x:v>
      </x:c>
      <x:c r="J14" s="11" t="s">
        <x:v>20</x:v>
      </x:c>
      <x:c r="K14" s="13" t="s">
        <x:v>21</x:v>
      </x:c>
      <x:c r="L14" s="11"/>
      <x:c r="M14" s="14" t="s">
        <x:v>118</x:v>
      </x:c>
      <x:c r="S14" s="6" t="str">
        <x:f t="shared" si="0"/>
        <x:v>AO3400A</x:v>
      </x:c>
    </x:row>
    <x:row r="15" ht="32">
      <x:c r="A15" s="9" t="s">
        <x:v>121</x:v>
      </x:c>
      <x:c r="B15" s="10" t="s">
        <x:v>122</x:v>
      </x:c>
      <x:c r="C15" s="11" t="s">
        <x:v>123</x:v>
      </x:c>
      <x:c r="D15" s="11" t="s">
        <x:v>124</x:v>
      </x:c>
      <x:c r="E15" s="11"/>
      <x:c r="F15" s="11" t="s">
        <x:v>125</x:v>
      </x:c>
      <x:c r="G15" s="12">
        <x:v>333032</x:v>
      </x:c>
      <x:c r="H15" s="12" t="s">
        <x:v>126</x:v>
      </x:c>
      <x:c r="I15" s="12"/>
      <x:c r="J15" s="11" t="s">
        <x:v>20</x:v>
      </x:c>
      <x:c r="K15" s="13" t="s">
        <x:v>21</x:v>
      </x:c>
      <x:c r="L15" s="11"/>
      <x:c r="M15" s="14" t="s">
        <x:v>127</x:v>
      </x:c>
      <x:c r="S15" s="6" t="str">
        <x:f t="shared" si="0"/>
        <x:v>333032</x:v>
      </x:c>
    </x:row>
    <x:row r="16" ht="32">
      <x:c r="A16" s="9" t="s">
        <x:v>128</x:v>
      </x:c>
      <x:c r="B16" s="10" t="s">
        <x:v>91</x:v>
      </x:c>
      <x:c r="C16" s="11" t="s">
        <x:v>129</x:v>
      </x:c>
      <x:c r="D16" s="11" t="s">
        <x:v>130</x:v>
      </x:c>
      <x:c r="E16" s="11"/>
      <x:c r="F16" s="11" t="s">
        <x:v>125</x:v>
      </x:c>
      <x:c r="G16" s="12">
        <x:v>333095</x:v>
      </x:c>
      <x:c r="H16" s="12" t="s">
        <x:v>131</x:v>
      </x:c>
      <x:c r="I16" s="12"/>
      <x:c r="J16" s="11" t="s">
        <x:v>20</x:v>
      </x:c>
      <x:c r="K16" s="13" t="s">
        <x:v>21</x:v>
      </x:c>
      <x:c r="L16" s="11"/>
      <x:c r="M16" s="14" t="s">
        <x:v>132</x:v>
      </x:c>
      <x:c r="S16" s="6" t="str">
        <x:f t="shared" si="0"/>
        <x:v>333095</x:v>
      </x:c>
    </x:row>
    <x:row r="17" ht="32">
      <x:c r="A17" s="9" t="s">
        <x:v>133</x:v>
      </x:c>
      <x:c r="B17" s="10" t="s">
        <x:v>47</x:v>
      </x:c>
      <x:c r="C17" s="11" t="s">
        <x:v>134</x:v>
      </x:c>
      <x:c r="D17" s="11" t="s">
        <x:v>135</x:v>
      </x:c>
      <x:c r="E17" s="11" t="s">
        <x:v>50</x:v>
      </x:c>
      <x:c r="F17" s="11" t="s">
        <x:v>136</x:v>
      </x:c>
      <x:c r="G17" s="12" t="s">
        <x:v>137</x:v>
      </x:c>
      <x:c r="H17" s="12" t="s">
        <x:v>138</x:v>
      </x:c>
      <x:c r="I17" s="12" t="s">
        <x:v>139</x:v>
      </x:c>
      <x:c r="J17" s="11" t="s">
        <x:v>20</x:v>
      </x:c>
      <x:c r="K17" s="13" t="s">
        <x:v>21</x:v>
      </x:c>
      <x:c r="L17" s="11" t="s">
        <x:v>140</x:v>
      </x:c>
      <x:c r="M17" s="14" t="s">
        <x:v>137</x:v>
      </x:c>
      <x:c r="S17" s="6" t="str">
        <x:f t="shared" si="0"/>
        <x:v>ERA8AEB104V</x:v>
      </x:c>
    </x:row>
    <x:row r="18" ht="32">
      <x:c r="A18" s="9" t="s">
        <x:v>141</x:v>
      </x:c>
      <x:c r="B18" s="10" t="s">
        <x:v>47</x:v>
      </x:c>
      <x:c r="C18" s="11" t="s">
        <x:v>142</x:v>
      </x:c>
      <x:c r="D18" s="11" t="s">
        <x:v>143</x:v>
      </x:c>
      <x:c r="E18" s="11" t="s">
        <x:v>50</x:v>
      </x:c>
      <x:c r="F18" s="11" t="s">
        <x:v>144</x:v>
      </x:c>
      <x:c r="G18" s="12" t="s">
        <x:v>145</x:v>
      </x:c>
      <x:c r="H18" s="12" t="s">
        <x:v>146</x:v>
      </x:c>
      <x:c r="I18" s="12" t="s">
        <x:v>147</x:v>
      </x:c>
      <x:c r="J18" s="11" t="s">
        <x:v>20</x:v>
      </x:c>
      <x:c r="K18" s="13" t="s">
        <x:v>21</x:v>
      </x:c>
      <x:c r="L18" s="11"/>
      <x:c r="M18" s="14" t="s">
        <x:v>145</x:v>
      </x:c>
      <x:c r="S18" s="6" t="str">
        <x:f t="shared" si="0"/>
        <x:v>RC1206JR-07100RL</x:v>
      </x:c>
    </x:row>
    <x:row r="19" ht="32">
      <x:c r="A19" s="9" t="s">
        <x:v>148</x:v>
      </x:c>
      <x:c r="B19" s="10" t="s">
        <x:v>47</x:v>
      </x:c>
      <x:c r="C19" s="11" t="s">
        <x:v>149</x:v>
      </x:c>
      <x:c r="D19" s="11" t="s">
        <x:v>150</x:v>
      </x:c>
      <x:c r="E19" s="11" t="s">
        <x:v>50</x:v>
      </x:c>
      <x:c r="F19" s="11" t="s">
        <x:v>136</x:v>
      </x:c>
      <x:c r="G19" s="12" t="s">
        <x:v>151</x:v>
      </x:c>
      <x:c r="H19" s="12" t="s">
        <x:v>119</x:v>
      </x:c>
      <x:c r="I19" s="12" t="s">
        <x:v>152</x:v>
      </x:c>
      <x:c r="J19" s="11" t="s">
        <x:v>20</x:v>
      </x:c>
      <x:c r="K19" s="13" t="s">
        <x:v>21</x:v>
      </x:c>
      <x:c r="L19" s="11" t="s">
        <x:v>153</x:v>
      </x:c>
      <x:c r="M19" s="14" t="s">
        <x:v>151</x:v>
      </x:c>
      <x:c r="S19" s="6" t="str">
        <x:f t="shared" si="0"/>
        <x:v>ERA8AEB103V</x:v>
      </x:c>
    </x:row>
    <x:row r="20" ht="32">
      <x:c r="A20" s="9" t="s">
        <x:v>154</x:v>
      </x:c>
      <x:c r="B20" s="10" t="s">
        <x:v>31</x:v>
      </x:c>
      <x:c r="C20" s="11" t="s">
        <x:v>155</x:v>
      </x:c>
      <x:c r="D20" s="11" t="s">
        <x:v>156</x:v>
      </x:c>
      <x:c r="E20" s="11" t="s">
        <x:v>157</x:v>
      </x:c>
      <x:c r="F20" s="11" t="s">
        <x:v>158</x:v>
      </x:c>
      <x:c r="G20" s="12">
        <x:v>10120505</x:v>
      </x:c>
      <x:c r="H20" s="12" t="s">
        <x:v>119</x:v>
      </x:c>
      <x:c r="I20" s="12" t="s">
        <x:v>159</x:v>
      </x:c>
      <x:c r="J20" s="11" t="s">
        <x:v>20</x:v>
      </x:c>
      <x:c r="K20" s="13" t="s">
        <x:v>21</x:v>
      </x:c>
      <x:c r="L20" s="11"/>
      <x:c r="M20" s="14" t="s">
        <x:v>160</x:v>
      </x:c>
      <x:c r="S20" s="6" t="str">
        <x:f t="shared" si="0"/>
        <x:v>10120505</x:v>
      </x:c>
    </x:row>
    <x:row r="21" ht="16">
      <x:c r="A21" s="9" t="s">
        <x:v>161</x:v>
      </x:c>
      <x:c r="B21" s="10" t="s">
        <x:v>162</x:v>
      </x:c>
      <x:c r="C21" s="11" t="s">
        <x:v>163</x:v>
      </x:c>
      <x:c r="D21" s="11" t="s">
        <x:v>164</x:v>
      </x:c>
      <x:c r="E21" s="11" t="s">
        <x:v>165</x:v>
      </x:c>
      <x:c r="F21" s="11" t="s">
        <x:v>166</x:v>
      </x:c>
      <x:c r="G21" s="12" t="s">
        <x:v>167</x:v>
      </x:c>
      <x:c r="H21" s="12" t="s">
        <x:v>119</x:v>
      </x:c>
      <x:c r="I21" s="12" t="s">
        <x:v>168</x:v>
      </x:c>
      <x:c r="J21" s="11" t="s">
        <x:v>20</x:v>
      </x:c>
      <x:c r="K21" s="13" t="s">
        <x:v>21</x:v>
      </x:c>
      <x:c r="L21" s="11"/>
      <x:c r="M21" s="14" t="s">
        <x:v>167</x:v>
      </x:c>
      <x:c r="S21" s="6" t="str">
        <x:f t="shared" si="0"/>
        <x:v>ICM7555IBAZ</x:v>
      </x:c>
    </x:row>
    <x:row r="22" ht="48">
      <x:c r="A22" s="9" t="s">
        <x:v>169</x:v>
      </x:c>
      <x:c r="B22" s="10" t="s">
        <x:v>31</x:v>
      </x:c>
      <x:c r="C22" s="11" t="s">
        <x:v>170</x:v>
      </x:c>
      <x:c r="D22" s="11" t="s">
        <x:v>171</x:v>
      </x:c>
      <x:c r="E22" s="11"/>
      <x:c r="F22" s="11" t="s">
        <x:v>35</x:v>
      </x:c>
      <x:c r="G22" s="12" t="s">
        <x:v>172</x:v>
      </x:c>
      <x:c r="H22" s="12" t="s">
        <x:v>173</x:v>
      </x:c>
      <x:c r="I22" s="12" t="s">
        <x:v>174</x:v>
      </x:c>
      <x:c r="J22" s="11" t="s">
        <x:v>175</x:v>
      </x:c>
      <x:c r="K22" s="13" t="s">
        <x:v>21</x:v>
      </x:c>
      <x:c r="L22" s="11" t="s">
        <x:v>176</x:v>
      </x:c>
      <x:c r="M22" s="14" t="s">
        <x:v>172</x:v>
      </x:c>
      <x:c r="S22" s="6" t="str">
        <x:f t="shared" si="0"/>
        <x:v>BL 3 8 G</x:v>
      </x:c>
    </x:row>
    <x:row r="23" ht="32">
      <x:c r="A23" s="9" t="s">
        <x:v>177</x:v>
      </x:c>
      <x:c r="B23" s="10" t="s">
        <x:v>47</x:v>
      </x:c>
      <x:c r="C23" s="15" t="s">
        <x:v>178</x:v>
      </x:c>
      <x:c r="D23" s="11" t="s">
        <x:v>179</x:v>
      </x:c>
      <x:c r="E23" s="11" t="s">
        <x:v>50</x:v>
      </x:c>
      <x:c r="F23" s="11" t="s">
        <x:v>180</x:v>
      </x:c>
      <x:c r="G23" s="12" t="s">
        <x:v>181</x:v>
      </x:c>
      <x:c r="H23" s="12" t="s">
        <x:v>182</x:v>
      </x:c>
      <x:c r="I23" s="12"/>
      <x:c r="J23" s="11" t="s">
        <x:v>20</x:v>
      </x:c>
      <x:c r="K23" s="13" t="s">
        <x:v>21</x:v>
      </x:c>
      <x:c r="L23" s="11"/>
      <x:c r="M23" s="14" t="s">
        <x:v>181</x:v>
      </x:c>
      <x:c r="S23" s="6" t="str">
        <x:f t="shared" si="0"/>
        <x:v>RND 1551206S4J0470T5E</x:v>
      </x:c>
    </x:row>
    <x:row r="24" ht="16">
      <x:c r="A24" s="9" t="s">
        <x:v>183</x:v>
      </x:c>
      <x:c r="B24" s="10" t="s">
        <x:v>184</x:v>
      </x:c>
      <x:c r="C24" s="11" t="s">
        <x:v>185</x:v>
      </x:c>
      <x:c r="D24" s="11" t="s">
        <x:v>186</x:v>
      </x:c>
      <x:c r="E24" s="11" t="s">
        <x:v>187</x:v>
      </x:c>
      <x:c r="F24" s="11" t="s">
        <x:v>188</x:v>
      </x:c>
      <x:c r="G24" s="12" t="s">
        <x:v>189</x:v>
      </x:c>
      <x:c r="H24" s="12" t="s">
        <x:v>190</x:v>
      </x:c>
      <x:c r="I24" s="12" t="s">
        <x:v>191</x:v>
      </x:c>
      <x:c r="J24" s="11" t="s">
        <x:v>20</x:v>
      </x:c>
      <x:c r="K24" s="13" t="s">
        <x:v>21</x:v>
      </x:c>
      <x:c r="L24" s="11"/>
      <x:c r="M24" s="14" t="s">
        <x:v>189</x:v>
      </x:c>
      <x:c r="S24" s="6" t="str">
        <x:f t="shared" si="0"/>
        <x:v>34.51.7.005.0010</x:v>
      </x:c>
    </x:row>
    <x:row r="25" ht="144">
      <x:c r="A25" s="9" t="s">
        <x:v>192</x:v>
      </x:c>
      <x:c r="B25" s="10" t="s">
        <x:v>162</x:v>
      </x:c>
      <x:c r="C25" s="11" t="s">
        <x:v>193</x:v>
      </x:c>
      <x:c r="D25" s="11" t="s">
        <x:v>194</x:v>
      </x:c>
      <x:c r="E25" s="11" t="s">
        <x:v>195</x:v>
      </x:c>
      <x:c r="F25" s="11" t="s">
        <x:v>196</x:v>
      </x:c>
      <x:c r="G25" s="12" t="s">
        <x:v>197</x:v>
      </x:c>
      <x:c r="H25" s="12" t="s">
        <x:v>198</x:v>
      </x:c>
      <x:c r="I25" s="12" t="s">
        <x:v>199</x:v>
      </x:c>
      <x:c r="J25" s="11" t="s">
        <x:v>200</x:v>
      </x:c>
      <x:c r="K25" s="13" t="s">
        <x:v>21</x:v>
      </x:c>
      <x:c r="L25" s="11" t="s">
        <x:v>201</x:v>
      </x:c>
      <x:c r="M25" s="14" t="s">
        <x:v>197</x:v>
      </x:c>
      <x:c r="S25" s="6" t="str">
        <x:f t="shared" si="0"/>
        <x:v>24AA025E64T-I/OT</x:v>
      </x:c>
    </x:row>
    <x:row r="26" ht="32">
      <x:c r="A26" s="9" t="s">
        <x:v>202</x:v>
      </x:c>
      <x:c r="B26" s="10" t="s">
        <x:v>31</x:v>
      </x:c>
      <x:c r="C26" s="11" t="s">
        <x:v>203</x:v>
      </x:c>
      <x:c r="D26" s="11" t="s">
        <x:v>204</x:v>
      </x:c>
      <x:c r="E26" s="11" t="s">
        <x:v>205</x:v>
      </x:c>
      <x:c r="F26" s="11" t="s">
        <x:v>17</x:v>
      </x:c>
      <x:c r="G26" s="12" t="s">
        <x:v>206</x:v>
      </x:c>
      <x:c r="H26" s="12" t="s">
        <x:v>18</x:v>
      </x:c>
      <x:c r="I26" s="12" t="s">
        <x:v>207</x:v>
      </x:c>
      <x:c r="J26" s="11" t="s">
        <x:v>208</x:v>
      </x:c>
      <x:c r="K26" s="13" t="s">
        <x:v>21</x:v>
      </x:c>
      <x:c r="L26" s="11" t="s">
        <x:v>209</x:v>
      </x:c>
      <x:c r="M26" s="14" t="s">
        <x:v>206</x:v>
      </x:c>
      <x:c r="S26" s="6" t="str">
        <x:f t="shared" si="0"/>
        <x:v>B4B-PH-K-S</x:v>
      </x:c>
    </x:row>
    <x:row r="27" ht="32">
      <x:c r="A27" s="9" t="s">
        <x:v>210</x:v>
      </x:c>
      <x:c r="B27" s="10" t="s">
        <x:v>31</x:v>
      </x:c>
      <x:c r="C27" s="11" t="s">
        <x:v>211</x:v>
      </x:c>
      <x:c r="D27" s="11" t="s">
        <x:v>212</x:v>
      </x:c>
      <x:c r="E27" s="11" t="s">
        <x:v>213</x:v>
      </x:c>
      <x:c r="F27" s="11" t="s">
        <x:v>17</x:v>
      </x:c>
      <x:c r="G27" s="12" t="s">
        <x:v>214</x:v>
      </x:c>
      <x:c r="H27" s="12" t="s">
        <x:v>215</x:v>
      </x:c>
      <x:c r="I27" s="12" t="s">
        <x:v>216</x:v>
      </x:c>
      <x:c r="J27" s="11" t="s">
        <x:v>208</x:v>
      </x:c>
      <x:c r="K27" s="13" t="s">
        <x:v>21</x:v>
      </x:c>
      <x:c r="L27" s="11" t="s">
        <x:v>217</x:v>
      </x:c>
      <x:c r="M27" s="14" t="s">
        <x:v>214</x:v>
      </x:c>
      <x:c r="S27" s="6" t="str">
        <x:f t="shared" si="0"/>
        <x:v>SM04B-SRSS-TB</x:v>
      </x:c>
    </x:row>
    <x:row r="28" ht="32">
      <x:c r="A28" s="9" t="s">
        <x:v>218</x:v>
      </x:c>
      <x:c r="B28" s="10" t="s">
        <x:v>162</x:v>
      </x:c>
      <x:c r="C28" s="11" t="s">
        <x:v>219</x:v>
      </x:c>
      <x:c r="D28" s="11" t="s">
        <x:v>220</x:v>
      </x:c>
      <x:c r="E28" s="11" t="s">
        <x:v>221</x:v>
      </x:c>
      <x:c r="F28" s="11" t="s">
        <x:v>86</x:v>
      </x:c>
      <x:c r="G28" s="12" t="s">
        <x:v>220</x:v>
      </x:c>
      <x:c r="H28" s="12" t="s">
        <x:v>222</x:v>
      </x:c>
      <x:c r="I28" s="12" t="s">
        <x:v>223</x:v>
      </x:c>
      <x:c r="J28" s="11" t="s">
        <x:v>208</x:v>
      </x:c>
      <x:c r="K28" s="13" t="s">
        <x:v>21</x:v>
      </x:c>
      <x:c r="L28" s="11" t="s">
        <x:v>224</x:v>
      </x:c>
      <x:c r="M28" s="14" t="s">
        <x:v>220</x:v>
      </x:c>
      <x:c r="S28" s="6" t="str">
        <x:f t="shared" si="0"/>
        <x:v>ADS1115IDGS</x:v>
      </x:c>
    </x:row>
    <x:row r="29" ht="32">
      <x:c r="A29" s="9" t="s">
        <x:v>225</x:v>
      </x:c>
      <x:c r="B29" s="10" t="s">
        <x:v>57</x:v>
      </x:c>
      <x:c r="C29" s="11" t="s">
        <x:v>226</x:v>
      </x:c>
      <x:c r="D29" s="11" t="s">
        <x:v>227</x:v>
      </x:c>
      <x:c r="E29" s="11" t="s">
        <x:v>60</x:v>
      </x:c>
      <x:c r="F29" s="11" t="s">
        <x:v>61</x:v>
      </x:c>
      <x:c r="G29" s="12" t="s">
        <x:v>228</x:v>
      </x:c>
      <x:c r="H29" s="12" t="s">
        <x:v>229</x:v>
      </x:c>
      <x:c r="I29" s="12" t="s">
        <x:v>230</x:v>
      </x:c>
      <x:c r="J29" s="11" t="s">
        <x:v>208</x:v>
      </x:c>
      <x:c r="K29" s="13" t="s">
        <x:v>21</x:v>
      </x:c>
      <x:c r="L29" s="11"/>
      <x:c r="M29" s="14" t="s">
        <x:v>228</x:v>
      </x:c>
      <x:c r="S29" s="6" t="str">
        <x:f t="shared" si="0"/>
        <x:v>12065C105JAT2A</x:v>
      </x:c>
    </x:row>
    <x:row r="30" ht="48">
      <x:c r="A30" s="9" t="s">
        <x:v>231</x:v>
      </x:c>
      <x:c r="B30" s="10" t="s">
        <x:v>232</x:v>
      </x:c>
      <x:c r="C30" s="11" t="s">
        <x:v>233</x:v>
      </x:c>
      <x:c r="D30" s="11" t="s">
        <x:v>234</x:v>
      </x:c>
      <x:c r="E30" s="11" t="s">
        <x:v>116</x:v>
      </x:c>
      <x:c r="F30" s="11" t="s">
        <x:v>235</x:v>
      </x:c>
      <x:c r="G30" s="12" t="s">
        <x:v>234</x:v>
      </x:c>
      <x:c r="H30" s="12" t="s">
        <x:v>229</x:v>
      </x:c>
      <x:c r="I30" s="12" t="s">
        <x:v>236</x:v>
      </x:c>
      <x:c r="J30" s="11" t="s">
        <x:v>208</x:v>
      </x:c>
      <x:c r="K30" s="13" t="s">
        <x:v>21</x:v>
      </x:c>
      <x:c r="L30" s="11" t="s">
        <x:v>237</x:v>
      </x:c>
      <x:c r="M30" s="14" t="s">
        <x:v>234</x:v>
      </x:c>
      <x:c r="S30" s="6" t="str">
        <x:f t="shared" si="0"/>
        <x:v>BAT54S</x:v>
      </x:c>
    </x:row>
    <x:row r="31" ht="32">
      <x:c r="A31" s="9" t="s">
        <x:v>238</x:v>
      </x:c>
      <x:c r="B31" s="10" t="s">
        <x:v>31</x:v>
      </x:c>
      <x:c r="C31" s="11" t="s">
        <x:v>239</x:v>
      </x:c>
      <x:c r="D31" s="11" t="s">
        <x:v>240</x:v>
      </x:c>
      <x:c r="E31" s="11" t="s">
        <x:v>241</x:v>
      </x:c>
      <x:c r="F31" s="11"/>
      <x:c r="G31" s="12"/>
      <x:c r="H31" s="12" t="s">
        <x:v>242</x:v>
      </x:c>
      <x:c r="I31" s="12" t="s">
        <x:v>243</x:v>
      </x:c>
      <x:c r="J31" s="11" t="s">
        <x:v>208</x:v>
      </x:c>
      <x:c r="K31" s="13" t="s">
        <x:v>244</x:v>
      </x:c>
      <x:c r="L31" s="11" t="s">
        <x:v>245</x:v>
      </x:c>
      <x:c r="M31" s="14" t="s">
        <x:v>246</x:v>
      </x:c>
      <x:c r="S31" s="6" t="str">
        <x:f t="shared" si="0"/>
        <x:v>BUCHSENLEISTE 2X4, VERTIKAL|PINSOCKET_2X04_P2.54MM_VERTICAL / ENVNODE BOTTOM-VARIANTE</x:v>
      </x:c>
    </x:row>
    <x:row r="32" ht="32">
      <x:c r="A32" s="9" t="s">
        <x:v>247</x:v>
      </x:c>
      <x:c r="B32" s="10" t="s">
        <x:v>31</x:v>
      </x:c>
      <x:c r="C32" s="11" t="s">
        <x:v>248</x:v>
      </x:c>
      <x:c r="D32" s="11" t="s">
        <x:v>249</x:v>
      </x:c>
      <x:c r="E32" s="11" t="s">
        <x:v>250</x:v>
      </x:c>
      <x:c r="F32" s="11"/>
      <x:c r="G32" s="12"/>
      <x:c r="H32" s="12" t="s">
        <x:v>229</x:v>
      </x:c>
      <x:c r="I32" s="12" t="s">
        <x:v>251</x:v>
      </x:c>
      <x:c r="J32" s="11" t="s">
        <x:v>208</x:v>
      </x:c>
      <x:c r="K32" s="13" t="s">
        <x:v>244</x:v>
      </x:c>
      <x:c r="L32" s="11"/>
      <x:c r="M32" s="14" t="s">
        <x:v>252</x:v>
      </x:c>
      <x:c r="S32" s="6" t="str">
        <x:f t="shared" si="0"/>
        <x:v>BUCHSENLEISTE 1X2, VERTIKAL|CONNECTOR_PINSOCKET_2.54MM:PINSOCKET_1X02_P2.54MM_VERTICAL</x:v>
      </x:c>
    </x:row>
    <x:row r="33" ht="32">
      <x:c r="A33" s="9" t="s">
        <x:v>253</x:v>
      </x:c>
      <x:c r="B33" s="10" t="s">
        <x:v>47</x:v>
      </x:c>
      <x:c r="C33" s="11" t="s">
        <x:v>254</x:v>
      </x:c>
      <x:c r="D33" s="11" t="s">
        <x:v>255</x:v>
      </x:c>
      <x:c r="E33" s="11" t="s">
        <x:v>256</x:v>
      </x:c>
      <x:c r="F33" s="11" t="s">
        <x:v>257</x:v>
      </x:c>
      <x:c r="G33" s="12" t="s">
        <x:v>258</x:v>
      </x:c>
      <x:c r="H33" s="12" t="s">
        <x:v>229</x:v>
      </x:c>
      <x:c r="I33" s="12" t="s">
        <x:v>259</x:v>
      </x:c>
      <x:c r="J33" s="11" t="s">
        <x:v>208</x:v>
      </x:c>
      <x:c r="K33" s="13" t="s">
        <x:v>21</x:v>
      </x:c>
      <x:c r="L33" s="11"/>
      <x:c r="M33" s="14" t="s">
        <x:v>258</x:v>
      </x:c>
      <x:c r="S33" s="6" t="str">
        <x:f t="shared" si="0"/>
        <x:v>MRA0207 150R B 15PPM TA</x:v>
      </x:c>
    </x:row>
    <x:row r="34" ht="16">
      <x:c r="A34" s="9" t="s">
        <x:v>260</x:v>
      </x:c>
      <x:c r="B34" s="10" t="s">
        <x:v>232</x:v>
      </x:c>
      <x:c r="C34" s="11" t="s">
        <x:v>261</x:v>
      </x:c>
      <x:c r="D34" s="11" t="s">
        <x:v>262</x:v>
      </x:c>
      <x:c r="E34" s="11" t="s">
        <x:v>263</x:v>
      </x:c>
      <x:c r="F34" s="11" t="s">
        <x:v>235</x:v>
      </x:c>
      <x:c r="G34" s="12" t="s">
        <x:v>262</x:v>
      </x:c>
      <x:c r="H34" s="12" t="s">
        <x:v>190</x:v>
      </x:c>
      <x:c r="I34" s="12" t="s">
        <x:v>264</x:v>
      </x:c>
      <x:c r="J34" s="11" t="s">
        <x:v>208</x:v>
      </x:c>
      <x:c r="K34" s="13" t="s">
        <x:v>21</x:v>
      </x:c>
      <x:c r="L34" s="11"/>
      <x:c r="M34" s="14" t="s">
        <x:v>262</x:v>
      </x:c>
      <x:c r="S34" s="6" t="str">
        <x:f t="shared" ref="S34:S54" si="1">IF(G34&lt;&gt;"",UPPER(TRIM(G34)),UPPER(TRIM(C34&amp;"|"&amp;E34)))</x:f>
        <x:v>1N4148W</x:v>
      </x:c>
    </x:row>
    <x:row r="35" ht="32">
      <x:c r="A35" s="9" t="s">
        <x:v>265</x:v>
      </x:c>
      <x:c r="B35" s="10" t="s">
        <x:v>31</x:v>
      </x:c>
      <x:c r="C35" s="11" t="s">
        <x:v>266</x:v>
      </x:c>
      <x:c r="D35" s="11" t="s">
        <x:v>267</x:v>
      </x:c>
      <x:c r="E35" s="11" t="s">
        <x:v>268</x:v>
      </x:c>
      <x:c r="F35" s="11" t="s">
        <x:v>269</x:v>
      </x:c>
      <x:c r="G35" s="12"/>
      <x:c r="H35" s="12" t="s">
        <x:v>190</x:v>
      </x:c>
      <x:c r="I35" s="12" t="s">
        <x:v>270</x:v>
      </x:c>
      <x:c r="J35" s="11" t="s">
        <x:v>208</x:v>
      </x:c>
      <x:c r="K35" s="13" t="s">
        <x:v>21</x:v>
      </x:c>
      <x:c r="L35" s="11" t="s">
        <x:v>271</x:v>
      </x:c>
      <x:c r="M35" s="14" t="s">
        <x:v>272</x:v>
      </x:c>
      <x:c r="S35" s="6" t="str">
        <x:f t="shared" si="1"/>
        <x:v>SCHRAUBKLEMME 1X3, HORIZONTAL|TERMINALBLOCK_PHOENIX:TERMINALBLOCK_PHOENIX_MKDS-3-3-5.08_1X03_P5.08MM_HORIZONTAL</x:v>
      </x:c>
    </x:row>
    <x:row r="36" ht="16">
      <x:c r="A36" s="9" t="s">
        <x:v>273</x:v>
      </x:c>
      <x:c r="B36" s="10" t="s">
        <x:v>274</x:v>
      </x:c>
      <x:c r="C36" s="11" t="s">
        <x:v>275</x:v>
      </x:c>
      <x:c r="D36" s="11" t="s">
        <x:v>276</x:v>
      </x:c>
      <x:c r="E36" s="11" t="s">
        <x:v>277</x:v>
      </x:c>
      <x:c r="F36" s="11" t="s">
        <x:v>235</x:v>
      </x:c>
      <x:c r="G36" s="12" t="s">
        <x:v>276</x:v>
      </x:c>
      <x:c r="H36" s="12" t="s">
        <x:v>190</x:v>
      </x:c>
      <x:c r="I36" s="12" t="s">
        <x:v>278</x:v>
      </x:c>
      <x:c r="J36" s="11" t="s">
        <x:v>208</x:v>
      </x:c>
      <x:c r="K36" s="13" t="s">
        <x:v>21</x:v>
      </x:c>
      <x:c r="L36" s="11"/>
      <x:c r="M36" s="14" t="s">
        <x:v>276</x:v>
      </x:c>
      <x:c r="S36" s="6" t="str">
        <x:f t="shared" si="1"/>
        <x:v>BC817</x:v>
      </x:c>
    </x:row>
    <x:row r="37" ht="32">
      <x:c r="A37" s="9" t="s">
        <x:v>279</x:v>
      </x:c>
      <x:c r="B37" s="10" t="s">
        <x:v>47</x:v>
      </x:c>
      <x:c r="C37" s="11" t="s">
        <x:v>280</x:v>
      </x:c>
      <x:c r="D37" s="11" t="s">
        <x:v>281</x:v>
      </x:c>
      <x:c r="E37" s="11" t="s">
        <x:v>50</x:v>
      </x:c>
      <x:c r="F37" s="11" t="s">
        <x:v>51</x:v>
      </x:c>
      <x:c r="G37" s="12" t="s">
        <x:v>282</x:v>
      </x:c>
      <x:c r="H37" s="12" t="s">
        <x:v>190</x:v>
      </x:c>
      <x:c r="I37" s="12" t="s">
        <x:v>283</x:v>
      </x:c>
      <x:c r="J37" s="11" t="s">
        <x:v>208</x:v>
      </x:c>
      <x:c r="K37" s="13" t="s">
        <x:v>21</x:v>
      </x:c>
      <x:c r="L37" s="11"/>
      <x:c r="M37" s="14" t="s">
        <x:v>282</x:v>
      </x:c>
      <x:c r="S37" s="6" t="str">
        <x:f t="shared" si="1"/>
        <x:v>CRCW12061K00FKEA</x:v>
      </x:c>
    </x:row>
    <x:row r="38" ht="16">
      <x:c r="A38" s="9" t="s">
        <x:v>284</x:v>
      </x:c>
      <x:c r="B38" s="10" t="s">
        <x:v>57</x:v>
      </x:c>
      <x:c r="C38" s="11" t="s">
        <x:v>285</x:v>
      </x:c>
      <x:c r="D38" s="11" t="s">
        <x:v>286</x:v>
      </x:c>
      <x:c r="E38" s="11" t="s">
        <x:v>287</x:v>
      </x:c>
      <x:c r="F38" s="11" t="s">
        <x:v>288</x:v>
      </x:c>
      <x:c r="G38" s="12" t="s">
        <x:v>289</x:v>
      </x:c>
      <x:c r="H38" s="12" t="s">
        <x:v>290</x:v>
      </x:c>
      <x:c r="I38" s="12" t="s">
        <x:v>291</x:v>
      </x:c>
      <x:c r="J38" s="16" t="s">
        <x:v>208</x:v>
      </x:c>
      <x:c r="K38" s="13" t="s">
        <x:v>21</x:v>
      </x:c>
      <x:c r="L38" s="11"/>
      <x:c r="M38" s="14" t="s">
        <x:v>289</x:v>
      </x:c>
      <x:c r="S38" s="6" t="str">
        <x:f t="shared" si="1"/>
        <x:v>HHXC500ARA470MHA0G</x:v>
      </x:c>
    </x:row>
    <x:row r="39" ht="16">
      <x:c r="A39" s="9" t="s">
        <x:v>292</x:v>
      </x:c>
      <x:c r="B39" s="10" t="s">
        <x:v>232</x:v>
      </x:c>
      <x:c r="C39" s="11" t="s">
        <x:v>293</x:v>
      </x:c>
      <x:c r="D39" s="11" t="s">
        <x:v>294</x:v>
      </x:c>
      <x:c r="E39" s="11" t="s">
        <x:v>295</x:v>
      </x:c>
      <x:c r="F39" s="11" t="s">
        <x:v>296</x:v>
      </x:c>
      <x:c r="G39" s="12" t="s">
        <x:v>297</x:v>
      </x:c>
      <x:c r="H39" s="12" t="s">
        <x:v>290</x:v>
      </x:c>
      <x:c r="I39" s="12" t="s">
        <x:v>298</x:v>
      </x:c>
      <x:c r="J39" s="11" t="s">
        <x:v>208</x:v>
      </x:c>
      <x:c r="K39" s="13" t="s">
        <x:v>21</x:v>
      </x:c>
      <x:c r="L39" s="11"/>
      <x:c r="M39" s="14" t="s">
        <x:v>297</x:v>
      </x:c>
      <x:c r="S39" s="6" t="str">
        <x:f t="shared" si="1"/>
        <x:v>STPS3L60S</x:v>
      </x:c>
    </x:row>
    <x:row r="40" ht="16">
      <x:c r="A40" s="9" t="s">
        <x:v>299</x:v>
      </x:c>
      <x:c r="B40" s="10" t="s">
        <x:v>300</x:v>
      </x:c>
      <x:c r="C40" s="11" t="s">
        <x:v>301</x:v>
      </x:c>
      <x:c r="D40" s="11" t="s">
        <x:v>302</x:v>
      </x:c>
      <x:c r="E40" s="11" t="s">
        <x:v>295</x:v>
      </x:c>
      <x:c r="F40" s="11" t="s">
        <x:v>303</x:v>
      </x:c>
      <x:c r="G40" s="12" t="s">
        <x:v>304</x:v>
      </x:c>
      <x:c r="H40" s="12" t="s">
        <x:v>290</x:v>
      </x:c>
      <x:c r="I40" s="12" t="s">
        <x:v>305</x:v>
      </x:c>
      <x:c r="J40" s="11" t="s">
        <x:v>208</x:v>
      </x:c>
      <x:c r="K40" s="13" t="s">
        <x:v>21</x:v>
      </x:c>
      <x:c r="L40" s="11"/>
      <x:c r="M40" s="14" t="s">
        <x:v>304</x:v>
      </x:c>
      <x:c r="S40" s="6" t="str">
        <x:f t="shared" si="1"/>
        <x:v>SMBJ24A</x:v>
      </x:c>
    </x:row>
    <x:row r="41" ht="16">
      <x:c r="A41" s="9" t="s">
        <x:v>306</x:v>
      </x:c>
      <x:c r="B41" s="10" t="s">
        <x:v>307</x:v>
      </x:c>
      <x:c r="C41" s="11" t="s">
        <x:v>308</x:v>
      </x:c>
      <x:c r="D41" s="11" t="s">
        <x:v>309</x:v>
      </x:c>
      <x:c r="E41" s="11" t="s">
        <x:v>310</x:v>
      </x:c>
      <x:c r="F41" s="11" t="s">
        <x:v>303</x:v>
      </x:c>
      <x:c r="G41" s="12"/>
      <x:c r="H41" s="12" t="s">
        <x:v>290</x:v>
      </x:c>
      <x:c r="I41" s="12" t="s">
        <x:v>311</x:v>
      </x:c>
      <x:c r="J41" s="11" t="s">
        <x:v>208</x:v>
      </x:c>
      <x:c r="K41" s="13" t="s">
        <x:v>244</x:v>
      </x:c>
      <x:c r="L41" s="11" t="s">
        <x:v>312</x:v>
      </x:c>
      <x:c r="M41" s="14" t="s">
        <x:v>313</x:v>
      </x:c>
      <x:c r="S41" s="6" t="str">
        <x:f t="shared" si="1"/>
        <x:v>SICHERUNG 2 A|FUSE:FUSE_LITTELFUSE-NANO2-451_453</x:v>
      </x:c>
    </x:row>
    <x:row r="42" ht="32">
      <x:c r="A42" s="9" t="s">
        <x:v>314</x:v>
      </x:c>
      <x:c r="B42" s="10" t="s">
        <x:v>31</x:v>
      </x:c>
      <x:c r="C42" s="11" t="s">
        <x:v>315</x:v>
      </x:c>
      <x:c r="D42" s="11" t="s">
        <x:v>316</x:v>
      </x:c>
      <x:c r="E42" s="11" t="s">
        <x:v>317</x:v>
      </x:c>
      <x:c r="F42" s="11" t="s">
        <x:v>318</x:v>
      </x:c>
      <x:c r="G42" s="12" t="s">
        <x:v>319</x:v>
      </x:c>
      <x:c r="H42" s="12" t="s">
        <x:v>290</x:v>
      </x:c>
      <x:c r="I42" s="12" t="s">
        <x:v>320</x:v>
      </x:c>
      <x:c r="J42" s="11" t="s">
        <x:v>208</x:v>
      </x:c>
      <x:c r="K42" s="13" t="s">
        <x:v>244</x:v>
      </x:c>
      <x:c r="L42" s="11"/>
      <x:c r="M42" s="14" t="s">
        <x:v>319</x:v>
      </x:c>
      <x:c r="S42" s="6" t="str">
        <x:f t="shared" si="1"/>
        <x:v>205-00001</x:v>
      </x:c>
    </x:row>
    <x:row r="43" ht="32">
      <x:c r="A43" s="9" t="s">
        <x:v>321</x:v>
      </x:c>
      <x:c r="B43" s="10" t="s">
        <x:v>322</x:v>
      </x:c>
      <x:c r="C43" s="11" t="s">
        <x:v>323</x:v>
      </x:c>
      <x:c r="D43" s="11" t="s">
        <x:v>324</x:v>
      </x:c>
      <x:c r="E43" s="11" t="s">
        <x:v>325</x:v>
      </x:c>
      <x:c r="F43" s="11" t="s">
        <x:v>326</x:v>
      </x:c>
      <x:c r="G43" s="12" t="s">
        <x:v>324</x:v>
      </x:c>
      <x:c r="H43" s="12" t="s">
        <x:v>290</x:v>
      </x:c>
      <x:c r="I43" s="12" t="s">
        <x:v>327</x:v>
      </x:c>
      <x:c r="J43" s="11" t="s">
        <x:v>208</x:v>
      </x:c>
      <x:c r="K43" s="13" t="s">
        <x:v>21</x:v>
      </x:c>
      <x:c r="L43" s="11"/>
      <x:c r="M43" s="14" t="s">
        <x:v>324</x:v>
      </x:c>
      <x:c r="S43" s="6" t="str">
        <x:f t="shared" si="1"/>
        <x:v>TSR 1-2450</x:v>
      </x:c>
    </x:row>
    <x:row r="44" ht="32">
      <x:c r="A44" s="9" t="s">
        <x:v>328</x:v>
      </x:c>
      <x:c r="B44" s="10" t="s">
        <x:v>322</x:v>
      </x:c>
      <x:c r="C44" s="11" t="s">
        <x:v>329</x:v>
      </x:c>
      <x:c r="D44" s="11" t="s">
        <x:v>330</x:v>
      </x:c>
      <x:c r="E44" s="11" t="s">
        <x:v>325</x:v>
      </x:c>
      <x:c r="F44" s="11" t="s">
        <x:v>326</x:v>
      </x:c>
      <x:c r="G44" s="12" t="s">
        <x:v>330</x:v>
      </x:c>
      <x:c r="H44" s="12" t="s">
        <x:v>290</x:v>
      </x:c>
      <x:c r="I44" s="12" t="s">
        <x:v>331</x:v>
      </x:c>
      <x:c r="J44" s="11" t="s">
        <x:v>208</x:v>
      </x:c>
      <x:c r="K44" s="13" t="s">
        <x:v>21</x:v>
      </x:c>
      <x:c r="L44" s="11" t="s">
        <x:v>332</x:v>
      </x:c>
      <x:c r="M44" s="14" t="s">
        <x:v>330</x:v>
      </x:c>
      <x:c r="S44" s="6" t="str">
        <x:f t="shared" si="1"/>
        <x:v>TSR 1-2433</x:v>
      </x:c>
    </x:row>
    <x:row r="45" ht="32">
      <x:c r="A45" s="9" t="s">
        <x:v>333</x:v>
      </x:c>
      <x:c r="B45" s="10" t="s">
        <x:v>57</x:v>
      </x:c>
      <x:c r="C45" s="11" t="s">
        <x:v>334</x:v>
      </x:c>
      <x:c r="D45" s="11" t="s">
        <x:v>335</x:v>
      </x:c>
      <x:c r="E45" s="11" t="s">
        <x:v>60</x:v>
      </x:c>
      <x:c r="F45" s="11" t="s">
        <x:v>61</x:v>
      </x:c>
      <x:c r="G45" s="12" t="s">
        <x:v>336</x:v>
      </x:c>
      <x:c r="H45" s="12" t="s">
        <x:v>337</x:v>
      </x:c>
      <x:c r="I45" s="12" t="s">
        <x:v>338</x:v>
      </x:c>
      <x:c r="J45" s="11" t="s">
        <x:v>208</x:v>
      </x:c>
      <x:c r="K45" s="13" t="s">
        <x:v>21</x:v>
      </x:c>
      <x:c r="L45" s="11"/>
      <x:c r="M45" s="14" t="s">
        <x:v>336</x:v>
      </x:c>
      <x:c r="S45" s="6" t="str">
        <x:f t="shared" si="1"/>
        <x:v>12061C103JAT2A</x:v>
      </x:c>
    </x:row>
    <x:row r="46" ht="32">
      <x:c r="A46" s="9" t="s">
        <x:v>339</x:v>
      </x:c>
      <x:c r="B46" s="10" t="s">
        <x:v>47</x:v>
      </x:c>
      <x:c r="C46" s="11" t="s">
        <x:v>340</x:v>
      </x:c>
      <x:c r="D46" s="11" t="s">
        <x:v>341</x:v>
      </x:c>
      <x:c r="E46" s="11" t="s">
        <x:v>256</x:v>
      </x:c>
      <x:c r="F46" s="11" t="s">
        <x:v>342</x:v>
      </x:c>
      <x:c r="G46" s="12" t="s">
        <x:v>343</x:v>
      </x:c>
      <x:c r="H46" s="12" t="s">
        <x:v>337</x:v>
      </x:c>
      <x:c r="I46" s="12" t="s">
        <x:v>344</x:v>
      </x:c>
      <x:c r="J46" s="11" t="s">
        <x:v>208</x:v>
      </x:c>
      <x:c r="K46" s="13" t="s">
        <x:v>21</x:v>
      </x:c>
      <x:c r="L46" s="11"/>
      <x:c r="M46" s="14" t="s">
        <x:v>343</x:v>
      </x:c>
      <x:c r="S46" s="6" t="str">
        <x:f t="shared" si="1"/>
        <x:v>MF0207FTE52-2R</x:v>
      </x:c>
    </x:row>
    <x:row r="47" ht="16">
      <x:c r="A47" s="9" t="s">
        <x:v>345</x:v>
      </x:c>
      <x:c r="B47" s="10" t="s">
        <x:v>346</x:v>
      </x:c>
      <x:c r="C47" s="11" t="s">
        <x:v>347</x:v>
      </x:c>
      <x:c r="D47" s="11" t="s">
        <x:v>348</x:v>
      </x:c>
      <x:c r="E47" s="11" t="s">
        <x:v>349</x:v>
      </x:c>
      <x:c r="F47" s="11"/>
      <x:c r="G47" s="12" t="s">
        <x:v>348</x:v>
      </x:c>
      <x:c r="H47" s="12" t="s">
        <x:v>337</x:v>
      </x:c>
      <x:c r="I47" s="12" t="s">
        <x:v>350</x:v>
      </x:c>
      <x:c r="J47" s="11" t="s">
        <x:v>208</x:v>
      </x:c>
      <x:c r="K47" s="13" t="s">
        <x:v>351</x:v>
      </x:c>
      <x:c r="L47" s="11"/>
      <x:c r="M47" s="14" t="s">
        <x:v>348</x:v>
      </x:c>
      <x:c r="S47" s="6" t="str">
        <x:f t="shared" si="1"/>
        <x:v>KXOB25-14X1F-TB</x:v>
      </x:c>
    </x:row>
    <x:row r="48" ht="32">
      <x:c r="A48" s="9" t="s">
        <x:v>352</x:v>
      </x:c>
      <x:c r="B48" s="10" t="s">
        <x:v>353</x:v>
      </x:c>
      <x:c r="C48" s="11" t="s">
        <x:v>354</x:v>
      </x:c>
      <x:c r="D48" s="11" t="s">
        <x:v>355</x:v>
      </x:c>
      <x:c r="E48" s="11" t="s">
        <x:v>195</x:v>
      </x:c>
      <x:c r="F48" s="11" t="s">
        <x:v>86</x:v>
      </x:c>
      <x:c r="G48" s="12" t="s">
        <x:v>355</x:v>
      </x:c>
      <x:c r="H48" s="12" t="s">
        <x:v>337</x:v>
      </x:c>
      <x:c r="I48" s="12" t="s">
        <x:v>356</x:v>
      </x:c>
      <x:c r="J48" s="11" t="s">
        <x:v>208</x:v>
      </x:c>
      <x:c r="K48" s="13" t="s">
        <x:v>351</x:v>
      </x:c>
      <x:c r="L48" s="11" t="s">
        <x:v>357</x:v>
      </x:c>
      <x:c r="M48" s="14" t="s">
        <x:v>355</x:v>
      </x:c>
      <x:c r="S48" s="6" t="str">
        <x:f t="shared" si="1"/>
        <x:v>TMP100</x:v>
      </x:c>
    </x:row>
    <x:row r="49" ht="32">
      <x:c r="A49" s="9" t="s">
        <x:v>358</x:v>
      </x:c>
      <x:c r="B49" s="10" t="s">
        <x:v>100</x:v>
      </x:c>
      <x:c r="C49" s="11" t="s">
        <x:v>359</x:v>
      </x:c>
      <x:c r="D49" s="11" t="s">
        <x:v>360</x:v>
      </x:c>
      <x:c r="E49" s="11" t="s">
        <x:v>361</x:v>
      </x:c>
      <x:c r="F49" s="11" t="s">
        <x:v>103</x:v>
      </x:c>
      <x:c r="G49" s="12"/>
      <x:c r="H49" s="12" t="s">
        <x:v>18</x:v>
      </x:c>
      <x:c r="I49" s="12"/>
      <x:c r="J49" s="11" t="s">
        <x:v>208</x:v>
      </x:c>
      <x:c r="K49" s="13" t="s">
        <x:v>351</x:v>
      </x:c>
      <x:c r="L49" s="11" t="s">
        <x:v>362</x:v>
      </x:c>
      <x:c r="M49" s="14" t="s">
        <x:v>363</x:v>
      </x:c>
      <x:c r="S49" s="6" t="str">
        <x:f t="shared" si="1"/>
        <x:v>ENVNODE MAINBOARD PCB|PCB: ENVNODE.KICAD_PCB</x:v>
      </x:c>
    </x:row>
    <x:row r="50" ht="32">
      <x:c r="A50" s="9" t="s">
        <x:v>364</x:v>
      </x:c>
      <x:c r="B50" s="10" t="s">
        <x:v>100</x:v>
      </x:c>
      <x:c r="C50" s="11" t="s">
        <x:v>365</x:v>
      </x:c>
      <x:c r="D50" s="11" t="s">
        <x:v>102</x:v>
      </x:c>
      <x:c r="E50" s="11" t="s">
        <x:v>366</x:v>
      </x:c>
      <x:c r="F50" s="11"/>
      <x:c r="G50" s="12"/>
      <x:c r="H50" s="12" t="s">
        <x:v>290</x:v>
      </x:c>
      <x:c r="I50" s="12"/>
      <x:c r="J50" s="11" t="s">
        <x:v>208</x:v>
      </x:c>
      <x:c r="K50" s="13" t="s">
        <x:v>244</x:v>
      </x:c>
      <x:c r="L50" s="11" t="s">
        <x:v>367</x:v>
      </x:c>
      <x:c r="M50" s="14" t="s">
        <x:v>368</x:v>
      </x:c>
      <x:c r="S50" s="6" t="str">
        <x:f t="shared" si="1"/>
        <x:v>ENVNODE MINI PCB|PCB: ENVNODEMINI.KICAD_PCB</x:v>
      </x:c>
    </x:row>
    <x:row r="51" ht="16">
      <x:c r="A51" s="9" t="s">
        <x:v>369</x:v>
      </x:c>
      <x:c r="B51" s="10" t="s">
        <x:v>100</x:v>
      </x:c>
      <x:c r="C51" s="11" t="s">
        <x:v>370</x:v>
      </x:c>
      <x:c r="D51" s="11" t="s">
        <x:v>102</x:v>
      </x:c>
      <x:c r="E51" s="11" t="s">
        <x:v>371</x:v>
      </x:c>
      <x:c r="F51" s="11"/>
      <x:c r="G51" s="12"/>
      <x:c r="H51" s="12" t="s">
        <x:v>372</x:v>
      </x:c>
      <x:c r="I51" s="12"/>
      <x:c r="J51" s="11" t="s">
        <x:v>208</x:v>
      </x:c>
      <x:c r="K51" s="13" t="s">
        <x:v>244</x:v>
      </x:c>
      <x:c r="L51" s="11" t="s">
        <x:v>373</x:v>
      </x:c>
      <x:c r="M51" s="14" t="s">
        <x:v>374</x:v>
      </x:c>
      <x:c r="S51" s="6" t="str">
        <x:f t="shared" si="1"/>
        <x:v>ANALOGINPUT HALFSIZE PCB|PCB: ANALOGINPUT.KICAD_PCB</x:v>
      </x:c>
    </x:row>
    <x:row r="52" ht="32">
      <x:c r="A52" s="9" t="s">
        <x:v>375</x:v>
      </x:c>
      <x:c r="B52" s="10" t="s">
        <x:v>100</x:v>
      </x:c>
      <x:c r="C52" s="11" t="s">
        <x:v>376</x:v>
      </x:c>
      <x:c r="D52" s="11" t="s">
        <x:v>102</x:v>
      </x:c>
      <x:c r="E52" s="11" t="s">
        <x:v>377</x:v>
      </x:c>
      <x:c r="F52" s="11"/>
      <x:c r="G52" s="12"/>
      <x:c r="H52" s="12" t="s">
        <x:v>378</x:v>
      </x:c>
      <x:c r="I52" s="12"/>
      <x:c r="J52" s="11" t="s">
        <x:v>208</x:v>
      </x:c>
      <x:c r="K52" s="13" t="s">
        <x:v>244</x:v>
      </x:c>
      <x:c r="L52" s="11" t="s">
        <x:v>379</x:v>
      </x:c>
      <x:c r="M52" s="14" t="s">
        <x:v>380</x:v>
      </x:c>
      <x:c r="S52" s="6" t="str">
        <x:f t="shared" si="1"/>
        <x:v>DUORELAY FULLSIZE PCB REV 0.1|PCB: DUORELAY.KICAD_PCB</x:v>
      </x:c>
    </x:row>
    <x:row r="53" ht="16">
      <x:c r="A53" s="9" t="s">
        <x:v>381</x:v>
      </x:c>
      <x:c r="B53" s="10" t="s">
        <x:v>100</x:v>
      </x:c>
      <x:c r="C53" s="11" t="s">
        <x:v>382</x:v>
      </x:c>
      <x:c r="D53" s="11" t="s">
        <x:v>102</x:v>
      </x:c>
      <x:c r="E53" s="11" t="s">
        <x:v>383</x:v>
      </x:c>
      <x:c r="F53" s="11"/>
      <x:c r="G53" s="12"/>
      <x:c r="H53" s="12" t="s">
        <x:v>337</x:v>
      </x:c>
      <x:c r="I53" s="12"/>
      <x:c r="J53" s="11" t="s">
        <x:v>208</x:v>
      </x:c>
      <x:c r="K53" s="13" t="s">
        <x:v>21</x:v>
      </x:c>
      <x:c r="L53" s="11" t="s">
        <x:v>373</x:v>
      </x:c>
      <x:c r="M53" s="14" t="s">
        <x:v>384</x:v>
      </x:c>
      <x:c r="S53" s="6" t="str">
        <x:f t="shared" si="1"/>
        <x:v>SOLARRADIATION PCB|PCB: SOLARRADIATION.KICAD_PCB</x:v>
      </x:c>
    </x:row>
    <x:row r="54" ht="16">
      <x:c r="A54" s="17" t="s">
        <x:v>385</x:v>
      </x:c>
      <x:c r="B54" s="18" t="s">
        <x:v>100</x:v>
      </x:c>
      <x:c r="C54" s="19" t="s">
        <x:v>386</x:v>
      </x:c>
      <x:c r="D54" s="19" t="s">
        <x:v>387</x:v>
      </x:c>
      <x:c r="E54" s="19" t="s">
        <x:v>388</x:v>
      </x:c>
      <x:c r="F54" s="19"/>
      <x:c r="G54" s="20"/>
      <x:c r="H54" s="20" t="s">
        <x:v>119</x:v>
      </x:c>
      <x:c r="I54" s="20"/>
      <x:c r="J54" s="19" t="s">
        <x:v>208</x:v>
      </x:c>
      <x:c r="K54" s="21" t="s">
        <x:v>21</x:v>
      </x:c>
      <x:c r="L54" s="19" t="s">
        <x:v>373</x:v>
      </x:c>
      <x:c r="M54" s="22" t="s">
        <x:v>389</x:v>
      </x:c>
      <x:c r="S54" s="6" t="str">
        <x:f t="shared" si="1"/>
        <x:v>RAINDETECTOR PCB|PCB: RAINDETECTOR.KICAD_PCB</x:v>
      </x:c>
    </x:row>
    <x:row r="55" ht="64">
      <x:c r="A55" s="23" t="s">
        <x:v>390</x:v>
      </x:c>
      <x:c r="B55" s="23" t="s">
        <x:v>31</x:v>
      </x:c>
      <x:c r="C55" s="24" t="s">
        <x:v>391</x:v>
      </x:c>
      <x:c r="D55" s="24" t="s">
        <x:v>392</x:v>
      </x:c>
      <x:c r="E55" s="24" t="s">
        <x:v>393</x:v>
      </x:c>
      <x:c r="F55" s="23" t="s">
        <x:v>394</x:v>
      </x:c>
      <x:c r="G55" s="23" t="s">
        <x:v>395</x:v>
      </x:c>
      <x:c r="H55" s="24" t="s">
        <x:v>396</x:v>
      </x:c>
      <x:c r="I55" s="24" t="s">
        <x:v>397</x:v>
      </x:c>
      <x:c r="J55" s="24" t="s">
        <x:v>398</x:v>
      </x:c>
      <x:c r="K55" s="25" t="s">
        <x:v>21</x:v>
      </x:c>
      <x:c r="L55" s="24" t="s">
        <x:v>399</x:v>
      </x:c>
      <x:c r="M55" s="26" t="s">
        <x:v>400</x:v>
      </x:c>
    </x:row>
    <x:row r="56" ht="80">
      <x:c r="A56" s="23" t="s">
        <x:v>401</x:v>
      </x:c>
      <x:c r="B56" s="23" t="s">
        <x:v>232</x:v>
      </x:c>
      <x:c r="C56" s="24" t="s">
        <x:v>402</x:v>
      </x:c>
      <x:c r="D56" s="24" t="s">
        <x:v>403</x:v>
      </x:c>
      <x:c r="E56" s="24" t="s">
        <x:v>404</x:v>
      </x:c>
      <x:c r="F56" s="23" t="s">
        <x:v>51</x:v>
      </x:c>
      <x:c r="G56" s="23" t="s">
        <x:v>405</x:v>
      </x:c>
      <x:c r="H56" s="24" t="s">
        <x:v>396</x:v>
      </x:c>
      <x:c r="I56" s="24" t="s">
        <x:v>264</x:v>
      </x:c>
      <x:c r="J56" s="24" t="s">
        <x:v>406</x:v>
      </x:c>
      <x:c r="K56" s="24" t="s">
        <x:v>21</x:v>
      </x:c>
      <x:c r="L56" s="24" t="s">
        <x:v>407</x:v>
      </x:c>
      <x:c r="M56" s="26" t="s">
        <x:v>405</x:v>
      </x:c>
    </x:row>
    <x:row r="57" ht="64">
      <x:c r="A57" s="23" t="s">
        <x:v>408</x:v>
      </x:c>
      <x:c r="B57" s="23" t="s">
        <x:v>57</x:v>
      </x:c>
      <x:c r="C57" s="24" t="s">
        <x:v>409</x:v>
      </x:c>
      <x:c r="D57" s="24" t="s">
        <x:v>410</x:v>
      </x:c>
      <x:c r="E57" s="24" t="s">
        <x:v>411</x:v>
      </x:c>
      <x:c r="F57" s="23" t="s">
        <x:v>136</x:v>
      </x:c>
      <x:c r="G57" s="23" t="s">
        <x:v>412</x:v>
      </x:c>
      <x:c r="H57" s="24" t="s">
        <x:v>396</x:v>
      </x:c>
      <x:c r="I57" s="24" t="s">
        <x:v>413</x:v>
      </x:c>
      <x:c r="J57" s="24" t="s">
        <x:v>414</x:v>
      </x:c>
      <x:c r="K57" s="24" t="s">
        <x:v>21</x:v>
      </x:c>
      <x:c r="L57" s="24" t="s">
        <x:v>415</x:v>
      </x:c>
      <x:c r="M57" s="26" t="s">
        <x:v>412</x:v>
      </x:c>
    </x:row>
    <x:row r="58" ht="32">
      <x:c r="A58" s="23" t="s">
        <x:v>416</x:v>
      </x:c>
      <x:c r="B58" s="23" t="s">
        <x:v>100</x:v>
      </x:c>
      <x:c r="C58" s="24" t="s">
        <x:v>417</x:v>
      </x:c>
      <x:c r="D58" s="24" t="s">
        <x:v>360</x:v>
      </x:c>
      <x:c r="E58" s="24" t="s">
        <x:v>418</x:v>
      </x:c>
      <x:c r="F58" s="11" t="s">
        <x:v>103</x:v>
      </x:c>
      <x:c r="G58" s="26"/>
      <x:c r="H58" s="24" t="s">
        <x:v>396</x:v>
      </x:c>
      <x:c r="I58" s="27"/>
      <x:c r="J58" s="27" t="s">
        <x:v>208</x:v>
      </x:c>
      <x:c r="K58" s="27" t="s">
        <x:v>21</x:v>
      </x:c>
      <x:c r="L58" s="24" t="s">
        <x:v>362</x:v>
      </x:c>
      <x:c r="M58" s="23" t="s">
        <x:v>419</x:v>
      </x:c>
    </x:row>
    <x:row r="59" ht="64">
      <x:c r="A59" s="23" t="s">
        <x:v>420</x:v>
      </x:c>
      <x:c r="B59" s="23" t="s">
        <x:v>31</x:v>
      </x:c>
      <x:c r="C59" s="24" t="s">
        <x:v>421</x:v>
      </x:c>
      <x:c r="D59" s="24" t="s">
        <x:v>422</x:v>
      </x:c>
      <x:c r="E59" s="24" t="s">
        <x:v>423</x:v>
      </x:c>
      <x:c r="F59" s="23" t="s">
        <x:v>394</x:v>
      </x:c>
      <x:c r="G59" s="23" t="s">
        <x:v>424</x:v>
      </x:c>
      <x:c r="H59" s="24" t="s">
        <x:v>425</x:v>
      </x:c>
      <x:c r="I59" s="24" t="s">
        <x:v>426</x:v>
      </x:c>
      <x:c r="J59" s="24" t="s">
        <x:v>427</x:v>
      </x:c>
      <x:c r="K59" s="25" t="s">
        <x:v>21</x:v>
      </x:c>
      <x:c r="L59" s="24" t="s">
        <x:v>428</x:v>
      </x:c>
      <x:c r="M59" s="26" t="s">
        <x:v>424</x:v>
      </x:c>
    </x:row>
    <x:row r="60" ht="112">
      <x:c r="A60" s="23" t="s">
        <x:v>429</x:v>
      </x:c>
      <x:c r="B60" s="23" t="s">
        <x:v>31</x:v>
      </x:c>
      <x:c r="C60" s="24" t="s">
        <x:v>430</x:v>
      </x:c>
      <x:c r="D60" s="24" t="s">
        <x:v>431</x:v>
      </x:c>
      <x:c r="E60" s="24" t="s">
        <x:v>432</x:v>
      </x:c>
      <x:c r="F60" s="23" t="s">
        <x:v>433</x:v>
      </x:c>
      <x:c r="G60" s="23" t="s">
        <x:v>434</x:v>
      </x:c>
      <x:c r="H60" s="24" t="s">
        <x:v>435</x:v>
      </x:c>
      <x:c r="I60" s="24" t="s">
        <x:v>436</x:v>
      </x:c>
      <x:c r="J60" s="24" t="s">
        <x:v>437</x:v>
      </x:c>
      <x:c r="K60" s="25" t="s">
        <x:v>21</x:v>
      </x:c>
      <x:c r="L60" s="24" t="s">
        <x:v>438</x:v>
      </x:c>
      <x:c r="M60" s="26" t="s">
        <x:v>439</x:v>
      </x:c>
    </x:row>
    <x:row r="61" ht="32">
      <x:c r="A61" s="23" t="s">
        <x:v>440</x:v>
      </x:c>
      <x:c r="B61" s="23" t="s">
        <x:v>100</x:v>
      </x:c>
      <x:c r="C61" s="24" t="s">
        <x:v>441</x:v>
      </x:c>
      <x:c r="D61" s="24" t="s">
        <x:v>442</x:v>
      </x:c>
      <x:c r="E61" s="24" t="s">
        <x:v>443</x:v>
      </x:c>
      <x:c r="F61" s="26"/>
      <x:c r="G61" s="26"/>
      <x:c r="H61" s="27" t="s">
        <x:v>444</x:v>
      </x:c>
      <x:c r="I61" s="27"/>
      <x:c r="J61" s="27" t="s">
        <x:v>208</x:v>
      </x:c>
      <x:c r="K61" s="25" t="s">
        <x:v>21</x:v>
      </x:c>
      <x:c r="L61" s="24" t="s">
        <x:v>445</x:v>
      </x:c>
      <x:c r="M61" s="26" t="s">
        <x:v>446</x:v>
      </x:c>
    </x:row>
    <x:row r="62" ht="32">
      <x:c r="A62" s="23" t="s">
        <x:v>447</x:v>
      </x:c>
      <x:c r="B62" s="23" t="s">
        <x:v>100</x:v>
      </x:c>
      <x:c r="C62" s="24" t="s">
        <x:v>448</x:v>
      </x:c>
      <x:c r="D62" s="24" t="s">
        <x:v>442</x:v>
      </x:c>
      <x:c r="E62" s="24" t="s">
        <x:v>449</x:v>
      </x:c>
      <x:c r="F62" s="26"/>
      <x:c r="G62" s="26"/>
      <x:c r="H62" s="27" t="s">
        <x:v>450</x:v>
      </x:c>
      <x:c r="I62" s="27"/>
      <x:c r="J62" s="27" t="s">
        <x:v>208</x:v>
      </x:c>
      <x:c r="K62" s="25" t="s">
        <x:v>21</x:v>
      </x:c>
      <x:c r="L62" s="24" t="s">
        <x:v>445</x:v>
      </x:c>
      <x:c r="M62" s="26" t="s">
        <x:v>451</x:v>
      </x:c>
    </x:row>
    <x:row r="63" ht="32">
      <x:c r="A63" s="23" t="s">
        <x:v>452</x:v>
      </x:c>
      <x:c r="B63" s="23" t="s">
        <x:v>100</x:v>
      </x:c>
      <x:c r="C63" s="24" t="s">
        <x:v>453</x:v>
      </x:c>
      <x:c r="D63" s="24" t="s">
        <x:v>442</x:v>
      </x:c>
      <x:c r="E63" s="24" t="s">
        <x:v>454</x:v>
      </x:c>
      <x:c r="F63" s="26"/>
      <x:c r="G63" s="26"/>
      <x:c r="H63" s="27" t="s">
        <x:v>455</x:v>
      </x:c>
      <x:c r="I63" s="27"/>
      <x:c r="J63" s="27" t="s">
        <x:v>208</x:v>
      </x:c>
      <x:c r="K63" s="25" t="s">
        <x:v>21</x:v>
      </x:c>
      <x:c r="L63" s="24" t="s">
        <x:v>445</x:v>
      </x:c>
      <x:c r="M63" s="26" t="s">
        <x:v>456</x:v>
      </x:c>
    </x:row>
    <x:row r="64" ht="32">
      <x:c r="A64" s="23" t="s">
        <x:v>457</x:v>
      </x:c>
      <x:c r="B64" s="23" t="s">
        <x:v>100</x:v>
      </x:c>
      <x:c r="C64" s="24" t="s">
        <x:v>458</x:v>
      </x:c>
      <x:c r="D64" s="24" t="s">
        <x:v>442</x:v>
      </x:c>
      <x:c r="E64" s="24" t="s">
        <x:v>459</x:v>
      </x:c>
      <x:c r="F64" s="26"/>
      <x:c r="G64" s="26"/>
      <x:c r="H64" s="27" t="s">
        <x:v>460</x:v>
      </x:c>
      <x:c r="I64" s="27"/>
      <x:c r="J64" s="27" t="s">
        <x:v>208</x:v>
      </x:c>
      <x:c r="K64" s="25" t="s">
        <x:v>21</x:v>
      </x:c>
      <x:c r="L64" s="24" t="s">
        <x:v>445</x:v>
      </x:c>
      <x:c r="M64" s="26" t="s">
        <x:v>461</x:v>
      </x:c>
    </x:row>
    <x:row r="65" ht="64">
      <x:c r="A65" s="23" t="s">
        <x:v>462</x:v>
      </x:c>
      <x:c r="B65" s="23" t="s">
        <x:v>463</x:v>
      </x:c>
      <x:c r="C65" s="24" t="s">
        <x:v>464</x:v>
      </x:c>
      <x:c r="D65" s="24" t="s">
        <x:v>465</x:v>
      </x:c>
      <x:c r="E65" s="24" t="s">
        <x:v>466</x:v>
      </x:c>
      <x:c r="F65" s="23" t="s">
        <x:v>467</x:v>
      </x:c>
      <x:c r="G65" s="23" t="s">
        <x:v>468</x:v>
      </x:c>
      <x:c r="H65" s="24" t="s">
        <x:v>469</x:v>
      </x:c>
      <x:c r="I65" s="24" t="s">
        <x:v>470</x:v>
      </x:c>
      <x:c r="J65" s="24" t="s">
        <x:v>471</x:v>
      </x:c>
      <x:c r="K65" s="25" t="s">
        <x:v>21</x:v>
      </x:c>
      <x:c r="L65" s="24" t="s">
        <x:v>472</x:v>
      </x:c>
      <x:c r="M65" s="26" t="s">
        <x:v>468</x:v>
      </x:c>
    </x:row>
    <x:row r="66" ht="32">
      <x:c r="A66" s="23" t="s">
        <x:v>473</x:v>
      </x:c>
      <x:c r="B66" s="23" t="s">
        <x:v>47</x:v>
      </x:c>
      <x:c r="C66" s="24" t="s">
        <x:v>474</x:v>
      </x:c>
      <x:c r="D66" s="24" t="s">
        <x:v>475</x:v>
      </x:c>
      <x:c r="E66" s="24" t="s">
        <x:v>50</x:v>
      </x:c>
      <x:c r="F66" s="23" t="s">
        <x:v>51</x:v>
      </x:c>
      <x:c r="G66" s="23" t="s">
        <x:v>476</x:v>
      </x:c>
      <x:c r="H66" s="24" t="s">
        <x:v>469</x:v>
      </x:c>
      <x:c r="I66" s="24" t="s">
        <x:v>477</x:v>
      </x:c>
      <x:c r="J66" s="24" t="s">
        <x:v>478</x:v>
      </x:c>
      <x:c r="K66" s="25" t="s">
        <x:v>21</x:v>
      </x:c>
      <x:c r="L66" s="24" t="s">
        <x:v>479</x:v>
      </x:c>
      <x:c r="M66" s="26" t="s">
        <x:v>480</x:v>
      </x:c>
    </x:row>
    <x:row r="67" ht="32">
      <x:c r="A67" s="23" t="s">
        <x:v>481</x:v>
      </x:c>
      <x:c r="B67" s="23" t="s">
        <x:v>100</x:v>
      </x:c>
      <x:c r="C67" s="24" t="s">
        <x:v>482</x:v>
      </x:c>
      <x:c r="D67" s="24" t="s">
        <x:v>360</x:v>
      </x:c>
      <x:c r="E67" s="24" t="s">
        <x:v>483</x:v>
      </x:c>
      <x:c r="F67" s="11" t="s">
        <x:v>103</x:v>
      </x:c>
      <x:c r="G67" s="26"/>
      <x:c r="H67" s="24" t="s">
        <x:v>469</x:v>
      </x:c>
      <x:c r="I67" s="27"/>
      <x:c r="J67" s="27" t="s">
        <x:v>208</x:v>
      </x:c>
      <x:c r="K67" s="25" t="s">
        <x:v>21</x:v>
      </x:c>
      <x:c r="L67" s="24" t="s">
        <x:v>362</x:v>
      </x:c>
      <x:c r="M67" s="23" t="s">
        <x:v>484</x:v>
      </x:c>
    </x:row>
    <x:row r="68" ht="48">
      <x:c r="A68" s="23" t="s">
        <x:v>485</x:v>
      </x:c>
      <x:c r="B68" s="23" t="s">
        <x:v>57</x:v>
      </x:c>
      <x:c r="C68" s="24" t="s">
        <x:v>486</x:v>
      </x:c>
      <x:c r="D68" s="24" t="s">
        <x:v>487</x:v>
      </x:c>
      <x:c r="E68" s="24" t="s">
        <x:v>60</x:v>
      </x:c>
      <x:c r="F68" s="23" t="s">
        <x:v>488</x:v>
      </x:c>
      <x:c r="G68" s="23" t="s">
        <x:v>489</x:v>
      </x:c>
      <x:c r="H68" s="24" t="s">
        <x:v>490</x:v>
      </x:c>
      <x:c r="I68" s="24" t="s">
        <x:v>413</x:v>
      </x:c>
      <x:c r="J68" s="24" t="s">
        <x:v>478</x:v>
      </x:c>
      <x:c r="K68" s="25" t="s">
        <x:v>21</x:v>
      </x:c>
      <x:c r="L68" s="24" t="s">
        <x:v>491</x:v>
      </x:c>
      <x:c r="M68" s="26" t="s">
        <x:v>492</x:v>
      </x:c>
    </x:row>
    <x:row r="69" ht="48">
      <x:c r="A69" s="23" t="s">
        <x:v>493</x:v>
      </x:c>
      <x:c r="B69" s="23" t="s">
        <x:v>57</x:v>
      </x:c>
      <x:c r="C69" s="24" t="s">
        <x:v>486</x:v>
      </x:c>
      <x:c r="D69" s="24" t="s">
        <x:v>494</x:v>
      </x:c>
      <x:c r="E69" s="24" t="s">
        <x:v>495</x:v>
      </x:c>
      <x:c r="F69" s="23" t="s">
        <x:v>488</x:v>
      </x:c>
      <x:c r="G69" s="23" t="s">
        <x:v>496</x:v>
      </x:c>
      <x:c r="H69" s="24" t="s">
        <x:v>490</x:v>
      </x:c>
      <x:c r="I69" s="24" t="s">
        <x:v>497</x:v>
      </x:c>
      <x:c r="J69" s="24" t="s">
        <x:v>478</x:v>
      </x:c>
      <x:c r="K69" s="25" t="s">
        <x:v>21</x:v>
      </x:c>
      <x:c r="L69" s="24" t="s">
        <x:v>498</x:v>
      </x:c>
      <x:c r="M69" s="26" t="s">
        <x:v>499</x:v>
      </x:c>
    </x:row>
    <x:row r="70" ht="64">
      <x:c r="A70" s="23" t="s">
        <x:v>500</x:v>
      </x:c>
      <x:c r="B70" s="23" t="s">
        <x:v>232</x:v>
      </x:c>
      <x:c r="C70" s="24" t="s">
        <x:v>501</x:v>
      </x:c>
      <x:c r="D70" s="24" t="s">
        <x:v>502</x:v>
      </x:c>
      <x:c r="E70" s="24" t="s">
        <x:v>503</x:v>
      </x:c>
      <x:c r="F70" s="26"/>
      <x:c r="G70" s="26"/>
      <x:c r="H70" s="27" t="s">
        <x:v>490</x:v>
      </x:c>
      <x:c r="I70" s="27" t="s">
        <x:v>504</x:v>
      </x:c>
      <x:c r="J70" s="27" t="s">
        <x:v>208</x:v>
      </x:c>
      <x:c r="K70" s="25" t="s">
        <x:v>351</x:v>
      </x:c>
      <x:c r="L70" s="24" t="s">
        <x:v>505</x:v>
      </x:c>
      <x:c r="M70" s="26" t="s">
        <x:v>506</x:v>
      </x:c>
    </x:row>
    <x:row r="71" ht="48">
      <x:c r="A71" s="23" t="s">
        <x:v>507</x:v>
      </x:c>
      <x:c r="B71" s="23" t="s">
        <x:v>508</x:v>
      </x:c>
      <x:c r="C71" s="24" t="s">
        <x:v>509</x:v>
      </x:c>
      <x:c r="D71" s="24" t="s">
        <x:v>510</x:v>
      </x:c>
      <x:c r="E71" s="24" t="s">
        <x:v>511</x:v>
      </x:c>
      <x:c r="F71" s="23" t="s">
        <x:v>394</x:v>
      </x:c>
      <x:c r="G71" s="23" t="s">
        <x:v>512</x:v>
      </x:c>
      <x:c r="H71" s="24" t="s">
        <x:v>490</x:v>
      </x:c>
      <x:c r="I71" s="24" t="s">
        <x:v>513</x:v>
      </x:c>
      <x:c r="J71" s="24" t="s">
        <x:v>514</x:v>
      </x:c>
      <x:c r="K71" s="25" t="s">
        <x:v>21</x:v>
      </x:c>
      <x:c r="L71" s="24" t="s">
        <x:v>515</x:v>
      </x:c>
      <x:c r="M71" s="26" t="s">
        <x:v>516</x:v>
      </x:c>
    </x:row>
    <x:row r="72" ht="32">
      <x:c r="A72" s="23" t="s">
        <x:v>517</x:v>
      </x:c>
      <x:c r="B72" s="23" t="s">
        <x:v>47</x:v>
      </x:c>
      <x:c r="C72" s="24" t="s">
        <x:v>518</x:v>
      </x:c>
      <x:c r="D72" s="24" t="s">
        <x:v>519</x:v>
      </x:c>
      <x:c r="E72" s="24" t="s">
        <x:v>50</x:v>
      </x:c>
      <x:c r="F72" s="23" t="s">
        <x:v>51</x:v>
      </x:c>
      <x:c r="G72" s="23" t="s">
        <x:v>520</x:v>
      </x:c>
      <x:c r="H72" s="24" t="s">
        <x:v>490</x:v>
      </x:c>
      <x:c r="I72" s="24" t="s">
        <x:v>521</x:v>
      </x:c>
      <x:c r="J72" s="24" t="s">
        <x:v>478</x:v>
      </x:c>
      <x:c r="K72" s="25" t="s">
        <x:v>21</x:v>
      </x:c>
      <x:c r="L72" s="24" t="s">
        <x:v>522</x:v>
      </x:c>
      <x:c r="M72" s="26" t="s">
        <x:v>523</x:v>
      </x:c>
    </x:row>
    <x:row r="73" ht="48">
      <x:c r="A73" s="23" t="s">
        <x:v>524</x:v>
      </x:c>
      <x:c r="B73" s="23" t="s">
        <x:v>47</x:v>
      </x:c>
      <x:c r="C73" s="24" t="s">
        <x:v>525</x:v>
      </x:c>
      <x:c r="D73" s="24" t="s">
        <x:v>526</x:v>
      </x:c>
      <x:c r="E73" s="24" t="s">
        <x:v>50</x:v>
      </x:c>
      <x:c r="F73" s="23" t="s">
        <x:v>342</x:v>
      </x:c>
      <x:c r="G73" s="23" t="s">
        <x:v>527</x:v>
      </x:c>
      <x:c r="H73" s="24" t="s">
        <x:v>490</x:v>
      </x:c>
      <x:c r="I73" s="27" t="s">
        <x:v>528</x:v>
      </x:c>
      <x:c r="J73" s="24" t="s">
        <x:v>529</x:v>
      </x:c>
      <x:c r="K73" s="25" t="s">
        <x:v>21</x:v>
      </x:c>
      <x:c r="L73" s="24" t="s">
        <x:v>530</x:v>
      </x:c>
      <x:c r="M73" s="26" t="s">
        <x:v>531</x:v>
      </x:c>
    </x:row>
    <x:row r="74" ht="48">
      <x:c r="A74" s="23" t="s">
        <x:v>532</x:v>
      </x:c>
      <x:c r="B74" s="23" t="s">
        <x:v>47</x:v>
      </x:c>
      <x:c r="C74" s="24" t="s">
        <x:v>533</x:v>
      </x:c>
      <x:c r="D74" s="24" t="s">
        <x:v>534</x:v>
      </x:c>
      <x:c r="E74" s="24" t="s">
        <x:v>50</x:v>
      </x:c>
      <x:c r="F74" s="23" t="s">
        <x:v>535</x:v>
      </x:c>
      <x:c r="G74" s="23" t="s">
        <x:v>536</x:v>
      </x:c>
      <x:c r="H74" s="24" t="s">
        <x:v>490</x:v>
      </x:c>
      <x:c r="I74" s="24" t="s">
        <x:v>537</x:v>
      </x:c>
      <x:c r="J74" s="24" t="s">
        <x:v>538</x:v>
      </x:c>
      <x:c r="K74" s="25" t="s">
        <x:v>21</x:v>
      </x:c>
      <x:c r="L74" s="24" t="s">
        <x:v>539</x:v>
      </x:c>
      <x:c r="M74" s="26" t="s">
        <x:v>540</x:v>
      </x:c>
    </x:row>
    <x:row r="75" ht="48">
      <x:c r="A75" s="23" t="s">
        <x:v>541</x:v>
      </x:c>
      <x:c r="B75" s="23" t="s">
        <x:v>542</x:v>
      </x:c>
      <x:c r="C75" s="24" t="s">
        <x:v>543</x:v>
      </x:c>
      <x:c r="D75" s="24" t="s">
        <x:v>544</x:v>
      </x:c>
      <x:c r="E75" s="24" t="s">
        <x:v>545</x:v>
      </x:c>
      <x:c r="F75" s="23" t="s">
        <x:v>546</x:v>
      </x:c>
      <x:c r="G75" s="23" t="s">
        <x:v>547</x:v>
      </x:c>
      <x:c r="H75" s="24" t="s">
        <x:v>490</x:v>
      </x:c>
      <x:c r="I75" s="24" t="s">
        <x:v>548</x:v>
      </x:c>
      <x:c r="J75" s="24" t="s">
        <x:v>549</x:v>
      </x:c>
      <x:c r="K75" s="25" t="s">
        <x:v>21</x:v>
      </x:c>
      <x:c r="L75" s="24" t="s">
        <x:v>550</x:v>
      </x:c>
      <x:c r="M75" s="26" t="s">
        <x:v>547</x:v>
      </x:c>
    </x:row>
    <x:row r="76" ht="48">
      <x:c r="A76" s="23" t="s">
        <x:v>551</x:v>
      </x:c>
      <x:c r="B76" s="23" t="s">
        <x:v>322</x:v>
      </x:c>
      <x:c r="C76" s="24" t="s">
        <x:v>552</x:v>
      </x:c>
      <x:c r="D76" s="24" t="s">
        <x:v>553</x:v>
      </x:c>
      <x:c r="E76" s="24" t="s">
        <x:v>195</x:v>
      </x:c>
      <x:c r="F76" s="23" t="s">
        <x:v>554</x:v>
      </x:c>
      <x:c r="G76" s="23" t="s">
        <x:v>555</x:v>
      </x:c>
      <x:c r="H76" s="24" t="s">
        <x:v>490</x:v>
      </x:c>
      <x:c r="I76" s="24" t="s">
        <x:v>556</x:v>
      </x:c>
      <x:c r="J76" s="24" t="s">
        <x:v>557</x:v>
      </x:c>
      <x:c r="K76" s="25" t="s">
        <x:v>21</x:v>
      </x:c>
      <x:c r="L76" s="24" t="s">
        <x:v>558</x:v>
      </x:c>
      <x:c r="M76" s="26" t="s">
        <x:v>559</x:v>
      </x:c>
    </x:row>
    <x:row r="77" ht="48">
      <x:c r="A77" s="23" t="s">
        <x:v>560</x:v>
      </x:c>
      <x:c r="B77" s="23" t="s">
        <x:v>100</x:v>
      </x:c>
      <x:c r="C77" s="24" t="s">
        <x:v>561</x:v>
      </x:c>
      <x:c r="D77" s="24" t="s">
        <x:v>360</x:v>
      </x:c>
      <x:c r="E77" s="24" t="s">
        <x:v>562</x:v>
      </x:c>
      <x:c r="F77" s="11" t="s">
        <x:v>103</x:v>
      </x:c>
      <x:c r="G77" s="26"/>
      <x:c r="H77" s="24" t="s">
        <x:v>490</x:v>
      </x:c>
      <x:c r="I77" s="27"/>
      <x:c r="J77" s="27" t="s">
        <x:v>208</x:v>
      </x:c>
      <x:c r="K77" s="27" t="s">
        <x:v>21</x:v>
      </x:c>
      <x:c r="L77" s="24" t="s">
        <x:v>563</x:v>
      </x:c>
      <x:c r="M77" s="23" t="s">
        <x:v>564</x:v>
      </x:c>
    </x:row>
    <x:row r="78" ht="32">
      <x:c r="A78" s="23" t="s">
        <x:v>565</x:v>
      </x:c>
      <x:c r="B78" s="23" t="s">
        <x:v>566</x:v>
      </x:c>
      <x:c r="C78" s="24" t="s">
        <x:v>567</x:v>
      </x:c>
      <x:c r="D78" s="24" t="s">
        <x:v>568</x:v>
      </x:c>
      <x:c r="E78" s="27"/>
      <x:c r="F78" s="23" t="s">
        <x:v>569</x:v>
      </x:c>
      <x:c r="G78" s="23" t="s">
        <x:v>570</x:v>
      </x:c>
      <x:c r="H78" s="24" t="s">
        <x:v>571</x:v>
      </x:c>
      <x:c r="I78" s="24"/>
      <x:c r="J78" s="24" t="s">
        <x:v>572</x:v>
      </x:c>
      <x:c r="K78" s="24" t="s">
        <x:v>21</x:v>
      </x:c>
      <x:c r="L78" s="24" t="s">
        <x:v>573</x:v>
      </x:c>
      <x:c r="M78" s="26" t="s">
        <x:v>570</x:v>
      </x:c>
    </x:row>
    <x:row r="79" ht="32">
      <x:c r="A79" s="23" t="s">
        <x:v>574</x:v>
      </x:c>
      <x:c r="B79" s="23" t="s">
        <x:v>47</x:v>
      </x:c>
      <x:c r="C79" s="24" t="s">
        <x:v>575</x:v>
      </x:c>
      <x:c r="D79" s="24" t="s">
        <x:v>576</x:v>
      </x:c>
      <x:c r="E79" s="24" t="s">
        <x:v>577</x:v>
      </x:c>
      <x:c r="F79" s="23" t="s">
        <x:v>578</x:v>
      </x:c>
      <x:c r="G79" s="23" t="s">
        <x:v>579</x:v>
      </x:c>
      <x:c r="H79" s="24" t="s">
        <x:v>571</x:v>
      </x:c>
      <x:c r="I79" s="24"/>
      <x:c r="J79" s="24" t="s">
        <x:v>572</x:v>
      </x:c>
      <x:c r="K79" s="24" t="s">
        <x:v>21</x:v>
      </x:c>
      <x:c r="L79" s="24" t="s">
        <x:v>580</x:v>
      </x:c>
      <x:c r="M79" s="26" t="s">
        <x:v>579</x:v>
      </x:c>
    </x:row>
    <x:row r="80" ht="32">
      <x:c r="A80" s="23" t="s">
        <x:v>581</x:v>
      </x:c>
      <x:c r="B80" s="23" t="s">
        <x:v>47</x:v>
      </x:c>
      <x:c r="C80" s="24" t="s">
        <x:v>582</x:v>
      </x:c>
      <x:c r="D80" s="24" t="s">
        <x:v>583</x:v>
      </x:c>
      <x:c r="E80" s="24" t="s">
        <x:v>577</x:v>
      </x:c>
      <x:c r="F80" s="23" t="s">
        <x:v>578</x:v>
      </x:c>
      <x:c r="G80" s="23" t="s">
        <x:v>584</x:v>
      </x:c>
      <x:c r="H80" s="24" t="s">
        <x:v>571</x:v>
      </x:c>
      <x:c r="I80" s="24"/>
      <x:c r="J80" s="24" t="s">
        <x:v>572</x:v>
      </x:c>
      <x:c r="K80" s="24" t="s">
        <x:v>21</x:v>
      </x:c>
      <x:c r="L80" s="24" t="s">
        <x:v>580</x:v>
      </x:c>
      <x:c r="M80" s="26" t="s">
        <x:v>584</x:v>
      </x:c>
    </x:row>
    <x:row r="81" ht="48">
      <x:c r="A81" s="23" t="s">
        <x:v>585</x:v>
      </x:c>
      <x:c r="B81" s="23" t="s">
        <x:v>31</x:v>
      </x:c>
      <x:c r="C81" s="24" t="s">
        <x:v>586</x:v>
      </x:c>
      <x:c r="D81" s="24" t="s">
        <x:v>587</x:v>
      </x:c>
      <x:c r="E81" s="24" t="s">
        <x:v>586</x:v>
      </x:c>
      <x:c r="F81" s="23" t="s">
        <x:v>588</x:v>
      </x:c>
      <x:c r="G81" s="23" t="s">
        <x:v>589</x:v>
      </x:c>
      <x:c r="H81" s="27" t="s">
        <x:v>590</x:v>
      </x:c>
      <x:c r="I81" s="27"/>
      <x:c r="J81" s="24" t="s">
        <x:v>591</x:v>
      </x:c>
      <x:c r="K81" s="27" t="s">
        <x:v>351</x:v>
      </x:c>
      <x:c r="L81" s="24" t="s">
        <x:v>592</x:v>
      </x:c>
      <x:c r="M81" s="26" t="s">
        <x:v>589</x:v>
      </x:c>
    </x:row>
    <x:row r="82" ht="48">
      <x:c r="A82" s="23" t="s">
        <x:v>593</x:v>
      </x:c>
      <x:c r="B82" s="23" t="s">
        <x:v>31</x:v>
      </x:c>
      <x:c r="C82" s="24" t="s">
        <x:v>594</x:v>
      </x:c>
      <x:c r="D82" s="24" t="s">
        <x:v>595</x:v>
      </x:c>
      <x:c r="E82" s="24" t="s">
        <x:v>594</x:v>
      </x:c>
      <x:c r="F82" s="23" t="s">
        <x:v>588</x:v>
      </x:c>
      <x:c r="G82" s="23" t="s">
        <x:v>596</x:v>
      </x:c>
      <x:c r="H82" s="27" t="s">
        <x:v>590</x:v>
      </x:c>
      <x:c r="I82" s="27"/>
      <x:c r="J82" s="24" t="s">
        <x:v>591</x:v>
      </x:c>
      <x:c r="K82" s="27" t="s">
        <x:v>351</x:v>
      </x:c>
      <x:c r="L82" s="24" t="s">
        <x:v>597</x:v>
      </x:c>
      <x:c r="M82" s="26" t="s">
        <x:v>596</x:v>
      </x:c>
    </x:row>
    <x:row r="83" ht="48">
      <x:c r="A83" s="23" t="s">
        <x:v>598</x:v>
      </x:c>
      <x:c r="B83" s="23" t="s">
        <x:v>31</x:v>
      </x:c>
      <x:c r="C83" s="24" t="s">
        <x:v>599</x:v>
      </x:c>
      <x:c r="D83" s="24" t="s">
        <x:v>600</x:v>
      </x:c>
      <x:c r="E83" s="24" t="s">
        <x:v>599</x:v>
      </x:c>
      <x:c r="F83" s="23" t="s">
        <x:v>588</x:v>
      </x:c>
      <x:c r="G83" s="23" t="s">
        <x:v>601</x:v>
      </x:c>
      <x:c r="H83" s="27" t="s">
        <x:v>590</x:v>
      </x:c>
      <x:c r="I83" s="27"/>
      <x:c r="J83" s="24" t="s">
        <x:v>591</x:v>
      </x:c>
      <x:c r="K83" s="27" t="s">
        <x:v>351</x:v>
      </x:c>
      <x:c r="L83" s="24" t="s">
        <x:v>602</x:v>
      </x:c>
      <x:c r="M83" s="26" t="s">
        <x:v>601</x:v>
      </x:c>
    </x:row>
    <x:row r="84" ht="48">
      <x:c r="A84" s="23" t="s">
        <x:v>603</x:v>
      </x:c>
      <x:c r="B84" s="23" t="s">
        <x:v>31</x:v>
      </x:c>
      <x:c r="C84" s="24" t="s">
        <x:v>604</x:v>
      </x:c>
      <x:c r="D84" s="24" t="s">
        <x:v>605</x:v>
      </x:c>
      <x:c r="E84" s="24" t="s">
        <x:v>604</x:v>
      </x:c>
      <x:c r="F84" s="23" t="s">
        <x:v>588</x:v>
      </x:c>
      <x:c r="G84" s="23" t="s">
        <x:v>606</x:v>
      </x:c>
      <x:c r="H84" s="27" t="s">
        <x:v>590</x:v>
      </x:c>
      <x:c r="I84" s="27"/>
      <x:c r="J84" s="24" t="s">
        <x:v>591</x:v>
      </x:c>
      <x:c r="K84" s="27" t="s">
        <x:v>351</x:v>
      </x:c>
      <x:c r="L84" s="24" t="s">
        <x:v>607</x:v>
      </x:c>
      <x:c r="M84" s="26" t="s">
        <x:v>606</x:v>
      </x:c>
    </x:row>
    <x:row r="85" ht="48">
      <x:c r="A85" s="23" t="s">
        <x:v>608</x:v>
      </x:c>
      <x:c r="B85" s="23" t="s">
        <x:v>31</x:v>
      </x:c>
      <x:c r="C85" s="24" t="s">
        <x:v>609</x:v>
      </x:c>
      <x:c r="D85" s="24" t="s">
        <x:v>610</x:v>
      </x:c>
      <x:c r="E85" s="24" t="s">
        <x:v>609</x:v>
      </x:c>
      <x:c r="F85" s="23" t="s">
        <x:v>588</x:v>
      </x:c>
      <x:c r="G85" s="23" t="s">
        <x:v>611</x:v>
      </x:c>
      <x:c r="H85" s="27" t="s">
        <x:v>590</x:v>
      </x:c>
      <x:c r="I85" s="27"/>
      <x:c r="J85" s="24" t="s">
        <x:v>591</x:v>
      </x:c>
      <x:c r="K85" s="27" t="s">
        <x:v>351</x:v>
      </x:c>
      <x:c r="L85" s="24" t="s">
        <x:v>612</x:v>
      </x:c>
      <x:c r="M85" s="26" t="s">
        <x:v>611</x:v>
      </x:c>
    </x:row>
    <x:row r="86" ht="48">
      <x:c r="A86" s="23" t="s">
        <x:v>613</x:v>
      </x:c>
      <x:c r="B86" s="23" t="s">
        <x:v>31</x:v>
      </x:c>
      <x:c r="C86" s="24" t="s">
        <x:v>614</x:v>
      </x:c>
      <x:c r="D86" s="24" t="s">
        <x:v>615</x:v>
      </x:c>
      <x:c r="E86" s="24" t="s">
        <x:v>614</x:v>
      </x:c>
      <x:c r="F86" s="23" t="s">
        <x:v>588</x:v>
      </x:c>
      <x:c r="G86" s="23" t="s">
        <x:v>616</x:v>
      </x:c>
      <x:c r="H86" s="27" t="s">
        <x:v>590</x:v>
      </x:c>
      <x:c r="I86" s="27"/>
      <x:c r="J86" s="24" t="s">
        <x:v>591</x:v>
      </x:c>
      <x:c r="K86" s="27" t="s">
        <x:v>351</x:v>
      </x:c>
      <x:c r="L86" s="24" t="s">
        <x:v>617</x:v>
      </x:c>
      <x:c r="M86" s="26" t="s">
        <x:v>616</x:v>
      </x:c>
    </x:row>
    <x:row r="87" ht="48">
      <x:c r="A87" s="23" t="s">
        <x:v>618</x:v>
      </x:c>
      <x:c r="B87" s="23" t="s">
        <x:v>31</x:v>
      </x:c>
      <x:c r="C87" s="24" t="s">
        <x:v>619</x:v>
      </x:c>
      <x:c r="D87" s="24" t="s">
        <x:v>620</x:v>
      </x:c>
      <x:c r="E87" s="24" t="s">
        <x:v>619</x:v>
      </x:c>
      <x:c r="F87" s="23" t="s">
        <x:v>588</x:v>
      </x:c>
      <x:c r="G87" s="23" t="s">
        <x:v>621</x:v>
      </x:c>
      <x:c r="H87" s="27" t="s">
        <x:v>590</x:v>
      </x:c>
      <x:c r="I87" s="27"/>
      <x:c r="J87" s="24" t="s">
        <x:v>591</x:v>
      </x:c>
      <x:c r="K87" s="27" t="s">
        <x:v>351</x:v>
      </x:c>
      <x:c r="L87" s="24" t="s">
        <x:v>622</x:v>
      </x:c>
      <x:c r="M87" s="26" t="s">
        <x:v>621</x:v>
      </x:c>
    </x:row>
    <x:row r="88" ht="48">
      <x:c r="A88" s="23" t="s">
        <x:v>623</x:v>
      </x:c>
      <x:c r="B88" s="23" t="s">
        <x:v>31</x:v>
      </x:c>
      <x:c r="C88" s="24" t="s">
        <x:v>624</x:v>
      </x:c>
      <x:c r="D88" s="24" t="s">
        <x:v>625</x:v>
      </x:c>
      <x:c r="E88" s="24" t="s">
        <x:v>624</x:v>
      </x:c>
      <x:c r="F88" s="23" t="s">
        <x:v>588</x:v>
      </x:c>
      <x:c r="G88" s="23" t="s">
        <x:v>626</x:v>
      </x:c>
      <x:c r="H88" s="27" t="s">
        <x:v>590</x:v>
      </x:c>
      <x:c r="I88" s="27"/>
      <x:c r="J88" s="24" t="s">
        <x:v>591</x:v>
      </x:c>
      <x:c r="K88" s="27" t="s">
        <x:v>351</x:v>
      </x:c>
      <x:c r="L88" s="24" t="s">
        <x:v>627</x:v>
      </x:c>
      <x:c r="M88" s="26" t="s">
        <x:v>626</x:v>
      </x:c>
    </x:row>
    <x:row r="89" ht="48">
      <x:c r="A89" s="23" t="s">
        <x:v>628</x:v>
      </x:c>
      <x:c r="B89" s="23" t="s">
        <x:v>31</x:v>
      </x:c>
      <x:c r="C89" s="27" t="s">
        <x:v>629</x:v>
      </x:c>
      <x:c r="D89" s="24" t="s">
        <x:v>630</x:v>
      </x:c>
      <x:c r="E89" s="27"/>
      <x:c r="F89" s="23" t="s">
        <x:v>631</x:v>
      </x:c>
      <x:c r="G89" s="23" t="s">
        <x:v>632</x:v>
      </x:c>
      <x:c r="H89" s="24" t="s">
        <x:v>590</x:v>
      </x:c>
      <x:c r="I89" s="24"/>
      <x:c r="J89" s="24" t="s">
        <x:v>633</x:v>
      </x:c>
      <x:c r="K89" s="24" t="s">
        <x:v>351</x:v>
      </x:c>
      <x:c r="L89" s="24" t="s">
        <x:v>634</x:v>
      </x:c>
      <x:c r="M89" s="26" t="s">
        <x:v>632</x:v>
      </x:c>
    </x:row>
    <x:row r="90" ht="80">
      <x:c r="A90" s="23" t="s">
        <x:v>635</x:v>
      </x:c>
      <x:c r="B90" s="23" t="s">
        <x:v>31</x:v>
      </x:c>
      <x:c r="C90" s="24" t="s">
        <x:v>636</x:v>
      </x:c>
      <x:c r="D90" s="24" t="s">
        <x:v>637</x:v>
      </x:c>
      <x:c r="E90" s="24" t="s">
        <x:v>638</x:v>
      </x:c>
      <x:c r="F90" s="23" t="s">
        <x:v>639</x:v>
      </x:c>
      <x:c r="G90" s="23" t="s">
        <x:v>640</x:v>
      </x:c>
      <x:c r="H90" s="24" t="s">
        <x:v>641</x:v>
      </x:c>
      <x:c r="I90" s="24" t="s">
        <x:v>642</x:v>
      </x:c>
      <x:c r="J90" s="24" t="s">
        <x:v>643</x:v>
      </x:c>
      <x:c r="K90" s="27" t="s">
        <x:v>21</x:v>
      </x:c>
      <x:c r="L90" s="24" t="s">
        <x:v>644</x:v>
      </x:c>
      <x:c r="M90" s="26" t="s">
        <x:v>640</x:v>
      </x:c>
    </x:row>
    <x:row r="91" ht="32">
      <x:c r="A91" s="23" t="s">
        <x:v>645</x:v>
      </x:c>
      <x:c r="B91" s="23" t="s">
        <x:v>47</x:v>
      </x:c>
      <x:c r="C91" s="24" t="s">
        <x:v>646</x:v>
      </x:c>
      <x:c r="D91" s="24" t="s">
        <x:v>647</x:v>
      </x:c>
      <x:c r="E91" s="24" t="s">
        <x:v>50</x:v>
      </x:c>
      <x:c r="F91" s="23" t="s">
        <x:v>648</x:v>
      </x:c>
      <x:c r="G91" s="23" t="s">
        <x:v>649</x:v>
      </x:c>
      <x:c r="H91" s="24" t="s">
        <x:v>641</x:v>
      </x:c>
      <x:c r="I91" s="24" t="s">
        <x:v>650</x:v>
      </x:c>
      <x:c r="J91" s="24" t="s">
        <x:v>651</x:v>
      </x:c>
      <x:c r="K91" s="24" t="s">
        <x:v>21</x:v>
      </x:c>
      <x:c r="L91" s="24" t="s">
        <x:v>652</x:v>
      </x:c>
      <x:c r="M91" s="26" t="s">
        <x:v>649</x:v>
      </x:c>
    </x:row>
    <x:row r="92" ht="48">
      <x:c r="A92" s="23" t="s">
        <x:v>653</x:v>
      </x:c>
      <x:c r="B92" s="23" t="s">
        <x:v>31</x:v>
      </x:c>
      <x:c r="C92" s="24" t="s">
        <x:v>654</x:v>
      </x:c>
      <x:c r="D92" s="24" t="s">
        <x:v>655</x:v>
      </x:c>
      <x:c r="E92" s="24" t="s">
        <x:v>656</x:v>
      </x:c>
      <x:c r="F92" s="23" t="s">
        <x:v>657</x:v>
      </x:c>
      <x:c r="G92" s="23" t="s">
        <x:v>658</x:v>
      </x:c>
      <x:c r="H92" s="24" t="s">
        <x:v>571</x:v>
      </x:c>
      <x:c r="I92" s="24"/>
      <x:c r="J92" s="24" t="s">
        <x:v>659</x:v>
      </x:c>
      <x:c r="K92" s="24" t="s">
        <x:v>21</x:v>
      </x:c>
      <x:c r="L92" s="24" t="s">
        <x:v>660</x:v>
      </x:c>
      <x:c r="M92" s="26" t="s">
        <x:v>658</x:v>
      </x:c>
    </x:row>
    <x:row r="93" ht="32">
      <x:c r="A93" s="23" t="s">
        <x:v>661</x:v>
      </x:c>
      <x:c r="B93" s="23" t="s">
        <x:v>113</x:v>
      </x:c>
      <x:c r="C93" s="24" t="s">
        <x:v>662</x:v>
      </x:c>
      <x:c r="D93" s="24" t="s">
        <x:v>663</x:v>
      </x:c>
      <x:c r="E93" s="24" t="s">
        <x:v>165</x:v>
      </x:c>
      <x:c r="F93" s="23" t="s">
        <x:v>664</x:v>
      </x:c>
      <x:c r="G93" s="23" t="s">
        <x:v>665</x:v>
      </x:c>
      <x:c r="H93" s="24" t="s">
        <x:v>571</x:v>
      </x:c>
      <x:c r="I93" s="24"/>
      <x:c r="J93" s="24" t="s">
        <x:v>659</x:v>
      </x:c>
      <x:c r="K93" s="24" t="s">
        <x:v>21</x:v>
      </x:c>
      <x:c r="L93" s="24" t="s">
        <x:v>666</x:v>
      </x:c>
      <x:c r="M93" s="26" t="s">
        <x:v>665</x:v>
      </x:c>
    </x:row>
    <x:row r="94" ht="48">
      <x:c r="A94" s="23" t="s">
        <x:v>667</x:v>
      </x:c>
      <x:c r="B94" s="23" t="s">
        <x:v>47</x:v>
      </x:c>
      <x:c r="C94" s="24" t="s">
        <x:v>668</x:v>
      </x:c>
      <x:c r="D94" s="24" t="s">
        <x:v>669</x:v>
      </x:c>
      <x:c r="E94" s="24" t="s">
        <x:v>50</x:v>
      </x:c>
      <x:c r="F94" s="23" t="s">
        <x:v>342</x:v>
      </x:c>
      <x:c r="G94" s="23" t="s">
        <x:v>670</x:v>
      </x:c>
      <x:c r="H94" s="24" t="s">
        <x:v>571</x:v>
      </x:c>
      <x:c r="I94" s="24"/>
      <x:c r="J94" s="24" t="s">
        <x:v>659</x:v>
      </x:c>
      <x:c r="K94" s="24" t="s">
        <x:v>21</x:v>
      </x:c>
      <x:c r="L94" s="24" t="s">
        <x:v>671</x:v>
      </x:c>
      <x:c r="M94" s="26" t="s">
        <x:v>670</x:v>
      </x:c>
    </x:row>
    <x:row r="95" ht="48">
      <x:c r="A95" s="23" t="s">
        <x:v>672</x:v>
      </x:c>
      <x:c r="B95" s="23" t="s">
        <x:v>47</x:v>
      </x:c>
      <x:c r="C95" s="24" t="s">
        <x:v>673</x:v>
      </x:c>
      <x:c r="D95" s="24" t="s">
        <x:v>674</x:v>
      </x:c>
      <x:c r="E95" s="24" t="s">
        <x:v>50</x:v>
      </x:c>
      <x:c r="F95" s="23" t="s">
        <x:v>342</x:v>
      </x:c>
      <x:c r="G95" s="23" t="s">
        <x:v>675</x:v>
      </x:c>
      <x:c r="H95" s="24" t="s">
        <x:v>571</x:v>
      </x:c>
      <x:c r="I95" s="24"/>
      <x:c r="J95" s="24" t="s">
        <x:v>659</x:v>
      </x:c>
      <x:c r="K95" s="24" t="s">
        <x:v>21</x:v>
      </x:c>
      <x:c r="L95" s="24" t="s">
        <x:v>676</x:v>
      </x:c>
      <x:c r="M95" s="26" t="s">
        <x:v>675</x:v>
      </x:c>
    </x:row>
    <x:row r="96" ht="48">
      <x:c r="A96" s="23" t="s">
        <x:v>677</x:v>
      </x:c>
      <x:c r="B96" s="23" t="s">
        <x:v>162</x:v>
      </x:c>
      <x:c r="C96" s="24" t="s">
        <x:v>678</x:v>
      </x:c>
      <x:c r="D96" s="24" t="s">
        <x:v>679</x:v>
      </x:c>
      <x:c r="E96" s="24" t="s">
        <x:v>680</x:v>
      </x:c>
      <x:c r="F96" s="23" t="s">
        <x:v>681</x:v>
      </x:c>
      <x:c r="G96" s="26"/>
      <x:c r="H96" s="24" t="s">
        <x:v>571</x:v>
      </x:c>
      <x:c r="I96" s="24"/>
      <x:c r="J96" s="24" t="s">
        <x:v>659</x:v>
      </x:c>
      <x:c r="K96" s="24" t="s">
        <x:v>351</x:v>
      </x:c>
      <x:c r="L96" s="24" t="s">
        <x:v>682</x:v>
      </x:c>
      <x:c r="M96" s="26" t="s">
        <x:v>683</x:v>
      </x:c>
    </x:row>
    <x:row r="97" ht="32">
      <x:c r="A97" s="23" t="s">
        <x:v>684</x:v>
      </x:c>
      <x:c r="B97" s="23" t="s">
        <x:v>57</x:v>
      </x:c>
      <x:c r="C97" s="24" t="s">
        <x:v>685</x:v>
      </x:c>
      <x:c r="D97" s="24" t="s">
        <x:v>686</x:v>
      </x:c>
      <x:c r="E97" s="24" t="s">
        <x:v>287</x:v>
      </x:c>
      <x:c r="F97" s="23" t="s">
        <x:v>136</x:v>
      </x:c>
      <x:c r="G97" s="23" t="s">
        <x:v>687</x:v>
      </x:c>
      <x:c r="H97" s="24" t="s">
        <x:v>571</x:v>
      </x:c>
      <x:c r="I97" s="24"/>
      <x:c r="J97" s="24" t="s">
        <x:v>659</x:v>
      </x:c>
      <x:c r="K97" s="24" t="s">
        <x:v>21</x:v>
      </x:c>
      <x:c r="L97" s="24" t="s">
        <x:v>688</x:v>
      </x:c>
      <x:c r="M97" s="26" t="s">
        <x:v>687</x:v>
      </x:c>
    </x:row>
    <x:row r="98" ht="32">
      <x:c r="A98" s="23" t="s">
        <x:v>689</x:v>
      </x:c>
      <x:c r="B98" s="23" t="s">
        <x:v>57</x:v>
      </x:c>
      <x:c r="C98" s="24" t="s">
        <x:v>690</x:v>
      </x:c>
      <x:c r="D98" s="24" t="s">
        <x:v>691</x:v>
      </x:c>
      <x:c r="E98" s="24" t="s">
        <x:v>692</x:v>
      </x:c>
      <x:c r="F98" s="23" t="s">
        <x:v>693</x:v>
      </x:c>
      <x:c r="G98" s="23" t="s">
        <x:v>694</x:v>
      </x:c>
      <x:c r="H98" s="24" t="s">
        <x:v>571</x:v>
      </x:c>
      <x:c r="I98" s="24"/>
      <x:c r="J98" s="24" t="s">
        <x:v>659</x:v>
      </x:c>
      <x:c r="K98" s="24" t="s">
        <x:v>21</x:v>
      </x:c>
      <x:c r="L98" s="24" t="s">
        <x:v>695</x:v>
      </x:c>
      <x:c r="M98" s="26" t="s">
        <x:v>694</x:v>
      </x:c>
    </x:row>
    <x:row r="99" ht="32">
      <x:c r="A99" s="23" t="s">
        <x:v>696</x:v>
      </x:c>
      <x:c r="B99" s="23" t="s">
        <x:v>31</x:v>
      </x:c>
      <x:c r="C99" s="24" t="s">
        <x:v>697</x:v>
      </x:c>
      <x:c r="D99" s="24" t="s">
        <x:v>698</x:v>
      </x:c>
      <x:c r="E99" s="24" t="s">
        <x:v>699</x:v>
      </x:c>
      <x:c r="F99" s="23" t="s">
        <x:v>17</x:v>
      </x:c>
      <x:c r="G99" s="23" t="s">
        <x:v>700</x:v>
      </x:c>
      <x:c r="H99" s="24" t="s">
        <x:v>571</x:v>
      </x:c>
      <x:c r="I99" s="24"/>
      <x:c r="J99" s="24" t="s">
        <x:v>659</x:v>
      </x:c>
      <x:c r="K99" s="24" t="s">
        <x:v>21</x:v>
      </x:c>
      <x:c r="L99" s="24" t="s">
        <x:v>701</x:v>
      </x:c>
      <x:c r="M99" s="26" t="s">
        <x:v>700</x:v>
      </x:c>
    </x:row>
    <x:row r="100" ht="48">
      <x:c r="A100" s="23" t="s">
        <x:v>702</x:v>
      </x:c>
      <x:c r="B100" s="23" t="s">
        <x:v>47</x:v>
      </x:c>
      <x:c r="C100" s="24" t="s">
        <x:v>703</x:v>
      </x:c>
      <x:c r="D100" s="24" t="s">
        <x:v>704</x:v>
      </x:c>
      <x:c r="E100" s="24" t="s">
        <x:v>50</x:v>
      </x:c>
      <x:c r="F100" s="23" t="s">
        <x:v>535</x:v>
      </x:c>
      <x:c r="G100" s="23" t="s">
        <x:v>705</x:v>
      </x:c>
      <x:c r="H100" s="24" t="s">
        <x:v>571</x:v>
      </x:c>
      <x:c r="I100" s="24"/>
      <x:c r="J100" s="24" t="s">
        <x:v>659</x:v>
      </x:c>
      <x:c r="K100" s="24" t="s">
        <x:v>21</x:v>
      </x:c>
      <x:c r="L100" s="24" t="s">
        <x:v>706</x:v>
      </x:c>
      <x:c r="M100" s="26" t="s">
        <x:v>705</x:v>
      </x:c>
    </x:row>
    <x:row r="101" ht="48">
      <x:c r="A101" s="23" t="s">
        <x:v>707</x:v>
      </x:c>
      <x:c r="B101" s="23" t="s">
        <x:v>463</x:v>
      </x:c>
      <x:c r="C101" s="24" t="s">
        <x:v>464</x:v>
      </x:c>
      <x:c r="D101" s="24" t="s">
        <x:v>708</x:v>
      </x:c>
      <x:c r="E101" s="24" t="s">
        <x:v>466</x:v>
      </x:c>
      <x:c r="F101" s="23" t="s">
        <x:v>709</x:v>
      </x:c>
      <x:c r="G101" s="23" t="s">
        <x:v>710</x:v>
      </x:c>
      <x:c r="H101" s="24" t="s">
        <x:v>571</x:v>
      </x:c>
      <x:c r="I101" s="24"/>
      <x:c r="J101" s="24" t="s">
        <x:v>659</x:v>
      </x:c>
      <x:c r="K101" s="24" t="s">
        <x:v>21</x:v>
      </x:c>
      <x:c r="L101" s="24" t="s">
        <x:v>711</x:v>
      </x:c>
      <x:c r="M101" s="26" t="s">
        <x:v>710</x:v>
      </x:c>
    </x:row>
    <x:row r="102" ht="48">
      <x:c r="A102" s="23" t="s">
        <x:v>712</x:v>
      </x:c>
      <x:c r="B102" s="23" t="s">
        <x:v>713</x:v>
      </x:c>
      <x:c r="C102" s="24" t="s">
        <x:v>714</x:v>
      </x:c>
      <x:c r="D102" s="24" t="s">
        <x:v>715</x:v>
      </x:c>
      <x:c r="E102" s="27"/>
      <x:c r="F102" s="23" t="s">
        <x:v>681</x:v>
      </x:c>
      <x:c r="G102" s="26"/>
      <x:c r="H102" s="24" t="s">
        <x:v>571</x:v>
      </x:c>
      <x:c r="I102" s="24"/>
      <x:c r="J102" s="24" t="s">
        <x:v>659</x:v>
      </x:c>
      <x:c r="K102" s="24" t="s">
        <x:v>351</x:v>
      </x:c>
      <x:c r="L102" s="24" t="s">
        <x:v>716</x:v>
      </x:c>
      <x:c r="M102" s="26" t="s">
        <x:v>717</x:v>
      </x:c>
    </x:row>
    <x:row r="103" ht="13">
      <x:c r="A103" t="s">
        <x:v>718</x:v>
      </x:c>
      <x:c r="B103" t="s">
        <x:v>719</x:v>
      </x:c>
      <x:c r="C103" t="s">
        <x:v>720</x:v>
      </x:c>
      <x:c r="D103" t="s">
        <x:v>721</x:v>
      </x:c>
      <x:c r="E103" t="s">
        <x:v>165</x:v>
      </x:c>
      <x:c r="F103" t="s">
        <x:v>196</x:v>
      </x:c>
      <x:c r="G103" t="s">
        <x:v>722</x:v>
      </x:c>
      <x:c r="H103" t="s">
        <x:v>723</x:v>
      </x:c>
      <x:c r="I103" t="s">
        <x:v>724</x:v>
      </x:c>
      <x:c r="J103" t="str">
        <x:v>Reichelt Produktseite und Microchip 24LC32A Datenblatt, abgerufen 2026-09-06</x:v>
      </x:c>
      <x:c r="K103" t="str">
        <x:v>OK</x:v>
      </x:c>
      <x:c r="L103" t="str"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  <x:c r="M103" t="s">
        <x:v>722</x:v>
      </x:c>
    </x:row>
  </x:sheetData>
  <x:conditionalFormatting sqref="Q2:Q54">
    <x:cfRule type="containsText" dxfId="11" priority="2" operator="containsText" text="Prüfen">
      <x:formula>NOT(ISERROR(SEARCH("Prüfen",Q2)))</x:formula>
    </x:cfRule>
    <x:cfRule type="containsText" dxfId="10" priority="3" operator="containsText" text="OK">
      <x:formula>NOT(ISERROR(SEARCH("OK",Q2)))</x:formula>
    </x:cfRule>
  </x:conditionalFormatting>
  <x:conditionalFormatting sqref="S2:S54">
    <x:cfRule type="duplicateValues" dxfId="9" priority="4"/>
  </x:conditionalFormatting>
  <x:dataValidations count="1">
    <x:dataValidation type="list" sqref="Q1:Q1102">
      <x:formula1>"OK,Prüfen,Legacy"</x:formula1>
      <x:formula2>0</x:formula2>
    </x:dataValidation>
  </x:dataValidations>
  <x:hyperlinks>
    <x:hyperlink xmlns:r="http://schemas.openxmlformats.org/officeDocument/2006/relationships" ref="C23" r:id="R88d14adc82c9426d"/>
  </x:hyperlinks>
  <x:pageMargins left="0.7" right="0.7" top="0.75" bottom="0.75" header="0.3" footer="0.3"/>
  <x:tableParts count="1">
    <x:tablePart xmlns:r="http://schemas.openxmlformats.org/officeDocument/2006/relationships" r:id="Rded2a154fcbf4b7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33.83203125" customWidth="1"/>
    <x:col min="4" max="4" width="12" customWidth="1"/>
    <x:col min="5" max="6" width="54" customWidth="1"/>
    <x:col min="7" max="7" width="72" customWidth="1"/>
  </x:cols>
  <x:sheetData>
    <x:row r="1" ht="15">
      <x:c r="A1" s="28" t="s">
        <x:v>725</x:v>
      </x:c>
      <x:c r="B1" s="28" t="s">
        <x:v>726</x:v>
      </x:c>
      <x:c r="C1" s="28" t="s">
        <x:v>727</x:v>
      </x:c>
      <x:c r="D1" s="28" t="s">
        <x:v>728</x:v>
      </x:c>
      <x:c r="E1" s="28" t="s">
        <x:v>729</x:v>
      </x:c>
      <x:c r="F1" s="28" t="s">
        <x:v>730</x:v>
      </x:c>
      <x:c r="G1" s="28" t="s">
        <x:v>11</x:v>
      </x:c>
    </x:row>
    <x:row r="2">
      <x:c r="A2" t="s">
        <x:v>731</x:v>
      </x:c>
      <x:c r="B2" t="s">
        <x:v>732</x:v>
      </x:c>
      <x:c r="C2" t="s">
        <x:v>733</x:v>
      </x:c>
      <x:c r="D2" s="29" t="s">
        <x:v>734</x:v>
      </x:c>
      <x:c r="E2" t="s">
        <x:v>735</x:v>
      </x:c>
      <x:c r="F2" t="s">
        <x:v>736</x:v>
      </x:c>
      <x:c r="G2" t="s">
        <x:v>737</x:v>
      </x:c>
    </x:row>
    <x:row r="3">
      <x:c r="A3" t="s">
        <x:v>738</x:v>
      </x:c>
      <x:c r="B3" t="s">
        <x:v>739</x:v>
      </x:c>
      <x:c r="C3" t="s">
        <x:v>733</x:v>
      </x:c>
      <x:c r="D3" s="29" t="s">
        <x:v>734</x:v>
      </x:c>
      <x:c r="E3" t="s">
        <x:v>740</x:v>
      </x:c>
      <x:c r="F3" t="s">
        <x:v>741</x:v>
      </x:c>
      <x:c r="G3" t="s">
        <x:v>742</x:v>
      </x:c>
    </x:row>
    <x:row r="4">
      <x:c r="A4" t="s">
        <x:v>743</x:v>
      </x:c>
      <x:c r="B4" t="s">
        <x:v>744</x:v>
      </x:c>
      <x:c r="C4" t="s">
        <x:v>733</x:v>
      </x:c>
      <x:c r="D4" s="29" t="s">
        <x:v>734</x:v>
      </x:c>
      <x:c r="E4" t="s">
        <x:v>745</x:v>
      </x:c>
      <x:c r="F4" t="s">
        <x:v>746</x:v>
      </x:c>
      <x:c r="G4" t="s">
        <x:v>747</x:v>
      </x:c>
    </x:row>
    <x:row r="5">
      <x:c r="A5" t="s">
        <x:v>748</x:v>
      </x:c>
      <x:c r="B5" t="s">
        <x:v>749</x:v>
      </x:c>
      <x:c r="C5" t="s">
        <x:v>750</x:v>
      </x:c>
      <x:c r="D5" s="29" t="s">
        <x:v>734</x:v>
      </x:c>
      <x:c r="E5" t="s">
        <x:v>751</x:v>
      </x:c>
      <x:c r="F5" t="s">
        <x:v>752</x:v>
      </x:c>
      <x:c r="G5" t="s">
        <x:v>753</x:v>
      </x:c>
    </x:row>
    <x:row r="6">
      <x:c r="D6" s="29"/>
    </x:row>
    <x:row r="7">
      <x:c r="D7" s="29"/>
    </x:row>
    <x:row r="8">
      <x:c r="D8" s="29"/>
    </x:row>
    <x:row r="9">
      <x:c r="D9" s="29"/>
    </x:row>
    <x:row r="10">
      <x:c r="D10" s="29"/>
    </x:row>
    <x:row r="11">
      <x:c r="D11" s="29"/>
    </x:row>
    <x:row r="12">
      <x:c r="D12" s="29"/>
    </x:row>
    <x:row r="13">
      <x:c r="D13" s="29"/>
    </x:row>
    <x:row r="14">
      <x:c r="D14" s="29"/>
    </x:row>
    <x:row r="15">
      <x:c r="D15" s="29"/>
    </x:row>
    <x:row r="16">
      <x:c r="D16" s="29"/>
    </x:row>
    <x:row r="17">
      <x:c r="D17" s="29"/>
    </x:row>
    <x:row r="18">
      <x:c r="D18" s="29"/>
    </x:row>
    <x:row r="19">
      <x:c r="D19" s="29"/>
    </x:row>
    <x:row r="20">
      <x:c r="D20" s="29"/>
    </x:row>
    <x:row r="21">
      <x:c r="D21" s="29"/>
    </x:row>
    <x:row r="22">
      <x:c r="D22" s="29"/>
    </x:row>
    <x:row r="23">
      <x:c r="D23" s="29"/>
    </x:row>
    <x:row r="24">
      <x:c r="D24" s="29"/>
    </x:row>
    <x:row r="25">
      <x:c r="D25" s="29"/>
    </x:row>
    <x:row r="26">
      <x:c r="D26" s="29"/>
    </x:row>
    <x:row r="27">
      <x:c r="D27" s="29"/>
    </x:row>
    <x:row r="28">
      <x:c r="D28" s="29"/>
    </x:row>
    <x:row r="29">
      <x:c r="D29" s="29"/>
    </x:row>
    <x:row r="30">
      <x:c r="D30" s="29"/>
    </x:row>
    <x:row r="31">
      <x:c r="D31" s="29"/>
    </x:row>
    <x:row r="32">
      <x:c r="D32" s="29"/>
    </x:row>
    <x:row r="33">
      <x:c r="D33" s="29"/>
    </x:row>
    <x:row r="34">
      <x:c r="D34" s="29"/>
    </x:row>
    <x:row r="35">
      <x:c r="D35" s="29"/>
    </x:row>
    <x:row r="36">
      <x:c r="D36" s="29"/>
    </x:row>
    <x:row r="37">
      <x:c r="D37" s="29"/>
    </x:row>
    <x:row r="38">
      <x:c r="D38" s="29"/>
    </x:row>
    <x:row r="39">
      <x:c r="D39" s="29"/>
    </x:row>
    <x:row r="40">
      <x:c r="D40" s="29"/>
    </x:row>
    <x:row r="41">
      <x:c r="D41" s="29"/>
    </x:row>
    <x:row r="42">
      <x:c r="D42" s="29"/>
    </x:row>
    <x:row r="43">
      <x:c r="D43" s="29"/>
    </x:row>
    <x:row r="44">
      <x:c r="D44" s="29"/>
    </x:row>
    <x:row r="45">
      <x:c r="D45" s="29"/>
    </x:row>
    <x:row r="46">
      <x:c r="D46" s="29"/>
    </x:row>
    <x:row r="47">
      <x:c r="D47" s="29"/>
    </x:row>
    <x:row r="48">
      <x:c r="D48" s="29"/>
    </x:row>
    <x:row r="49">
      <x:c r="D49" s="29"/>
    </x:row>
    <x:row r="50">
      <x:c r="D50" s="29"/>
    </x:row>
    <x:row r="51">
      <x:c r="D51" s="29"/>
    </x:row>
    <x:row r="52">
      <x:c r="D52" s="29"/>
    </x:row>
    <x:row r="53">
      <x:c r="D53" s="29"/>
    </x:row>
    <x:row r="54">
      <x:c r="D54" s="29"/>
    </x:row>
    <x:row r="55">
      <x:c r="D55" s="29"/>
    </x:row>
    <x:row r="56">
      <x:c r="D56" s="29"/>
    </x:row>
    <x:row r="57">
      <x:c r="D57" s="29"/>
    </x:row>
    <x:row r="58">
      <x:c r="D58" s="29"/>
    </x:row>
    <x:row r="59">
      <x:c r="D59" s="29"/>
    </x:row>
    <x:row r="60">
      <x:c r="D60" s="29"/>
    </x:row>
    <x:row r="61">
      <x:c r="D61" s="29"/>
    </x:row>
    <x:row r="62">
      <x:c r="D62" s="29"/>
    </x:row>
    <x:row r="63">
      <x:c r="D63" s="29"/>
    </x:row>
    <x:row r="64">
      <x:c r="D64" s="29"/>
    </x:row>
    <x:row r="65">
      <x:c r="D65" s="29"/>
    </x:row>
    <x:row r="66">
      <x:c r="D66" s="29"/>
    </x:row>
    <x:row r="67">
      <x:c r="D67" s="29"/>
    </x:row>
    <x:row r="68">
      <x:c r="D68" s="29"/>
    </x:row>
    <x:row r="69">
      <x:c r="D69" s="29"/>
    </x:row>
    <x:row r="70">
      <x:c r="D70" s="29"/>
    </x:row>
    <x:row r="71">
      <x:c r="D71" s="29"/>
    </x:row>
    <x:row r="72">
      <x:c r="D72" s="29"/>
    </x:row>
    <x:row r="73">
      <x:c r="D73" s="29"/>
    </x:row>
    <x:row r="74">
      <x:c r="D74" s="29"/>
    </x:row>
    <x:row r="75">
      <x:c r="D75" s="29"/>
    </x:row>
    <x:row r="76">
      <x:c r="D76" s="29"/>
    </x:row>
    <x:row r="77">
      <x:c r="D77" s="29"/>
    </x:row>
    <x:row r="78">
      <x:c r="D78" s="29"/>
    </x:row>
    <x:row r="79">
      <x:c r="D79" s="29"/>
    </x:row>
    <x:row r="80">
      <x:c r="D80" s="29"/>
    </x:row>
    <x:row r="81">
      <x:c r="D81" s="29"/>
    </x:row>
    <x:row r="82">
      <x:c r="D82" s="29"/>
    </x:row>
    <x:row r="83">
      <x:c r="D83" s="29"/>
    </x:row>
    <x:row r="84">
      <x:c r="D84" s="29"/>
    </x:row>
    <x:row r="85">
      <x:c r="D85" s="29"/>
    </x:row>
    <x:row r="86">
      <x:c r="D86" s="29"/>
    </x:row>
    <x:row r="87">
      <x:c r="D87" s="29"/>
    </x:row>
    <x:row r="88">
      <x:c r="D88" s="29"/>
    </x:row>
    <x:row r="89">
      <x:c r="D89" s="29"/>
    </x:row>
    <x:row r="90">
      <x:c r="D90" s="29"/>
    </x:row>
    <x:row r="91">
      <x:c r="D91" s="29"/>
    </x:row>
    <x:row r="92">
      <x:c r="D92" s="29"/>
    </x:row>
    <x:row r="93">
      <x:c r="D93" s="29"/>
    </x:row>
    <x:row r="94">
      <x:c r="D94" s="29"/>
    </x:row>
    <x:row r="95">
      <x:c r="D95" s="29"/>
    </x:row>
    <x:row r="96">
      <x:c r="D96" s="29"/>
    </x:row>
    <x:row r="97">
      <x:c r="D97" s="29"/>
    </x:row>
    <x:row r="98">
      <x:c r="D98" s="29"/>
    </x:row>
    <x:row r="99">
      <x:c r="D99" s="29"/>
    </x:row>
    <x:row r="100">
      <x:c r="D100" s="29"/>
    </x:row>
    <x:row r="101">
      <x:c r="D101" s="29"/>
    </x:row>
    <x:row r="102">
      <x:c r="D102" s="29"/>
    </x:row>
    <x:row r="103">
      <x:c r="D103" s="29"/>
    </x:row>
    <x:row r="104">
      <x:c r="D104" s="29"/>
    </x:row>
    <x:row r="105">
      <x:c r="D105" s="29"/>
    </x:row>
    <x:row r="106">
      <x:c r="D106" s="29"/>
    </x:row>
    <x:row r="107">
      <x:c r="D107" s="29"/>
    </x:row>
    <x:row r="108">
      <x:c r="D108" s="29"/>
    </x:row>
    <x:row r="109">
      <x:c r="D109" s="29"/>
    </x:row>
    <x:row r="110">
      <x:c r="D110" s="29"/>
    </x:row>
    <x:row r="111">
      <x:c r="D111" s="29"/>
    </x:row>
    <x:row r="112">
      <x:c r="D112" s="29"/>
    </x:row>
    <x:row r="113">
      <x:c r="D113" s="29"/>
    </x:row>
    <x:row r="114">
      <x:c r="D114" s="29"/>
    </x:row>
    <x:row r="115">
      <x:c r="D115" s="29"/>
    </x:row>
    <x:row r="116">
      <x:c r="D116" s="29"/>
    </x:row>
    <x:row r="117">
      <x:c r="D117" s="29"/>
    </x:row>
    <x:row r="118">
      <x:c r="D118" s="29"/>
    </x:row>
    <x:row r="119">
      <x:c r="D119" s="29"/>
    </x:row>
    <x:row r="120">
      <x:c r="D120" s="29"/>
    </x:row>
    <x:row r="121">
      <x:c r="D121" s="29"/>
    </x:row>
    <x:row r="122">
      <x:c r="D122" s="29"/>
    </x:row>
    <x:row r="123">
      <x:c r="D123" s="29"/>
    </x:row>
    <x:row r="124">
      <x:c r="D124" s="29"/>
    </x:row>
    <x:row r="125">
      <x:c r="D125" s="29"/>
    </x:row>
    <x:row r="126">
      <x:c r="D126" s="29"/>
    </x:row>
    <x:row r="127">
      <x:c r="D127" s="29"/>
    </x:row>
    <x:row r="128">
      <x:c r="D128" s="29"/>
    </x:row>
    <x:row r="129">
      <x:c r="D129" s="29"/>
    </x:row>
    <x:row r="130">
      <x:c r="D130" s="29"/>
    </x:row>
    <x:row r="131">
      <x:c r="D131" s="29"/>
    </x:row>
    <x:row r="132">
      <x:c r="D132" s="29"/>
    </x:row>
    <x:row r="133">
      <x:c r="D133" s="29"/>
    </x:row>
    <x:row r="134">
      <x:c r="D134" s="29"/>
    </x:row>
    <x:row r="135">
      <x:c r="D135" s="29"/>
    </x:row>
    <x:row r="136">
      <x:c r="D136" s="29"/>
    </x:row>
    <x:row r="137">
      <x:c r="D137" s="29"/>
    </x:row>
    <x:row r="138">
      <x:c r="D138" s="29"/>
    </x:row>
    <x:row r="139">
      <x:c r="D139" s="29"/>
    </x:row>
    <x:row r="140">
      <x:c r="D140" s="29"/>
    </x:row>
    <x:row r="141">
      <x:c r="D141" s="29"/>
    </x:row>
    <x:row r="142">
      <x:c r="D142" s="29"/>
    </x:row>
    <x:row r="143">
      <x:c r="D143" s="29"/>
    </x:row>
    <x:row r="144">
      <x:c r="D144" s="29"/>
    </x:row>
    <x:row r="145">
      <x:c r="D145" s="29"/>
    </x:row>
    <x:row r="146">
      <x:c r="D146" s="29"/>
    </x:row>
    <x:row r="147">
      <x:c r="D147" s="29"/>
    </x:row>
    <x:row r="148">
      <x:c r="D148" s="29"/>
    </x:row>
    <x:row r="149">
      <x:c r="D149" s="29"/>
    </x:row>
    <x:row r="150">
      <x:c r="D150" s="29"/>
    </x:row>
    <x:row r="151">
      <x:c r="D151" s="29"/>
    </x:row>
    <x:row r="152">
      <x:c r="D152" s="29"/>
    </x:row>
    <x:row r="153">
      <x:c r="D153" s="29"/>
    </x:row>
    <x:row r="154">
      <x:c r="D154" s="29"/>
    </x:row>
    <x:row r="155">
      <x:c r="D155" s="29"/>
    </x:row>
    <x:row r="156">
      <x:c r="D156" s="29"/>
    </x:row>
    <x:row r="157">
      <x:c r="D157" s="29"/>
    </x:row>
    <x:row r="158">
      <x:c r="D158" s="29"/>
    </x:row>
    <x:row r="159">
      <x:c r="D159" s="29"/>
    </x:row>
    <x:row r="160">
      <x:c r="D160" s="29"/>
    </x:row>
    <x:row r="161">
      <x:c r="D161" s="29"/>
    </x:row>
    <x:row r="162">
      <x:c r="D162" s="29"/>
    </x:row>
    <x:row r="163">
      <x:c r="D163" s="29"/>
    </x:row>
    <x:row r="164">
      <x:c r="D164" s="29"/>
    </x:row>
    <x:row r="165">
      <x:c r="D165" s="29"/>
    </x:row>
    <x:row r="166">
      <x:c r="D166" s="29"/>
    </x:row>
    <x:row r="167">
      <x:c r="D167" s="29"/>
    </x:row>
    <x:row r="168">
      <x:c r="D168" s="29"/>
    </x:row>
    <x:row r="169">
      <x:c r="D169" s="29"/>
    </x:row>
    <x:row r="170">
      <x:c r="D170" s="29"/>
    </x:row>
    <x:row r="171">
      <x:c r="D171" s="29"/>
    </x:row>
    <x:row r="172">
      <x:c r="D172" s="29"/>
    </x:row>
    <x:row r="173">
      <x:c r="D173" s="29"/>
    </x:row>
    <x:row r="174">
      <x:c r="D174" s="29"/>
    </x:row>
    <x:row r="175">
      <x:c r="D175" s="29"/>
    </x:row>
    <x:row r="176">
      <x:c r="D176" s="29"/>
    </x:row>
    <x:row r="177">
      <x:c r="D177" s="29"/>
    </x:row>
    <x:row r="178">
      <x:c r="D178" s="29"/>
    </x:row>
    <x:row r="179">
      <x:c r="D179" s="29"/>
    </x:row>
    <x:row r="180">
      <x:c r="D180" s="29"/>
    </x:row>
    <x:row r="181">
      <x:c r="D181" s="29"/>
    </x:row>
    <x:row r="182">
      <x:c r="D182" s="29"/>
    </x:row>
    <x:row r="183">
      <x:c r="D183" s="29"/>
    </x:row>
    <x:row r="184">
      <x:c r="D184" s="29"/>
    </x:row>
    <x:row r="185">
      <x:c r="D185" s="29"/>
    </x:row>
    <x:row r="186">
      <x:c r="D186" s="29"/>
    </x:row>
    <x:row r="187">
      <x:c r="D187" s="29"/>
    </x:row>
    <x:row r="188">
      <x:c r="D188" s="29"/>
    </x:row>
    <x:row r="189">
      <x:c r="D189" s="29"/>
    </x:row>
    <x:row r="190">
      <x:c r="D190" s="29"/>
    </x:row>
    <x:row r="191">
      <x:c r="D191" s="29"/>
    </x:row>
    <x:row r="192">
      <x:c r="D192" s="29"/>
    </x:row>
    <x:row r="193">
      <x:c r="D193" s="29"/>
    </x:row>
    <x:row r="194">
      <x:c r="D194" s="29"/>
    </x:row>
    <x:row r="195">
      <x:c r="D195" s="29"/>
    </x:row>
    <x:row r="196">
      <x:c r="D196" s="29"/>
    </x:row>
  </x:sheetData>
  <x:dataValidations count="1">
    <x:dataValidation type="list" sqref="D2:D196">
      <x:formula1>"Entwurf,Freigegeben,Legacy"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7c879e7b6fba44d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1" customWidth="1"/>
    <x:col min="3" max="4" width="10" customWidth="1"/>
    <x:col min="5" max="5" width="15" customWidth="1"/>
    <x:col min="6" max="6" width="10" customWidth="1"/>
    <x:col min="7" max="8" width="13" customWidth="1"/>
    <x:col min="9" max="9" width="34" customWidth="1"/>
    <x:col min="10" max="10" width="66" customWidth="1"/>
    <x:col min="11" max="11" width="17" customWidth="1"/>
    <x:col min="12" max="12" width="18" customWidth="1"/>
    <x:col min="13" max="13" width="255" customWidth="1"/>
  </x:cols>
  <x:sheetData>
    <x:row r="1" ht="16">
      <x:c r="A1" s="30" t="s">
        <x:v>725</x:v>
      </x:c>
      <x:c r="B1" s="30" t="s">
        <x:v>754</x:v>
      </x:c>
      <x:c r="C1" s="30" t="s">
        <x:v>755</x:v>
      </x:c>
      <x:c r="D1" s="30" t="s">
        <x:v>756</x:v>
      </x:c>
      <x:c r="E1" s="30" t="s">
        <x:v>757</x:v>
      </x:c>
      <x:c r="F1" s="30" t="s">
        <x:v>758</x:v>
      </x:c>
      <x:c r="G1" s="30" t="s">
        <x:v>759</x:v>
      </x:c>
      <x:c r="H1" s="30" t="s">
        <x:v>760</x:v>
      </x:c>
      <x:c r="I1" s="30" t="s">
        <x:v>761</x:v>
      </x:c>
      <x:c r="J1" s="30" t="s">
        <x:v>762</x:v>
      </x:c>
      <x:c r="K1" s="30" t="s">
        <x:v>763</x:v>
      </x:c>
      <x:c r="L1" s="30" t="s">
        <x:v>764</x:v>
      </x:c>
      <x:c r="M1" s="30" t="s">
        <x:v>11</x:v>
      </x:c>
    </x:row>
    <x:row r="2" ht="15">
      <x:c r="A2" t="s">
        <x:v>731</x:v>
      </x:c>
      <x:c r="B2" t="s">
        <x:v>733</x:v>
      </x:c>
      <x:c r="C2" s="31">
        <x:v>10</x:v>
      </x:c>
      <x:c r="D2" t="s">
        <x:v>765</x:v>
      </x:c>
      <x:c r="E2" t="s">
        <x:v>56</x:v>
      </x:c>
      <x:c r="F2" s="31">
        <x:v>1</x:v>
      </x:c>
      <x:c r="G2" s="29" t="s">
        <x:v>766</x:v>
      </x:c>
      <x:c r="H2" s="29" t="s">
        <x:v>208</x:v>
      </x:c>
      <x:c r="I2" t="str">
        <x:f>IFERROR(VLOOKUP(E2,Parts!$A$2:$S$200,4,FALSE()),"")</x:f>
        <x:v>100 nF, 10 %, X7R, 100 V</x:v>
      </x:c>
      <x:c r="J2" t="str">
        <x:f>IFERROR(VLOOKUP(E2,Parts!$A$2:$S$200,5,FALSE()),"")</x:f>
        <x:v>Capacitor_SMD:C_1206_3216Metric_Pad1.33x1.80mm_HandSolder</x:v>
      </x:c>
      <x:c r="K2" s="32" t="n">
        <x:f>SUMIFS(Part_Suppliers!$E$2:$E$300,Part_Suppliers!$A$2:$A$300,$E2,Part_Suppliers!$H$2:$H$300,"Ja")</x:f>
        <x:v>0.24</x:v>
      </x:c>
      <x:c r="L2" s="32" t="n">
        <x:f t="shared" ref="L2:L33" si="0">F2*K2</x:f>
        <x:v>0.24</x:v>
      </x:c>
      <x:c r="M2" t="str">
        <x:f>IFERROR(VLOOKUP($E2,Parts!$A$2:$M$200,12,FALSE()),"")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3" ht="15">
      <x:c r="A3" t="s">
        <x:v>731</x:v>
      </x:c>
      <x:c r="B3" t="s">
        <x:v>733</x:v>
      </x:c>
      <x:c r="C3" s="31">
        <x:v>20</x:v>
      </x:c>
      <x:c r="D3" t="s">
        <x:v>338</x:v>
      </x:c>
      <x:c r="E3" t="s">
        <x:v>66</x:v>
      </x:c>
      <x:c r="F3" s="31">
        <x:v>1</x:v>
      </x:c>
      <x:c r="G3" s="29" t="s">
        <x:v>766</x:v>
      </x:c>
      <x:c r="H3" s="29" t="s">
        <x:v>208</x:v>
      </x:c>
      <x:c r="I3" t="str">
        <x:f>IFERROR(VLOOKUP(E3,Parts!$A$2:$S$200,4,FALSE()),"")</x:f>
        <x:v>10 µF, 25 V, X7R</x:v>
      </x:c>
      <x:c r="J3" t="str">
        <x:f>IFERROR(VLOOKUP(E3,Parts!$A$2:$S$200,5,FALSE()),"")</x:f>
        <x:v>Capacitor_SMD:C_1206_3216Metric_Pad1.33x1.80mm_HandSolder</x:v>
      </x:c>
      <x:c r="K3" s="32" t="n">
        <x:f>SUMIFS(Part_Suppliers!$E$2:$E$300,Part_Suppliers!$A$2:$A$300,$E3,Part_Suppliers!$H$2:$H$300,"Ja")</x:f>
        <x:v>0.11</x:v>
      </x:c>
      <x:c r="L3" s="32">
        <x:f t="shared" si="0"/>
        <x:v>0.11</x:v>
      </x:c>
      <x:c r="M3" t="str">
        <x:f>IFERROR(VLOOKUP($E3,Parts!$A$2:$M$200,12,FALSE()),"")</x:f>
        <x:v>Spannungsfestigkeit, Dielektrikum und Bauform vor Bestellung gegen Schaltplan und Footprint prüfen</x:v>
      </x:c>
    </x:row>
    <x:row r="4" ht="15">
      <x:c r="A4" t="s">
        <x:v>731</x:v>
      </x:c>
      <x:c r="B4" t="s">
        <x:v>733</x:v>
      </x:c>
      <x:c r="C4" s="31">
        <x:v>30</x:v>
      </x:c>
      <x:c r="D4" t="s">
        <x:v>767</x:v>
      </x:c>
      <x:c r="E4" t="s">
        <x:v>74</x:v>
      </x:c>
      <x:c r="F4" s="31">
        <x:v>1</x:v>
      </x:c>
      <x:c r="G4" s="29" t="s">
        <x:v>766</x:v>
      </x:c>
      <x:c r="H4" s="29" t="s">
        <x:v>208</x:v>
      </x:c>
      <x:c r="I4" t="str">
        <x:f>IFERROR(VLOOKUP(E4,Parts!$A$2:$S$200,4,FALSE()),"")</x:f>
        <x:v>47 µF, 10 V</x:v>
      </x:c>
      <x:c r="J4" t="str">
        <x:f>IFERROR(VLOOKUP(E4,Parts!$A$2:$S$200,5,FALSE()),"")</x:f>
        <x:v>Capacitor_Tantalum_SMD:CP_EIA-3528-21_Kemet-B</x:v>
      </x:c>
      <x:c r="K4" s="32" t="n">
        <x:f>SUMIFS(Part_Suppliers!$E$2:$E$300,Part_Suppliers!$A$2:$A$300,$E4,Part_Suppliers!$H$2:$H$300,"Ja")</x:f>
        <x:v>0.29</x:v>
      </x:c>
      <x:c r="L4" s="32">
        <x:f t="shared" si="0"/>
        <x:v>0.28999999999999998</x:v>
      </x:c>
      <x:c r="M4" t="str">
        <x:f>IFERROR(VLOOKUP($E4,Parts!$A$2:$M$200,12,FALSE()),"")</x:f>
        <x:v>Polarisiert; Bauform B</x:v>
      </x:c>
    </x:row>
    <x:row r="5" ht="15">
      <x:c r="A5" t="s">
        <x:v>731</x:v>
      </x:c>
      <x:c r="B5" t="s">
        <x:v>733</x:v>
      </x:c>
      <x:c r="C5" s="31">
        <x:v>40</x:v>
      </x:c>
      <x:c r="D5" t="s">
        <x:v>768</x:v>
      </x:c>
      <x:c r="E5" t="s">
        <x:v>56</x:v>
      </x:c>
      <x:c r="F5" s="31">
        <x:v>1</x:v>
      </x:c>
      <x:c r="G5" s="29" t="s">
        <x:v>766</x:v>
      </x:c>
      <x:c r="H5" s="29" t="s">
        <x:v>208</x:v>
      </x:c>
      <x:c r="I5" t="str">
        <x:f>IFERROR(VLOOKUP(E5,Parts!$A$2:$S$200,4,FALSE()),"")</x:f>
        <x:v>100 nF, 10 %, X7R, 100 V</x:v>
      </x:c>
      <x:c r="J5" t="str">
        <x:f>IFERROR(VLOOKUP(E5,Parts!$A$2:$S$200,5,FALSE()),"")</x:f>
        <x:v>Capacitor_SMD:C_1206_3216Metric_Pad1.33x1.80mm_HandSolder</x:v>
      </x:c>
      <x:c r="K5" s="32" t="n">
        <x:f>SUMIFS(Part_Suppliers!$E$2:$E$300,Part_Suppliers!$A$2:$A$300,$E5,Part_Suppliers!$H$2:$H$300,"Ja")</x:f>
        <x:v>0.24</x:v>
      </x:c>
      <x:c r="L5" s="32">
        <x:f t="shared" si="0"/>
        <x:v>0.24</x:v>
      </x:c>
      <x:c r="M5" t="str">
        <x:f>IFERROR(VLOOKUP($E5,Parts!$A$2:$M$200,12,FALSE()),"")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6" ht="15">
      <x:c r="A6" t="s">
        <x:v>731</x:v>
      </x:c>
      <x:c r="B6" t="s">
        <x:v>733</x:v>
      </x:c>
      <x:c r="C6" s="31">
        <x:v>50</x:v>
      </x:c>
      <x:c r="D6" t="s">
        <x:v>769</x:v>
      </x:c>
      <x:c r="E6" t="s">
        <x:v>56</x:v>
      </x:c>
      <x:c r="F6" s="31">
        <x:v>1</x:v>
      </x:c>
      <x:c r="G6" s="29" t="s">
        <x:v>766</x:v>
      </x:c>
      <x:c r="H6" s="29" t="s">
        <x:v>208</x:v>
      </x:c>
      <x:c r="I6" t="str">
        <x:f>IFERROR(VLOOKUP(E6,Parts!$A$2:$S$200,4,FALSE()),"")</x:f>
        <x:v>100 nF, 10 %, X7R, 100 V</x:v>
      </x:c>
      <x:c r="J6" t="str">
        <x:f>IFERROR(VLOOKUP(E6,Parts!$A$2:$S$200,5,FALSE()),"")</x:f>
        <x:v>Capacitor_SMD:C_1206_3216Metric_Pad1.33x1.80mm_HandSolder</x:v>
      </x:c>
      <x:c r="K6" s="32" t="n">
        <x:f>SUMIFS(Part_Suppliers!$E$2:$E$300,Part_Suppliers!$A$2:$A$300,$E6,Part_Suppliers!$H$2:$H$300,"Ja")</x:f>
        <x:v>0.24</x:v>
      </x:c>
      <x:c r="L6" s="32">
        <x:f t="shared" si="0"/>
        <x:v>0.24</x:v>
      </x:c>
      <x:c r="M6" t="str">
        <x:f>IFERROR(VLOOKUP($E6,Parts!$A$2:$M$200,12,FALSE()),"")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7" ht="15">
      <x:c r="A7" t="s">
        <x:v>731</x:v>
      </x:c>
      <x:c r="B7" t="s">
        <x:v>733</x:v>
      </x:c>
      <x:c r="C7" s="31">
        <x:v>60</x:v>
      </x:c>
      <x:c r="D7" t="s">
        <x:v>413</x:v>
      </x:c>
      <x:c r="E7" t="s">
        <x:v>408</x:v>
      </x:c>
      <x:c r="F7" s="31">
        <x:v>1</x:v>
      </x:c>
      <x:c r="G7" s="29" t="s">
        <x:v>766</x:v>
      </x:c>
      <x:c r="H7" s="29" t="s">
        <x:v>208</x:v>
      </x:c>
      <x:c r="I7" t="str">
        <x:f>IFERROR(VLOOKUP(E7,Parts!$A$2:$S$200,4,FALSE()),"")</x:f>
        <x:v>10 µF, ±20 %, 25 V, 85 °C, 2000 h</x:v>
      </x:c>
      <x:c r="J7" t="str">
        <x:f>IFERROR(VLOOKUP(E7,Parts!$A$2:$S$200,5,FALSE()),"")</x:f>
        <x:v>Capacitor_SMD:CP_Elec_5x5.4</x:v>
      </x:c>
      <x:c r="K7" s="32" t="n">
        <x:f>SUMIFS(Part_Suppliers!$E$2:$E$300,Part_Suppliers!$A$2:$A$300,$E7,Part_Suppliers!$H$2:$H$300,"Ja")</x:f>
        <x:v>0.18</x:v>
      </x:c>
      <x:c r="L7" s="32">
        <x:f t="shared" si="0"/>
        <x:v>0.18</x:v>
      </x:c>
      <x:c r="M7" t="str">
        <x:f>IFERROR(VLOOKUP($E7,Parts!$A$2:$M$200,12,FALSE()),"")</x:f>
        <x:v>Panasonic SMD-Aluminium-Elektrolytkondensator, 10 µF ±20 %, 25 V, 85 °C, 2000 h. Abmessungen Ø 5,0 × 5,4 mm passen exakt zum zugewiesenen KiCad-Footprint. C6 liegt zwischen +3V3_SYS und GND; 25 V bieten deutliche Spannungsreserve. Polarität beachten.</x:v>
      </x:c>
    </x:row>
    <x:row r="8" ht="15">
      <x:c r="A8" t="s">
        <x:v>731</x:v>
      </x:c>
      <x:c r="B8" t="s">
        <x:v>733</x:v>
      </x:c>
      <x:c r="C8" s="31">
        <x:v>70</x:v>
      </x:c>
      <x:c r="D8" t="s">
        <x:v>770</x:v>
      </x:c>
      <x:c r="E8" t="s">
        <x:v>401</x:v>
      </x:c>
      <x:c r="F8" s="31">
        <x:v>1</x:v>
      </x:c>
      <x:c r="G8" s="29" t="s">
        <x:v>766</x:v>
      </x:c>
      <x:c r="H8" s="29" t="s">
        <x:v>208</x:v>
      </x:c>
      <x:c r="I8" t="str">
        <x:f>IFERROR(VLOOKUP(E8,Parts!$A$2:$S$200,4,FALSE()),"")</x:f>
        <x:v>SS14, 1 A, 40 V, UF max. 0,5 V, IFSM 40 A</x:v>
      </x:c>
      <x:c r="J8" t="str">
        <x:f>IFERROR(VLOOKUP(E8,Parts!$A$2:$S$200,5,FALSE()),"")</x:f>
        <x:v>Diode_SMD:D_SMA</x:v>
      </x:c>
      <x:c r="K8" s="32" t="n">
        <x:f>SUMIFS(Part_Suppliers!$E$2:$E$300,Part_Suppliers!$A$2:$A$300,$E8,Part_Suppliers!$H$2:$H$300,"Ja")</x:f>
        <x:v>0.18</x:v>
      </x:c>
      <x:c r="L8" s="32">
        <x:f t="shared" si="0"/>
        <x:v>0.18</x:v>
      </x:c>
      <x:c r="M8" t="str">
        <x:f>IFERROR(VLOOKUP($E8,Parts!$A$2:$M$200,12,FALSE()),"")</x:f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</x:row>
    <x:row r="9" ht="15">
      <x:c r="A9" t="s">
        <x:v>731</x:v>
      </x:c>
      <x:c r="B9" t="s">
        <x:v>733</x:v>
      </x:c>
      <x:c r="C9" s="31">
        <x:v>80</x:v>
      </x:c>
      <x:c r="D9" t="s">
        <x:v>771</x:v>
      </x:c>
      <x:c r="E9" t="s">
        <x:v>401</x:v>
      </x:c>
      <x:c r="F9" s="31">
        <x:v>1</x:v>
      </x:c>
      <x:c r="G9" s="29" t="s">
        <x:v>766</x:v>
      </x:c>
      <x:c r="H9" s="29" t="s">
        <x:v>208</x:v>
      </x:c>
      <x:c r="I9" t="str">
        <x:f>IFERROR(VLOOKUP(E9,Parts!$A$2:$S$200,4,FALSE()),"")</x:f>
        <x:v>SS14, 1 A, 40 V, UF max. 0,5 V, IFSM 40 A</x:v>
      </x:c>
      <x:c r="J9" t="str">
        <x:f>IFERROR(VLOOKUP(E9,Parts!$A$2:$S$200,5,FALSE()),"")</x:f>
        <x:v>Diode_SMD:D_SMA</x:v>
      </x:c>
      <x:c r="K9" s="32" t="n">
        <x:f>SUMIFS(Part_Suppliers!$E$2:$E$300,Part_Suppliers!$A$2:$A$300,$E9,Part_Suppliers!$H$2:$H$300,"Ja")</x:f>
        <x:v>0.18</x:v>
      </x:c>
      <x:c r="L9" s="32">
        <x:f t="shared" si="0"/>
        <x:v>0.18</x:v>
      </x:c>
      <x:c r="M9" t="str">
        <x:f>IFERROR(VLOOKUP($E9,Parts!$A$2:$M$200,12,FALSE()),"")</x:f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</x:row>
    <x:row r="10" ht="15">
      <x:c r="A10" t="s">
        <x:v>731</x:v>
      </x:c>
      <x:c r="B10" t="s">
        <x:v>733</x:v>
      </x:c>
      <x:c r="C10" s="31">
        <x:v>90</x:v>
      </x:c>
      <x:c r="D10" t="s">
        <x:v>426</x:v>
      </x:c>
      <x:c r="E10" t="s">
        <x:v>106</x:v>
      </x:c>
      <x:c r="F10" s="31">
        <x:v>1</x:v>
      </x:c>
      <x:c r="G10" s="29" t="s">
        <x:v>766</x:v>
      </x:c>
      <x:c r="H10" s="29" t="s">
        <x:v>208</x:v>
      </x:c>
      <x:c r="I10" t="str">
        <x:f>IFERROR(VLOOKUP(E10,Parts!$A$2:$S$200,4,FALSE()),"")</x:f>
        <x:v>JST-PH, 2-polig, 2,00 mm</x:v>
      </x:c>
      <x:c r="J10" t="str">
        <x:f>IFERROR(VLOOKUP(E10,Parts!$A$2:$S$200,5,FALSE()),"")</x:f>
        <x:v>Connector_JST:JST_PH_B2B-PH-K_1x02_P2.00mm_Vertical</x:v>
      </x:c>
      <x:c r="K10" s="32" t="n">
        <x:f>SUMIFS(Part_Suppliers!$E$2:$E$300,Part_Suppliers!$A$2:$A$300,$E10,Part_Suppliers!$H$2:$H$300,"Ja")</x:f>
        <x:v>1.3</x:v>
      </x:c>
      <x:c r="L10" s="32">
        <x:f t="shared" si="0"/>
        <x:v>1.3</x:v>
      </x:c>
      <x:c r="M10" t="str">
        <x:f>IFERROR(VLOOKUP($E10,Parts!$A$2:$M$200,12,FALSE()),"")</x:f>
      </x:c>
    </x:row>
    <x:row r="11" ht="15">
      <x:c r="A11" t="s">
        <x:v>731</x:v>
      </x:c>
      <x:c r="B11" t="s">
        <x:v>733</x:v>
      </x:c>
      <x:c r="C11" s="31">
        <x:v>100</x:v>
      </x:c>
      <x:c r="D11" t="s">
        <x:v>772</x:v>
      </x:c>
      <x:c r="E11" t="s">
        <x:v>390</x:v>
      </x:c>
      <x:c r="F11" s="31">
        <x:v>1</x:v>
      </x:c>
      <x:c r="G11" s="29" t="s">
        <x:v>766</x:v>
      </x:c>
      <x:c r="H11" s="29" t="s">
        <x:v>208</x:v>
      </x:c>
      <x:c r="I11" t="str">
        <x:f>IFERROR(VLOOKUP(E11,Parts!$A$2:$S$200,4,FALSE()),"")</x:f>
        <x:v>2x7, 2,54 mm, THT, vertikal, vergoldet, Bauhöhe 8,4 mm</x:v>
      </x:c>
      <x:c r="J11" t="str">
        <x:f>IFERROR(VLOOKUP(E11,Parts!$A$2:$S$200,5,FALSE()),"")</x:f>
        <x:v>Connector_PinSocket_2.54mm:PinSocket_2x07_P2.54mm_Vertical</x:v>
      </x:c>
      <x:c r="K11" s="32" t="n">
        <x:f>SUMIFS(Part_Suppliers!$E$2:$E$300,Part_Suppliers!$A$2:$A$300,$E11,Part_Suppliers!$H$2:$H$300,"Ja")</x:f>
        <x:v>0.56</x:v>
      </x:c>
      <x:c r="L11" s="32">
        <x:f t="shared" si="0"/>
        <x:v>0.56000000000000005</x:v>
      </x:c>
      <x:c r="M11" t="str">
        <x:f>IFERROR(VLOOKUP($E11,Parts!$A$2:$M$200,12,FALSE()),"")</x:f>
        <x:v>Würth WR-PHD Dual Socket Header, 14 Kontakte, 2,54 mm, THT, vergoldet, 3 A/250 V AC. Der generische KiCad-Footprint bildet Raster und THT-Anordnung ab; Gehäusekontur/Courtyard sind nicht herstellerspezifisch.</x:v>
      </x:c>
    </x:row>
    <x:row r="12" ht="15">
      <x:c r="A12" t="s">
        <x:v>731</x:v>
      </x:c>
      <x:c r="B12" t="s">
        <x:v>733</x:v>
      </x:c>
      <x:c r="C12" s="31">
        <x:v>110</x:v>
      </x:c>
      <x:c r="D12" t="s">
        <x:v>773</x:v>
      </x:c>
      <x:c r="E12" t="s">
        <x:v>390</x:v>
      </x:c>
      <x:c r="F12" s="31">
        <x:v>1</x:v>
      </x:c>
      <x:c r="G12" s="29" t="s">
        <x:v>766</x:v>
      </x:c>
      <x:c r="H12" s="29" t="s">
        <x:v>208</x:v>
      </x:c>
      <x:c r="I12" t="str">
        <x:f>IFERROR(VLOOKUP(E12,Parts!$A$2:$S$200,4,FALSE()),"")</x:f>
        <x:v>2x7, 2,54 mm, THT, vertikal, vergoldet, Bauhöhe 8,4 mm</x:v>
      </x:c>
      <x:c r="J12" t="str">
        <x:f>IFERROR(VLOOKUP(E12,Parts!$A$2:$S$200,5,FALSE()),"")</x:f>
        <x:v>Connector_PinSocket_2.54mm:PinSocket_2x07_P2.54mm_Vertical</x:v>
      </x:c>
      <x:c r="K12" s="32" t="n">
        <x:f>SUMIFS(Part_Suppliers!$E$2:$E$300,Part_Suppliers!$A$2:$A$300,$E12,Part_Suppliers!$H$2:$H$300,"Ja")</x:f>
        <x:v>0.56</x:v>
      </x:c>
      <x:c r="L12" s="32">
        <x:f t="shared" si="0"/>
        <x:v>0.56000000000000005</x:v>
      </x:c>
      <x:c r="M12" t="str">
        <x:f>IFERROR(VLOOKUP($E12,Parts!$A$2:$M$200,12,FALSE()),"")</x:f>
        <x:v>Würth WR-PHD Dual Socket Header, 14 Kontakte, 2,54 mm, THT, vergoldet, 3 A/250 V AC. Der generische KiCad-Footprint bildet Raster und THT-Anordnung ab; Gehäusekontur/Courtyard sind nicht herstellerspezifisch.</x:v>
      </x:c>
    </x:row>
    <x:row r="13" ht="15">
      <x:c r="A13" t="s">
        <x:v>731</x:v>
      </x:c>
      <x:c r="B13" t="s">
        <x:v>733</x:v>
      </x:c>
      <x:c r="C13" s="31">
        <x:v>120</x:v>
      </x:c>
      <x:c r="D13" t="s">
        <x:v>774</x:v>
      </x:c>
      <x:c r="E13" t="s">
        <x:v>210</x:v>
      </x:c>
      <x:c r="F13" s="31">
        <x:v>1</x:v>
      </x:c>
      <x:c r="G13" s="29" t="s">
        <x:v>766</x:v>
      </x:c>
      <x:c r="H13" s="29" t="s">
        <x:v>208</x:v>
      </x:c>
      <x:c r="I13" t="str">
        <x:f>IFERROR(VLOOKUP(E13,Parts!$A$2:$S$200,4,FALSE()),"")</x:f>
        <x:v>4-polig, 1,00 mm</x:v>
      </x:c>
      <x:c r="J13" t="str">
        <x:f>IFERROR(VLOOKUP(E13,Parts!$A$2:$S$200,5,FALSE()),"")</x:f>
        <x:v>Connector_JST:JST_SH_SM04B-SRSS-TB_1x04-1MP_P1.00mm_Horizontal</x:v>
      </x:c>
      <x:c r="K13" s="32" t="n">
        <x:f>SUMIFS(Part_Suppliers!$E$2:$E$300,Part_Suppliers!$A$2:$A$300,$E13,Part_Suppliers!$H$2:$H$300,"Ja")</x:f>
        <x:v>0.58</x:v>
      </x:c>
      <x:c r="L13" s="32">
        <x:f t="shared" si="0"/>
        <x:v>0.57999999999999996</x:v>
      </x:c>
      <x:c r="M13" t="str">
        <x:f>IFERROR(VLOOKUP($E13,Parts!$A$2:$M$200,12,FALSE()),"")</x:f>
        <x:v>MPN-Suffix und Verpackungsform festlegen; nicht mit Qwiic-Pigtail zusammenführen.</x:v>
      </x:c>
    </x:row>
    <x:row r="14" ht="15">
      <x:c r="A14" t="s">
        <x:v>731</x:v>
      </x:c>
      <x:c r="B14" t="s">
        <x:v>733</x:v>
      </x:c>
      <x:c r="C14" s="31">
        <x:v>130</x:v>
      </x:c>
      <x:c r="D14" t="s">
        <x:v>775</x:v>
      </x:c>
      <x:c r="E14" t="s">
        <x:v>210</x:v>
      </x:c>
      <x:c r="F14" s="31">
        <x:v>1</x:v>
      </x:c>
      <x:c r="G14" s="29" t="s">
        <x:v>766</x:v>
      </x:c>
      <x:c r="H14" s="29" t="s">
        <x:v>208</x:v>
      </x:c>
      <x:c r="I14" t="str">
        <x:f>IFERROR(VLOOKUP(E14,Parts!$A$2:$S$200,4,FALSE()),"")</x:f>
        <x:v>4-polig, 1,00 mm</x:v>
      </x:c>
      <x:c r="J14" t="str">
        <x:f>IFERROR(VLOOKUP(E14,Parts!$A$2:$S$200,5,FALSE()),"")</x:f>
        <x:v>Connector_JST:JST_SH_SM04B-SRSS-TB_1x04-1MP_P1.00mm_Horizontal</x:v>
      </x:c>
      <x:c r="K14" s="32" t="n">
        <x:f>SUMIFS(Part_Suppliers!$E$2:$E$300,Part_Suppliers!$A$2:$A$300,$E14,Part_Suppliers!$H$2:$H$300,"Ja")</x:f>
        <x:v>0.58</x:v>
      </x:c>
      <x:c r="L14" s="32">
        <x:f t="shared" si="0"/>
        <x:v>0.57999999999999996</x:v>
      </x:c>
      <x:c r="M14" t="str">
        <x:f>IFERROR(VLOOKUP($E14,Parts!$A$2:$M$200,12,FALSE()),"")</x:f>
        <x:v>MPN-Suffix und Verpackungsform festlegen; nicht mit Qwiic-Pigtail zusammenführen.</x:v>
      </x:c>
    </x:row>
    <x:row r="15" ht="15">
      <x:c r="A15" t="s">
        <x:v>731</x:v>
      </x:c>
      <x:c r="B15" t="s">
        <x:v>733</x:v>
      </x:c>
      <x:c r="C15" s="31">
        <x:v>140</x:v>
      </x:c>
      <x:c r="D15" t="s">
        <x:v>344</x:v>
      </x:c>
      <x:c r="E15" t="s">
        <x:v>46</x:v>
      </x:c>
      <x:c r="F15" s="31">
        <x:v>1</x:v>
      </x:c>
      <x:c r="G15" s="29" t="s">
        <x:v>766</x:v>
      </x:c>
      <x:c r="H15" s="29" t="s">
        <x:v>208</x:v>
      </x:c>
      <x:c r="I15" t="str">
        <x:f>IFERROR(VLOOKUP(E15,Parts!$A$2:$S$200,4,FALSE()),"")</x:f>
        <x:v>4,7 kΩ, 1 %, 250 mW</x:v>
      </x:c>
      <x:c r="J15" t="str">
        <x:f>IFERROR(VLOOKUP(E15,Parts!$A$2:$S$200,5,FALSE()),"")</x:f>
        <x:v>Resistor_SMD:R_1206_3216Metric_Pad1.30x1.75mm_HandSolder</x:v>
      </x:c>
      <x:c r="K15" s="32" t="n">
        <x:f>SUMIFS(Part_Suppliers!$E$2:$E$300,Part_Suppliers!$A$2:$A$300,$E15,Part_Suppliers!$H$2:$H$300,"Ja")</x:f>
        <x:v>0.15</x:v>
      </x:c>
      <x:c r="L15" s="32">
        <x:f t="shared" si="0"/>
        <x:v>0.15</x:v>
      </x:c>
      <x:c r="M15" t="str">
        <x:f>IFERROR(VLOOKUP($E15,Parts!$A$2:$M$200,12,FALSE()),"")</x:f>
        <x:v>I2C-Pull-ups für die beiden I2C-Busse</x:v>
      </x:c>
    </x:row>
    <x:row r="16" ht="15">
      <x:c r="A16" t="s">
        <x:v>731</x:v>
      </x:c>
      <x:c r="B16" t="s">
        <x:v>733</x:v>
      </x:c>
      <x:c r="C16" s="31">
        <x:v>150</x:v>
      </x:c>
      <x:c r="D16" t="s">
        <x:v>776</x:v>
      </x:c>
      <x:c r="E16" t="s">
        <x:v>46</x:v>
      </x:c>
      <x:c r="F16" s="31">
        <x:v>1</x:v>
      </x:c>
      <x:c r="G16" s="29" t="s">
        <x:v>766</x:v>
      </x:c>
      <x:c r="H16" s="29" t="s">
        <x:v>208</x:v>
      </x:c>
      <x:c r="I16" t="str">
        <x:f>IFERROR(VLOOKUP(E16,Parts!$A$2:$S$200,4,FALSE()),"")</x:f>
        <x:v>4,7 kΩ, 1 %, 250 mW</x:v>
      </x:c>
      <x:c r="J16" t="str">
        <x:f>IFERROR(VLOOKUP(E16,Parts!$A$2:$S$200,5,FALSE()),"")</x:f>
        <x:v>Resistor_SMD:R_1206_3216Metric_Pad1.30x1.75mm_HandSolder</x:v>
      </x:c>
      <x:c r="K16" s="32" t="n">
        <x:f>SUMIFS(Part_Suppliers!$E$2:$E$300,Part_Suppliers!$A$2:$A$300,$E16,Part_Suppliers!$H$2:$H$300,"Ja")</x:f>
        <x:v>0.15</x:v>
      </x:c>
      <x:c r="L16" s="32">
        <x:f t="shared" si="0"/>
        <x:v>0.15</x:v>
      </x:c>
      <x:c r="M16" t="str">
        <x:f>IFERROR(VLOOKUP($E16,Parts!$A$2:$M$200,12,FALSE()),"")</x:f>
        <x:v>I2C-Pull-ups für die beiden I2C-Busse</x:v>
      </x:c>
    </x:row>
    <x:row r="17" ht="15">
      <x:c r="A17" t="s">
        <x:v>731</x:v>
      </x:c>
      <x:c r="B17" t="s">
        <x:v>733</x:v>
      </x:c>
      <x:c r="C17" s="31">
        <x:v>160</x:v>
      </x:c>
      <x:c r="D17" t="s">
        <x:v>152</x:v>
      </x:c>
      <x:c r="E17" t="s">
        <x:v>46</x:v>
      </x:c>
      <x:c r="F17" s="31">
        <x:v>1</x:v>
      </x:c>
      <x:c r="G17" s="29" t="s">
        <x:v>766</x:v>
      </x:c>
      <x:c r="H17" s="29" t="s">
        <x:v>208</x:v>
      </x:c>
      <x:c r="I17" t="str">
        <x:f>IFERROR(VLOOKUP(E17,Parts!$A$2:$S$200,4,FALSE()),"")</x:f>
        <x:v>4,7 kΩ, 1 %, 250 mW</x:v>
      </x:c>
      <x:c r="J17" t="str">
        <x:f>IFERROR(VLOOKUP(E17,Parts!$A$2:$S$200,5,FALSE()),"")</x:f>
        <x:v>Resistor_SMD:R_1206_3216Metric_Pad1.30x1.75mm_HandSolder</x:v>
      </x:c>
      <x:c r="K17" s="32" t="n">
        <x:f>SUMIFS(Part_Suppliers!$E$2:$E$300,Part_Suppliers!$A$2:$A$300,$E17,Part_Suppliers!$H$2:$H$300,"Ja")</x:f>
        <x:v>0.15</x:v>
      </x:c>
      <x:c r="L17" s="32">
        <x:f t="shared" si="0"/>
        <x:v>0.15</x:v>
      </x:c>
      <x:c r="M17" t="str">
        <x:f>IFERROR(VLOOKUP($E17,Parts!$A$2:$M$200,12,FALSE()),"")</x:f>
        <x:v>I2C-Pull-ups für die beiden I2C-Busse</x:v>
      </x:c>
    </x:row>
    <x:row r="18" ht="15">
      <x:c r="A18" t="s">
        <x:v>731</x:v>
      </x:c>
      <x:c r="B18" t="s">
        <x:v>733</x:v>
      </x:c>
      <x:c r="C18" s="31">
        <x:v>170</x:v>
      </x:c>
      <x:c r="D18" t="s">
        <x:v>777</x:v>
      </x:c>
      <x:c r="E18" t="s">
        <x:v>46</x:v>
      </x:c>
      <x:c r="F18" s="31">
        <x:v>1</x:v>
      </x:c>
      <x:c r="G18" s="29" t="s">
        <x:v>766</x:v>
      </x:c>
      <x:c r="H18" s="29" t="s">
        <x:v>208</x:v>
      </x:c>
      <x:c r="I18" t="str">
        <x:f>IFERROR(VLOOKUP(E18,Parts!$A$2:$S$200,4,FALSE()),"")</x:f>
        <x:v>4,7 kΩ, 1 %, 250 mW</x:v>
      </x:c>
      <x:c r="J18" t="str">
        <x:f>IFERROR(VLOOKUP(E18,Parts!$A$2:$S$200,5,FALSE()),"")</x:f>
        <x:v>Resistor_SMD:R_1206_3216Metric_Pad1.30x1.75mm_HandSolder</x:v>
      </x:c>
      <x:c r="K18" s="32" t="n">
        <x:f>SUMIFS(Part_Suppliers!$E$2:$E$300,Part_Suppliers!$A$2:$A$300,$E18,Part_Suppliers!$H$2:$H$300,"Ja")</x:f>
        <x:v>0.15</x:v>
      </x:c>
      <x:c r="L18" s="32">
        <x:f t="shared" si="0"/>
        <x:v>0.15</x:v>
      </x:c>
      <x:c r="M18" t="str">
        <x:f>IFERROR(VLOOKUP($E18,Parts!$A$2:$M$200,12,FALSE()),"")</x:f>
        <x:v>I2C-Pull-ups für die beiden I2C-Busse</x:v>
      </x:c>
    </x:row>
    <x:row r="19" ht="15">
      <x:c r="A19" t="s">
        <x:v>731</x:v>
      </x:c>
      <x:c r="B19" t="s">
        <x:v>733</x:v>
      </x:c>
      <x:c r="C19" s="31">
        <x:v>180</x:v>
      </x:c>
      <x:c r="D19" t="s">
        <x:v>168</x:v>
      </x:c>
      <x:c r="E19" t="s">
        <x:v>90</x:v>
      </x:c>
      <x:c r="F19" s="31">
        <x:v>1</x:v>
      </x:c>
      <x:c r="G19" s="29" t="s">
        <x:v>766</x:v>
      </x:c>
      <x:c r="H19" s="29" t="s">
        <x:v>208</x:v>
      </x:c>
      <x:c r="I19" t="str">
        <x:f>IFERROR(VLOOKUP(E19,Parts!$A$2:$S$200,4,FALSE()),"")</x:f>
        <x:v>38 Pin</x:v>
      </x:c>
      <x:c r="J19" t="str">
        <x:f>IFERROR(VLOOKUP(E19,Parts!$A$2:$S$200,5,FALSE()),"")</x:f>
        <x:v>PCM_Espressif:ESP32-DevKitC</x:v>
      </x:c>
      <x:c r="K19" s="32" t="n">
        <x:f>SUMIFS(Part_Suppliers!$E$2:$E$300,Part_Suppliers!$A$2:$A$300,$E19,Part_Suppliers!$H$2:$H$300,"Ja")</x:f>
        <x:v>5</x:v>
      </x:c>
      <x:c r="L19" s="32">
        <x:f t="shared" si="0"/>
        <x:v>5</x:v>
      </x:c>
      <x:c r="M19" t="str">
        <x:f>IFERROR(VLOOKUP($E19,Parts!$A$2:$M$200,12,FALSE()),"")</x:f>
        <x:v>Exakte Modulvariante und Pinout vor Bestückung prüfen Hersteller/MPN aus verschobenen Altdaten korrigiert; genaue DevKitC-Variante fehlt.</x:v>
      </x:c>
    </x:row>
    <x:row r="20" ht="15">
      <x:c r="A20" t="s">
        <x:v>731</x:v>
      </x:c>
      <x:c r="B20" t="s">
        <x:v>733</x:v>
      </x:c>
      <x:c r="C20" s="31">
        <x:v>190</x:v>
      </x:c>
      <x:c r="D20" t="s">
        <x:v>556</x:v>
      </x:c>
      <x:c r="E20" t="s">
        <x:v>718</x:v>
      </x:c>
      <x:c r="F20" s="31">
        <x:v>1</x:v>
      </x:c>
      <x:c r="G20" s="29" t="s">
        <x:v>766</x:v>
      </x:c>
      <x:c r="H20" s="29" t="s">
        <x:v>208</x:v>
      </x:c>
      <x:c r="I20" t="str">
        <x:f>IFERROR(VLOOKUP(E20,Parts!$A$2:$S$200,4,FALSE()),"")</x:f>
        <x:v>32 Kbit, I²C, 2,5–5,5 V</x:v>
      </x:c>
      <x:c r="J20" t="str">
        <x:f>IFERROR(VLOOKUP(E20,Parts!$A$2:$S$200,5,FALSE()),"")</x:f>
        <x:v>Package_SO:SOIC-8_3.9x4.9mm_P1.27mm</x:v>
      </x:c>
      <x:c r="K20" s="32" t="n">
        <x:f>SUMIFS(Part_Suppliers!$E$2:$E$300,Part_Suppliers!$A$2:$A$300,$E20,Part_Suppliers!$H$2:$H$300,"Ja")</x:f>
        <x:v>0.39</x:v>
      </x:c>
      <x:c r="L20" s="32">
        <x:f t="shared" si="0"/>
        <x:v>0</x:v>
      </x:c>
      <x:c r="M20" t="str">
        <x:f>IFERROR(VLOOKUP($E20,Parts!$A$2:$M$200,12,FALSE()),"")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</x:row>
    <x:row r="21" ht="15">
      <x:c r="A21" t="s">
        <x:v>731</x:v>
      </x:c>
      <x:c r="B21" t="s">
        <x:v>733</x:v>
      </x:c>
      <x:c r="C21" s="31">
        <x:v>200</x:v>
      </x:c>
      <x:c r="D21" t="s">
        <x:v>778</x:v>
      </x:c>
      <x:c r="E21" t="s">
        <x:v>81</x:v>
      </x:c>
      <x:c r="F21" s="31">
        <x:v>1</x:v>
      </x:c>
      <x:c r="G21" s="29" t="s">
        <x:v>766</x:v>
      </x:c>
      <x:c r="H21" s="29" t="s">
        <x:v>208</x:v>
      </x:c>
      <x:c r="I21" t="str">
        <x:f>IFERROR(VLOOKUP(E21,Parts!$A$2:$S$200,4,FALSE()),"")</x:f>
        <x:v>3,3 V, 1 A</x:v>
      </x:c>
      <x:c r="J21" t="str">
        <x:f>IFERROR(VLOOKUP(E21,Parts!$A$2:$S$200,5,FALSE()),"")</x:f>
        <x:v>Package_TO_SOT_SMD:SOT-223-3_TabPin2</x:v>
      </x:c>
      <x:c r="K21" s="32" t="n">
        <x:f>SUMIFS(Part_Suppliers!$E$2:$E$300,Part_Suppliers!$A$2:$A$300,$E21,Part_Suppliers!$H$2:$H$300,"Ja")</x:f>
        <x:v>1</x:v>
      </x:c>
      <x:c r="L21" s="32">
        <x:f t="shared" si="0"/>
        <x:v>1</x:v>
      </x:c>
      <x:c r="M21" t="str">
        <x:f>IFERROR(VLOOKUP($E21,Parts!$A$2:$M$200,12,FALSE()),"")</x:f>
        <x:v>Footprint und thermische Auslegung vor Bestückung prüfen</x:v>
      </x:c>
    </x:row>
    <x:row r="22" ht="15">
      <x:c r="A22" t="s">
        <x:v>731</x:v>
      </x:c>
      <x:c r="B22" t="s">
        <x:v>733</x:v>
      </x:c>
      <x:c r="C22" s="31">
        <x:v>210</x:v>
      </x:c>
      <x:c r="E22" t="s">
        <x:v>416</x:v>
      </x:c>
      <x:c r="F22" s="31">
        <x:v>1</x:v>
      </x:c>
      <x:c r="G22" s="29" t="s">
        <x:v>766</x:v>
      </x:c>
      <x:c r="H22" s="29" t="s">
        <x:v>100</x:v>
      </x:c>
      <x:c r="I22" t="str">
        <x:f>IFERROR(VLOOKUP(E22,Parts!$A$2:$S$200,4,FALSE()),"")</x:f>
        <x:v>Revision 0.2</x:v>
      </x:c>
      <x:c r="J22" t="str">
        <x:f>IFERROR(VLOOKUP(E22,Parts!$A$2:$S$200,5,FALSE()),"")</x:f>
        <x:v>PCB: MainBoards/EnvNode Mini/EnvNode Mini.kicad_pcb</x:v>
      </x:c>
      <x:c r="K22" s="32" t="n">
        <x:f>SUMIFS(Part_Suppliers!$E$2:$E$300,Part_Suppliers!$A$2:$A$300,$E22,Part_Suppliers!$H$2:$H$300,"Ja")</x:f>
        <x:v>0</x:v>
      </x:c>
      <x:c r="L22" s="32">
        <x:f t="shared" si="0"/>
        <x:v>0</x:v>
      </x:c>
      <x:c r="M22" t="str">
        <x:f>IFERROR(VLOOKUP($E22,Parts!$A$2:$M$200,12,FALSE()),"")</x:f>
        <x:v>Aktueller KiCad-Stand; Fertiger und konkrete Fertigungsvariante festlegen.</x:v>
      </x:c>
    </x:row>
    <x:row r="23" ht="15">
      <x:c r="A23" t="s">
        <x:v>731</x:v>
      </x:c>
      <x:c r="B23" t="s">
        <x:v>733</x:v>
      </x:c>
      <x:c r="C23" s="31">
        <x:v>220</x:v>
      </x:c>
      <x:c r="E23" t="s">
        <x:v>585</x:v>
      </x:c>
      <x:c r="F23" s="31">
        <x:v>1</x:v>
      </x:c>
      <x:c r="G23" s="29" t="s">
        <x:v>779</x:v>
      </x:c>
      <x:c r="H23" s="29" t="s">
        <x:v>780</x:v>
      </x:c>
      <x:c r="I23" t="str">
        <x:f>IFERROR(VLOOKUP(E23,Parts!$A$2:$S$200,4,FALSE()),"")</x:f>
        <x:v>2-polig, Buchsenkontakte, IP68 gesteckt, Lötanschluss, Hinterwandmontage</x:v>
      </x:c>
      <x:c r="J23" t="str">
        <x:f>IFERROR(VLOOKUP(E23,Parts!$A$2:$S$200,5,FALSE()),"")</x:f>
        <x:v>WEIPU SP13 Gehäusebuchse, 2-polig</x:v>
      </x:c>
      <x:c r="K23" s="32" t="n">
        <x:f>SUMIFS(Part_Suppliers!$E$2:$E$300,Part_Suppliers!$A$2:$A$300,$E23,Part_Suppliers!$H$2:$H$300,"Ja")</x:f>
        <x:v>0</x:v>
      </x:c>
      <x:c r="L23" s="32">
        <x:f t="shared" si="0"/>
        <x:v>0</x:v>
      </x:c>
      <x:c r="M23" t="str">
        <x:f>IFERROR(VLOOKUP($E23,Parts!$A$2:$M$200,12,FALSE()),"")</x:f>
        <x:v>Passend zu Kabelstecker SP1310/P2-N (ENP-00081). 13 A / 250 V AC; Panel-Ausschnitt Ø13 mm. Einsatz und Pinbelegung im Kit festlegen.</x:v>
      </x:c>
    </x:row>
    <x:row r="24" ht="15">
      <x:c r="A24" t="s">
        <x:v>731</x:v>
      </x:c>
      <x:c r="B24" t="s">
        <x:v>733</x:v>
      </x:c>
      <x:c r="C24" s="31">
        <x:v>230</x:v>
      </x:c>
      <x:c r="E24" t="s">
        <x:v>593</x:v>
      </x:c>
      <x:c r="F24" s="31">
        <x:v>1</x:v>
      </x:c>
      <x:c r="G24" s="29" t="s">
        <x:v>779</x:v>
      </x:c>
      <x:c r="H24" s="29" t="s">
        <x:v>780</x:v>
      </x:c>
      <x:c r="I24" t="str">
        <x:f>IFERROR(VLOOKUP(E24,Parts!$A$2:$S$200,4,FALSE()),"")</x:f>
        <x:v>2-polig, Stiftkontakte, IP68 gesteckt, Lötanschluss</x:v>
      </x:c>
      <x:c r="J24" t="str">
        <x:f>IFERROR(VLOOKUP(E24,Parts!$A$2:$S$200,5,FALSE()),"")</x:f>
        <x:v>WEIPU SP13 Kabelstecker, 2-polig</x:v>
      </x:c>
      <x:c r="K24" s="32" t="n">
        <x:f>SUMIFS(Part_Suppliers!$E$2:$E$300,Part_Suppliers!$A$2:$A$300,$E24,Part_Suppliers!$H$2:$H$300,"Ja")</x:f>
        <x:v>0</x:v>
      </x:c>
      <x:c r="L24" s="32">
        <x:f t="shared" si="0"/>
        <x:v>0</x:v>
      </x:c>
      <x:c r="M24" t="str">
        <x:f>IFERROR(VLOOKUP($E24,Parts!$A$2:$M$200,12,FALSE()),"")</x:f>
        <x:v>Passend zu Gehäusebuchse SP1312/S2-N (ENP-00080). 13 A / 250 V AC. Standardvariante I für Kabel-Ø 4–6,5 mm; Variante II für 5–8 mm vor Bestellung prüfen.</x:v>
      </x:c>
    </x:row>
    <x:row r="25" ht="15">
      <x:c r="A25" t="s">
        <x:v>731</x:v>
      </x:c>
      <x:c r="B25" t="s">
        <x:v>733</x:v>
      </x:c>
      <x:c r="C25" s="31">
        <x:v>240</x:v>
      </x:c>
      <x:c r="E25" t="s">
        <x:v>608</x:v>
      </x:c>
      <x:c r="F25" s="31">
        <x:v>1</x:v>
      </x:c>
      <x:c r="G25" s="29" t="s">
        <x:v>779</x:v>
      </x:c>
      <x:c r="H25" s="29" t="s">
        <x:v>780</x:v>
      </x:c>
      <x:c r="I25" t="str">
        <x:f>IFERROR(VLOOKUP(E25,Parts!$A$2:$S$200,4,FALSE()),"")</x:f>
        <x:v>4-polig, Buchsenkontakte, IP68 gesteckt, Lötanschluss, Hinterwandmontage</x:v>
      </x:c>
      <x:c r="J25" t="str">
        <x:f>IFERROR(VLOOKUP(E25,Parts!$A$2:$S$200,5,FALSE()),"")</x:f>
        <x:v>WEIPU SP13 Gehäusebuchse, 4-polig</x:v>
      </x:c>
      <x:c r="K25" s="32" t="n">
        <x:f>SUMIFS(Part_Suppliers!$E$2:$E$300,Part_Suppliers!$A$2:$A$300,$E25,Part_Suppliers!$H$2:$H$300,"Ja")</x:f>
        <x:v>0</x:v>
      </x:c>
      <x:c r="L25" s="32">
        <x:f t="shared" si="0"/>
        <x:v>0</x:v>
      </x:c>
      <x:c r="M25" t="str">
        <x:f>IFERROR(VLOOKUP($E25,Parts!$A$2:$M$200,12,FALSE()),"")</x:f>
        <x:v>Passend zu Kabelstecker SP1310/P4-N (ENP-00085). 5 A / 200 V AC; Panel-Ausschnitt Ø13 mm. Vorgesehen für I2C/GPIO/Sensorik.</x:v>
      </x:c>
    </x:row>
    <x:row r="26" ht="15">
      <x:c r="A26" t="s">
        <x:v>731</x:v>
      </x:c>
      <x:c r="B26" t="s">
        <x:v>733</x:v>
      </x:c>
      <x:c r="C26" s="31">
        <x:v>250</x:v>
      </x:c>
      <x:c r="E26" t="s">
        <x:v>613</x:v>
      </x:c>
      <x:c r="F26" s="31">
        <x:v>1</x:v>
      </x:c>
      <x:c r="G26" s="29" t="s">
        <x:v>779</x:v>
      </x:c>
      <x:c r="H26" s="29" t="s">
        <x:v>780</x:v>
      </x:c>
      <x:c r="I26" t="str">
        <x:f>IFERROR(VLOOKUP(E26,Parts!$A$2:$S$200,4,FALSE()),"")</x:f>
        <x:v>4-polig, Stiftkontakte, IP68 gesteckt, Lötanschluss</x:v>
      </x:c>
      <x:c r="J26" t="str">
        <x:f>IFERROR(VLOOKUP(E26,Parts!$A$2:$S$200,5,FALSE()),"")</x:f>
        <x:v>WEIPU SP13 Kabelstecker, 4-polig</x:v>
      </x:c>
      <x:c r="K26" s="32" t="n">
        <x:f>SUMIFS(Part_Suppliers!$E$2:$E$300,Part_Suppliers!$A$2:$A$300,$E26,Part_Suppliers!$H$2:$H$300,"Ja")</x:f>
        <x:v>0</x:v>
      </x:c>
      <x:c r="L26" s="32">
        <x:f t="shared" si="0"/>
        <x:v>0</x:v>
      </x:c>
      <x:c r="M26" t="str">
        <x:f>IFERROR(VLOOKUP($E26,Parts!$A$2:$M$200,12,FALSE()),"")</x:f>
        <x:v>Passend zu Gehäusebuchse SP1312/S4-N (ENP-00084). 5 A / 200 V AC. Standardvariante I für Kabel-Ø 4–6,5 mm; Variante II für 5–8 mm vor Bestellung prüfen.</x:v>
      </x:c>
    </x:row>
    <x:row r="27" ht="15">
      <x:c r="A27" t="s">
        <x:v>731</x:v>
      </x:c>
      <x:c r="B27" t="s">
        <x:v>733</x:v>
      </x:c>
      <x:c r="C27" s="31">
        <x:v>260</x:v>
      </x:c>
      <x:c r="E27" t="s">
        <x:v>628</x:v>
      </x:c>
      <x:c r="F27" s="31">
        <x:v>1</x:v>
      </x:c>
      <x:c r="G27" s="29" t="s">
        <x:v>779</x:v>
      </x:c>
      <x:c r="H27" s="29" t="s">
        <x:v>780</x:v>
      </x:c>
      <x:c r="I27" t="str">
        <x:f>IFERROR(VLOOKUP(E27,Parts!$A$2:$S$200,4,FALSE()),"")</x:f>
        <x:v>5,5 × 2,1 mm, 2-polig, 20 V DC / 10 A, Lötanschluss</x:v>
      </x:c>
      <x:c r="J27" t="str">
        <x:f>IFERROR(VLOOKUP(E27,Parts!$A$2:$S$200,5,FALSE()),"")</x:f>
      </x:c>
      <x:c r="K27" s="32" t="n">
        <x:f>SUMIFS(Part_Suppliers!$E$2:$E$300,Part_Suppliers!$A$2:$A$300,$E27,Part_Suppliers!$H$2:$H$300,"Ja")</x:f>
        <x:v>5.75</x:v>
      </x:c>
      <x:c r="L27" s="32">
        <x:f t="shared" si="0"/>
        <x:v>5.75</x:v>
      </x:c>
      <x:c r="M27" t="str">
        <x:f>IFERROR(VLOOKUP($E27,Parts!$A$2:$M$200,12,FALSE()),"")</x:f>
        <x:v>Für 5-V-Versorgung in trockener Umgebung. Passend für DC-Stecker 5,5/2,1 mm mit 9,5 oder 12 mm Stiftlänge. Polarität im Kit verbindlich festlegen, empfohlen: Plus am Innenkontakt.</x:v>
      </x:c>
    </x:row>
    <x:row r="28" ht="15">
      <x:c r="A28" t="s">
        <x:v>731</x:v>
      </x:c>
      <x:c r="B28" t="s">
        <x:v>733</x:v>
      </x:c>
      <x:c r="C28" s="31">
        <x:v>270</x:v>
      </x:c>
      <x:c r="D28" t="s">
        <x:v>781</x:v>
      </x:c>
      <x:c r="E28" t="s">
        <x:v>635</x:v>
      </x:c>
      <x:c r="F28" s="31">
        <x:v>1</x:v>
      </x:c>
      <x:c r="G28" s="29" t="s">
        <x:v>766</x:v>
      </x:c>
      <x:c r="H28" s="29" t="s">
        <x:v>208</x:v>
      </x:c>
      <x:c r="I28" t="str">
        <x:f>IFERROR(VLOOKUP(E28,Parts!$A$2:$S$200,4,FALSE()),"")</x:f>
        <x:v>USB Type-C Receptacle, 16 Signalpins (+ 8 Dummy), 5 A, 48 V DC, SMD/TH, horizontal</x:v>
      </x:c>
      <x:c r="J28" t="str">
        <x:f>IFERROR(VLOOKUP(E28,Parts!$A$2:$S$200,5,FALSE()),"")</x:f>
        <x:v>Connector_USB:USB_C_Receptacle_GCT_USB4105-xx-A_16P_TopMnt_Horizontal</x:v>
      </x:c>
      <x:c r="K28" s="32" t="n">
        <x:f>SUMIFS(Part_Suppliers!$E$2:$E$300,Part_Suppliers!$A$2:$A$300,$E28,Part_Suppliers!$H$2:$H$300,"Ja")</x:f>
        <x:v>0</x:v>
      </x:c>
      <x:c r="L28" s="32">
        <x:f t="shared" si="0"/>
        <x:v>0</x:v>
      </x:c>
      <x:c r="M28" t="str">
        <x:f>IFERROR(VLOOKUP($E28,Parts!$A$2:$M$200,12,FALSE()),"")</x:f>
        <x:v>Power-only mit Symbol Connector:USB_C_Receptacle_USB2.0_16P. Robuste Top-Mount-Ausführung mit vier durchkontaktierten Shield-/Haltezungen. D+/D− und SBU1/SBU2 NC; Shield an GND; CC1 und CC2 jeweils separat über 5,1 kΩ nach GND.</x:v>
      </x:c>
    </x:row>
    <x:row r="29" ht="15">
      <x:c r="A29" t="s">
        <x:v>731</x:v>
      </x:c>
      <x:c r="B29" t="s">
        <x:v>733</x:v>
      </x:c>
      <x:c r="C29" s="31">
        <x:v>280</x:v>
      </x:c>
      <x:c r="D29" t="s">
        <x:v>477</x:v>
      </x:c>
      <x:c r="E29" t="s">
        <x:v>645</x:v>
      </x:c>
      <x:c r="F29" s="31">
        <x:v>2</x:v>
      </x:c>
      <x:c r="G29" s="29" t="s">
        <x:v>766</x:v>
      </x:c>
      <x:c r="H29" s="29" t="s">
        <x:v>208</x:v>
      </x:c>
      <x:c r="I29" t="str">
        <x:f>IFERROR(VLOOKUP(E29,Parts!$A$2:$S$200,4,FALSE()),"")</x:f>
        <x:v>5,1 kΩ, 1 %, 250 mW</x:v>
      </x:c>
      <x:c r="J29" t="str">
        <x:f>IFERROR(VLOOKUP(E29,Parts!$A$2:$S$200,5,FALSE()),"")</x:f>
        <x:v>Resistor_SMD:R_1206_3216Metric_Pad1.30x1.75mm_HandSolder</x:v>
      </x:c>
      <x:c r="K29" s="32" t="n">
        <x:f>SUMIFS(Part_Suppliers!$E$2:$E$300,Part_Suppliers!$A$2:$A$300,$E29,Part_Suppliers!$H$2:$H$300,"Ja")</x:f>
        <x:v>0.09</x:v>
      </x:c>
      <x:c r="L29" s="32">
        <x:f t="shared" si="0"/>
        <x:v>0.18</x:v>
      </x:c>
      <x:c r="M29" t="str">
        <x:f>IFERROR(VLOOKUP($E29,Parts!$A$2:$M$200,12,FALSE()),"")</x:f>
        <x:v>Zwei Stück als getrennte Rd-Widerstände: je einer von CC1 bzw. CC2 nach GND; CC1 und CC2 nicht miteinander verbinden.</x:v>
      </x:c>
    </x:row>
    <x:row r="30" ht="15">
      <x:c r="A30" t="s">
        <x:v>738</x:v>
      </x:c>
      <x:c r="B30" t="s">
        <x:v>733</x:v>
      </x:c>
      <x:c r="C30" s="31">
        <x:v>10</x:v>
      </x:c>
      <x:c r="D30" t="s">
        <x:v>765</x:v>
      </x:c>
      <x:c r="E30" t="s">
        <x:v>56</x:v>
      </x:c>
      <x:c r="F30" s="31">
        <x:v>1</x:v>
      </x:c>
      <x:c r="G30" s="29" t="s">
        <x:v>782</x:v>
      </x:c>
      <x:c r="H30" s="29" t="s">
        <x:v>208</x:v>
      </x:c>
      <x:c r="I30" t="str">
        <x:f>IFERROR(VLOOKUP(E30,Parts!$A$2:$S$200,4,FALSE()),"")</x:f>
        <x:v>100 nF, 10 %, X7R, 100 V</x:v>
      </x:c>
      <x:c r="J30" t="str">
        <x:f>IFERROR(VLOOKUP(E30,Parts!$A$2:$S$200,5,FALSE()),"")</x:f>
        <x:v>Capacitor_SMD:C_1206_3216Metric_Pad1.33x1.80mm_HandSolder</x:v>
      </x:c>
      <x:c r="K30" s="32" t="n">
        <x:f>SUMIFS(Part_Suppliers!$E$2:$E$300,Part_Suppliers!$A$2:$A$300,$E30,Part_Suppliers!$H$2:$H$300,"Ja")</x:f>
        <x:v>0.24</x:v>
      </x:c>
      <x:c r="L30" s="32">
        <x:f t="shared" si="0"/>
        <x:v>0.24</x:v>
      </x:c>
      <x:c r="M30" t="str">
        <x:f>IFERROR(VLOOKUP($E30,Parts!$A$2:$M$200,12,FALSE()),"")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31" ht="15">
      <x:c r="A31" t="s">
        <x:v>738</x:v>
      </x:c>
      <x:c r="B31" t="s">
        <x:v>733</x:v>
      </x:c>
      <x:c r="C31" s="31">
        <x:v>20</x:v>
      </x:c>
      <x:c r="D31" t="s">
        <x:v>770</x:v>
      </x:c>
      <x:c r="E31" t="s">
        <x:v>260</x:v>
      </x:c>
      <x:c r="F31" s="31">
        <x:v>1</x:v>
      </x:c>
      <x:c r="G31" s="29" t="s">
        <x:v>766</x:v>
      </x:c>
      <x:c r="H31" s="29" t="s">
        <x:v>208</x:v>
      </x:c>
      <x:c r="I31" t="str">
        <x:f>IFERROR(VLOOKUP(E31,Parts!$A$2:$S$200,4,FALSE()),"")</x:f>
        <x:v>1N4148W</x:v>
      </x:c>
      <x:c r="J31" t="str">
        <x:f>IFERROR(VLOOKUP(E31,Parts!$A$2:$S$200,5,FALSE()),"")</x:f>
        <x:v>Diode_SMD:D_SOD-123</x:v>
      </x:c>
      <x:c r="K31" s="32" t="n">
        <x:f>SUMIFS(Part_Suppliers!$E$2:$E$300,Part_Suppliers!$A$2:$A$300,$E31,Part_Suppliers!$H$2:$H$300,"Ja")</x:f>
        <x:v>0.02</x:v>
      </x:c>
      <x:c r="L31" s="32">
        <x:f t="shared" si="0"/>
        <x:v>0.02</x:v>
      </x:c>
      <x:c r="M31" t="str">
        <x:f>IFERROR(VLOOKUP($E31,Parts!$A$2:$M$200,12,FALSE()),"")</x:f>
      </x:c>
    </x:row>
    <x:row r="32" ht="15">
      <x:c r="A32" t="s">
        <x:v>738</x:v>
      </x:c>
      <x:c r="B32" t="s">
        <x:v>733</x:v>
      </x:c>
      <x:c r="C32" s="31">
        <x:v>30</x:v>
      </x:c>
      <x:c r="D32" t="s">
        <x:v>771</x:v>
      </x:c>
      <x:c r="E32" t="s">
        <x:v>260</x:v>
      </x:c>
      <x:c r="F32" s="31">
        <x:v>1</x:v>
      </x:c>
      <x:c r="G32" s="29" t="s">
        <x:v>766</x:v>
      </x:c>
      <x:c r="H32" s="29" t="s">
        <x:v>208</x:v>
      </x:c>
      <x:c r="I32" t="str">
        <x:f>IFERROR(VLOOKUP(E32,Parts!$A$2:$S$200,4,FALSE()),"")</x:f>
        <x:v>1N4148W</x:v>
      </x:c>
      <x:c r="J32" t="str">
        <x:f>IFERROR(VLOOKUP(E32,Parts!$A$2:$S$200,5,FALSE()),"")</x:f>
        <x:v>Diode_SMD:D_SOD-123</x:v>
      </x:c>
      <x:c r="K32" s="32" t="n">
        <x:f>SUMIFS(Part_Suppliers!$E$2:$E$300,Part_Suppliers!$A$2:$A$300,$E32,Part_Suppliers!$H$2:$H$300,"Ja")</x:f>
        <x:v>0.02</x:v>
      </x:c>
      <x:c r="L32" s="32">
        <x:f t="shared" si="0"/>
        <x:v>0.02</x:v>
      </x:c>
      <x:c r="M32" t="str">
        <x:f>IFERROR(VLOOKUP($E32,Parts!$A$2:$M$200,12,FALSE()),"")</x:f>
      </x:c>
    </x:row>
    <x:row r="33" ht="15">
      <x:c r="A33" t="s">
        <x:v>738</x:v>
      </x:c>
      <x:c r="B33" t="s">
        <x:v>733</x:v>
      </x:c>
      <x:c r="C33" s="31">
        <x:v>40</x:v>
      </x:c>
      <x:c r="D33" t="s">
        <x:v>504</x:v>
      </x:c>
      <x:c r="E33" t="s">
        <x:v>462</x:v>
      </x:c>
      <x:c r="F33" s="31">
        <x:v>1</x:v>
      </x:c>
      <x:c r="G33" s="29" t="s">
        <x:v>766</x:v>
      </x:c>
      <x:c r="H33" s="29" t="s">
        <x:v>208</x:v>
      </x:c>
      <x:c r="I33" t="str">
        <x:f>IFERROR(VLOOKUP(E33,Parts!$A$2:$S$200,4,FALSE()),"")</x:f>
        <x:v>Hyperrot, 645 nm, 250 mcd, 140°, Vf 2,0–2,5 V, IF max. 30 mA</x:v>
      </x:c>
      <x:c r="J33" t="str">
        <x:f>IFERROR(VLOOKUP(E33,Parts!$A$2:$S$200,5,FALSE()),"")</x:f>
        <x:v>LED_SMD:LED_1206_3216Metric_Pad1.42x1.75mm_HandSolder</x:v>
      </x:c>
      <x:c r="K33" s="32" t="n">
        <x:f>SUMIFS(Part_Suppliers!$E$2:$E$300,Part_Suppliers!$A$2:$A$300,$E33,Part_Suppliers!$H$2:$H$300,"Ja")</x:f>
        <x:v>0.11</x:v>
      </x:c>
      <x:c r="L33" s="32">
        <x:f t="shared" si="0"/>
        <x:v>0.11</x:v>
      </x:c>
      <x:c r="M33" t="str">
        <x:f>IFERROR(VLOOKUP($E33,Parts!$A$2:$M$200,12,FALSE()),"")</x:f>
        <x:v>Kingbright SMD-LED im 1206-/3216-Gehäuse, hyperrot, 250 mcd, 140° Abstrahlwinkel, Bauhöhe 1,1 mm. Im DuoRelay liegen D3/D4 über je 1,5 kΩ an +5 V; bei etwa 2 V Vorwärtsspannung fließen rund 2 mA.</x:v>
      </x:c>
    </x:row>
    <x:row r="34" ht="15">
      <x:c r="A34" t="s">
        <x:v>738</x:v>
      </x:c>
      <x:c r="B34" t="s">
        <x:v>733</x:v>
      </x:c>
      <x:c r="C34" s="31">
        <x:v>50</x:v>
      </x:c>
      <x:c r="D34" t="s">
        <x:v>783</x:v>
      </x:c>
      <x:c r="E34" t="s">
        <x:v>462</x:v>
      </x:c>
      <x:c r="F34" s="31">
        <x:v>1</x:v>
      </x:c>
      <x:c r="G34" s="29" t="s">
        <x:v>766</x:v>
      </x:c>
      <x:c r="H34" s="29" t="s">
        <x:v>208</x:v>
      </x:c>
      <x:c r="I34" t="str">
        <x:f>IFERROR(VLOOKUP(E34,Parts!$A$2:$S$200,4,FALSE()),"")</x:f>
        <x:v>Hyperrot, 645 nm, 250 mcd, 140°, Vf 2,0–2,5 V, IF max. 30 mA</x:v>
      </x:c>
      <x:c r="J34" t="str">
        <x:f>IFERROR(VLOOKUP(E34,Parts!$A$2:$S$200,5,FALSE()),"")</x:f>
        <x:v>LED_SMD:LED_1206_3216Metric_Pad1.42x1.75mm_HandSolder</x:v>
      </x:c>
      <x:c r="K34" s="32" t="n">
        <x:f>SUMIFS(Part_Suppliers!$E$2:$E$300,Part_Suppliers!$A$2:$A$300,$E34,Part_Suppliers!$H$2:$H$300,"Ja")</x:f>
        <x:v>0.11</x:v>
      </x:c>
      <x:c r="L34" s="32" t="n">
        <x:f t="shared" ref="L34:L65" si="1">F34*K34</x:f>
        <x:v>0.11</x:v>
      </x:c>
      <x:c r="M34" t="str">
        <x:f>IFERROR(VLOOKUP($E34,Parts!$A$2:$M$200,12,FALSE()),"")</x:f>
        <x:v>Kingbright SMD-LED im 1206-/3216-Gehäuse, hyperrot, 250 mcd, 140° Abstrahlwinkel, Bauhöhe 1,1 mm. Im DuoRelay liegen D3/D4 über je 1,5 kΩ an +5 V; bei etwa 2 V Vorwärtsspannung fließen rund 2 mA.</x:v>
      </x:c>
    </x:row>
    <x:row r="35" ht="15">
      <x:c r="A35" t="s">
        <x:v>738</x:v>
      </x:c>
      <x:c r="B35" t="s">
        <x:v>733</x:v>
      </x:c>
      <x:c r="C35" s="31">
        <x:v>60</x:v>
      </x:c>
      <x:c r="D35" t="s">
        <x:v>426</x:v>
      </x:c>
      <x:c r="E35" t="s">
        <x:v>429</x:v>
      </x:c>
      <x:c r="F35" s="31">
        <x:v>1</x:v>
      </x:c>
      <x:c r="G35" s="29" t="s">
        <x:v>766</x:v>
      </x:c>
      <x:c r="H35" s="29" t="s">
        <x:v>208</x:v>
      </x:c>
      <x:c r="I35" t="str">
        <x:f>IFERROR(VLOOKUP(E35,Parts!$A$2:$S$200,4,FALSE()),"")</x:f>
        <x:v>2x7, 2,54 mm, THT, vertikal, vergoldet, 6,1 mm Stecklänge, 3,0 mm Lötstift</x:v>
      </x:c>
      <x:c r="J35" t="str">
        <x:f>IFERROR(VLOOKUP(E35,Parts!$A$2:$S$200,5,FALSE()),"")</x:f>
        <x:v>EnvNode-Footprints:PinHeader_2x07_P2.54mm_Vertical_Bottom</x:v>
      </x:c>
      <x:c r="K35" s="32" t="n">
        <x:f>SUMIFS(Part_Suppliers!$E$2:$E$300,Part_Suppliers!$A$2:$A$300,$E35,Part_Suppliers!$H$2:$H$300,"Ja")</x:f>
        <x:v>0.3</x:v>
      </x:c>
      <x:c r="L35" s="32">
        <x:f t="shared" si="1"/>
        <x:v>0.3</x:v>
      </x:c>
      <x:c r="M35" t="str">
        <x:f>IFERROR(VLOOKUP($E35,Parts!$A$2:$M$200,12,FALSE()),"")</x:f>
        <x: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v>
      </x:c>
    </x:row>
    <x:row r="36" ht="15">
      <x:c r="A36" t="s">
        <x:v>738</x:v>
      </x:c>
      <x:c r="B36" t="s">
        <x:v>733</x:v>
      </x:c>
      <x:c r="C36" s="31">
        <x:v>70</x:v>
      </x:c>
      <x:c r="D36" t="s">
        <x:v>773</x:v>
      </x:c>
      <x:c r="E36" t="s">
        <x:v>265</x:v>
      </x:c>
      <x:c r="F36" s="31">
        <x:v>1</x:v>
      </x:c>
      <x:c r="G36" s="29" t="s">
        <x:v>766</x:v>
      </x:c>
      <x:c r="H36" s="29" t="s">
        <x:v>208</x:v>
      </x:c>
      <x:c r="I36" t="str">
        <x:f>IFERROR(VLOOKUP(E36,Parts!$A$2:$S$200,4,FALSE()),"")</x:f>
        <x:v>3-polig, 5,08 mm</x:v>
      </x:c>
      <x:c r="J36" t="str">
        <x:f>IFERROR(VLOOKUP(E36,Parts!$A$2:$S$200,5,FALSE()),"")</x:f>
        <x:v>TerminalBlock_Phoenix:TerminalBlock_Phoenix_MKDS-3-3-5.08_1x03_P5.08mm_Horizontal</x:v>
      </x:c>
      <x:c r="K36" s="32" t="n">
        <x:f>SUMIFS(Part_Suppliers!$E$2:$E$300,Part_Suppliers!$A$2:$A$300,$E36,Part_Suppliers!$H$2:$H$300,"Ja")</x:f>
        <x:v>0</x:v>
      </x:c>
      <x:c r="L36" s="32">
        <x:f t="shared" si="1"/>
        <x:v>0</x:v>
      </x:c>
      <x:c r="M36" t="str">
        <x:f>IFERROR(VLOOKUP($E36,Parts!$A$2:$M$200,12,FALSE()),"")</x:f>
        <x:v>Exakte Hersteller-MPN ergänzen.</x:v>
      </x:c>
    </x:row>
    <x:row r="37" ht="15">
      <x:c r="A37" t="s">
        <x:v>738</x:v>
      </x:c>
      <x:c r="B37" t="s">
        <x:v>733</x:v>
      </x:c>
      <x:c r="C37" s="31">
        <x:v>80</x:v>
      </x:c>
      <x:c r="D37" t="s">
        <x:v>774</x:v>
      </x:c>
      <x:c r="E37" t="s">
        <x:v>265</x:v>
      </x:c>
      <x:c r="F37" s="31">
        <x:v>1</x:v>
      </x:c>
      <x:c r="G37" s="29" t="s">
        <x:v>766</x:v>
      </x:c>
      <x:c r="H37" s="29" t="s">
        <x:v>208</x:v>
      </x:c>
      <x:c r="I37" t="str">
        <x:f>IFERROR(VLOOKUP(E37,Parts!$A$2:$S$200,4,FALSE()),"")</x:f>
        <x:v>3-polig, 5,08 mm</x:v>
      </x:c>
      <x:c r="J37" t="str">
        <x:f>IFERROR(VLOOKUP(E37,Parts!$A$2:$S$200,5,FALSE()),"")</x:f>
        <x:v>TerminalBlock_Phoenix:TerminalBlock_Phoenix_MKDS-3-3-5.08_1x03_P5.08mm_Horizontal</x:v>
      </x:c>
      <x:c r="K37" s="32" t="n">
        <x:f>SUMIFS(Part_Suppliers!$E$2:$E$300,Part_Suppliers!$A$2:$A$300,$E37,Part_Suppliers!$H$2:$H$300,"Ja")</x:f>
        <x:v>0</x:v>
      </x:c>
      <x:c r="L37" s="32">
        <x:f t="shared" si="1"/>
        <x:v>0</x:v>
      </x:c>
      <x:c r="M37" t="str">
        <x:f>IFERROR(VLOOKUP($E37,Parts!$A$2:$M$200,12,FALSE()),"")</x:f>
        <x:v>Exakte Hersteller-MPN ergänzen.</x:v>
      </x:c>
    </x:row>
    <x:row r="38" ht="15">
      <x:c r="A38" t="s">
        <x:v>738</x:v>
      </x:c>
      <x:c r="B38" t="s">
        <x:v>733</x:v>
      </x:c>
      <x:c r="C38" s="31">
        <x:v>90</x:v>
      </x:c>
      <x:c r="D38" t="s">
        <x:v>784</x:v>
      </x:c>
      <x:c r="E38" t="s">
        <x:v>183</x:v>
      </x:c>
      <x:c r="F38" s="31">
        <x:v>1</x:v>
      </x:c>
      <x:c r="G38" s="29" t="s">
        <x:v>766</x:v>
      </x:c>
      <x:c r="H38" s="29" t="s">
        <x:v>208</x:v>
      </x:c>
      <x:c r="I38" t="str">
        <x:f>IFERROR(VLOOKUP(E38,Parts!$A$2:$S$200,4,FALSE()),"")</x:f>
        <x:v>5 V, 1 Wechsler, 6 A</x:v>
      </x:c>
      <x:c r="J38" t="str">
        <x:f>IFERROR(VLOOKUP(E38,Parts!$A$2:$S$200,5,FALSE()),"")</x:f>
        <x:v>Relay_THT:Relay_SPDT_Finder_34.51_Vertical</x:v>
      </x:c>
      <x:c r="K38" s="32" t="n">
        <x:f>SUMIFS(Part_Suppliers!$E$2:$E$300,Part_Suppliers!$A$2:$A$300,$E38,Part_Suppliers!$H$2:$H$300,"Ja")</x:f>
        <x:v>5.8</x:v>
      </x:c>
      <x:c r="L38" s="32">
        <x:f t="shared" si="1"/>
        <x:v>5.8</x:v>
      </x:c>
      <x:c r="M38" t="str">
        <x:f>IFERROR(VLOOKUP($E38,Parts!$A$2:$M$200,12,FALSE()),"")</x:f>
      </x:c>
    </x:row>
    <x:row r="39" ht="15">
      <x:c r="A39" t="s">
        <x:v>738</x:v>
      </x:c>
      <x:c r="B39" t="s">
        <x:v>733</x:v>
      </x:c>
      <x:c r="C39" s="31">
        <x:v>100</x:v>
      </x:c>
      <x:c r="D39" t="s">
        <x:v>785</x:v>
      </x:c>
      <x:c r="E39" t="s">
        <x:v>183</x:v>
      </x:c>
      <x:c r="F39" s="31">
        <x:v>1</x:v>
      </x:c>
      <x:c r="G39" s="29" t="s">
        <x:v>766</x:v>
      </x:c>
      <x:c r="H39" s="29" t="s">
        <x:v>208</x:v>
      </x:c>
      <x:c r="I39" t="str">
        <x:f>IFERROR(VLOOKUP(E39,Parts!$A$2:$S$200,4,FALSE()),"")</x:f>
        <x:v>5 V, 1 Wechsler, 6 A</x:v>
      </x:c>
      <x:c r="J39" t="str">
        <x:f>IFERROR(VLOOKUP(E39,Parts!$A$2:$S$200,5,FALSE()),"")</x:f>
        <x:v>Relay_THT:Relay_SPDT_Finder_34.51_Vertical</x:v>
      </x:c>
      <x:c r="K39" s="32" t="n">
        <x:f>SUMIFS(Part_Suppliers!$E$2:$E$300,Part_Suppliers!$A$2:$A$300,$E39,Part_Suppliers!$H$2:$H$300,"Ja")</x:f>
        <x:v>5.8</x:v>
      </x:c>
      <x:c r="L39" s="32">
        <x:f t="shared" si="1"/>
        <x:v>5.8</x:v>
      </x:c>
      <x:c r="M39" t="str">
        <x:f>IFERROR(VLOOKUP($E39,Parts!$A$2:$M$200,12,FALSE()),"")</x:f>
      </x:c>
    </x:row>
    <x:row r="40" ht="15">
      <x:c r="A40" t="s">
        <x:v>738</x:v>
      </x:c>
      <x:c r="B40" t="s">
        <x:v>733</x:v>
      </x:c>
      <x:c r="C40" s="31">
        <x:v>110</x:v>
      </x:c>
      <x:c r="D40" t="s">
        <x:v>120</x:v>
      </x:c>
      <x:c r="E40" t="s">
        <x:v>273</x:v>
      </x:c>
      <x:c r="F40" s="31">
        <x:v>1</x:v>
      </x:c>
      <x:c r="G40" s="29" t="s">
        <x:v>766</x:v>
      </x:c>
      <x:c r="H40" s="29" t="s">
        <x:v>208</x:v>
      </x:c>
      <x:c r="I40" t="str">
        <x:f>IFERROR(VLOOKUP(E40,Parts!$A$2:$S$200,4,FALSE()),"")</x:f>
        <x:v>BC817</x:v>
      </x:c>
      <x:c r="J40" t="str">
        <x:f>IFERROR(VLOOKUP(E40,Parts!$A$2:$S$200,5,FALSE()),"")</x:f>
        <x:v>Package_TO_SOT_SMD:SOT-23_Handsoldering</x:v>
      </x:c>
      <x:c r="K40" s="32" t="n">
        <x:f>SUMIFS(Part_Suppliers!$E$2:$E$300,Part_Suppliers!$A$2:$A$300,$E40,Part_Suppliers!$H$2:$H$300,"Ja")</x:f>
        <x:v>0.02</x:v>
      </x:c>
      <x:c r="L40" s="32">
        <x:f t="shared" si="1"/>
        <x:v>0.02</x:v>
      </x:c>
      <x:c r="M40" t="str">
        <x:f>IFERROR(VLOOKUP($E40,Parts!$A$2:$M$200,12,FALSE()),"")</x:f>
      </x:c>
    </x:row>
    <x:row r="41" ht="15">
      <x:c r="A41" t="s">
        <x:v>738</x:v>
      </x:c>
      <x:c r="B41" t="s">
        <x:v>733</x:v>
      </x:c>
      <x:c r="C41" s="31">
        <x:v>120</x:v>
      </x:c>
      <x:c r="D41" t="s">
        <x:v>786</x:v>
      </x:c>
      <x:c r="E41" t="s">
        <x:v>273</x:v>
      </x:c>
      <x:c r="F41" s="31">
        <x:v>1</x:v>
      </x:c>
      <x:c r="G41" s="29" t="s">
        <x:v>766</x:v>
      </x:c>
      <x:c r="H41" s="29" t="s">
        <x:v>208</x:v>
      </x:c>
      <x:c r="I41" t="str">
        <x:f>IFERROR(VLOOKUP(E41,Parts!$A$2:$S$200,4,FALSE()),"")</x:f>
        <x:v>BC817</x:v>
      </x:c>
      <x:c r="J41" t="str">
        <x:f>IFERROR(VLOOKUP(E41,Parts!$A$2:$S$200,5,FALSE()),"")</x:f>
        <x:v>Package_TO_SOT_SMD:SOT-23_Handsoldering</x:v>
      </x:c>
      <x:c r="K41" s="32" t="n">
        <x:f>SUMIFS(Part_Suppliers!$E$2:$E$300,Part_Suppliers!$A$2:$A$300,$E41,Part_Suppliers!$H$2:$H$300,"Ja")</x:f>
        <x:v>0.02</x:v>
      </x:c>
      <x:c r="L41" s="32">
        <x:f t="shared" si="1"/>
        <x:v>0.02</x:v>
      </x:c>
      <x:c r="M41" t="str">
        <x:f>IFERROR(VLOOKUP($E41,Parts!$A$2:$M$200,12,FALSE()),"")</x:f>
      </x:c>
    </x:row>
    <x:row r="42" ht="15">
      <x:c r="A42" t="s">
        <x:v>738</x:v>
      </x:c>
      <x:c r="B42" t="s">
        <x:v>733</x:v>
      </x:c>
      <x:c r="C42" s="31">
        <x:v>130</x:v>
      </x:c>
      <x:c r="D42" t="s">
        <x:v>344</x:v>
      </x:c>
      <x:c r="E42" t="s">
        <x:v>279</x:v>
      </x:c>
      <x:c r="F42" s="31">
        <x:v>1</x:v>
      </x:c>
      <x:c r="G42" s="29" t="s">
        <x:v>766</x:v>
      </x:c>
      <x:c r="H42" s="29" t="s">
        <x:v>208</x:v>
      </x:c>
      <x:c r="I42" t="str">
        <x:f>IFERROR(VLOOKUP(E42,Parts!$A$2:$S$200,4,FALSE()),"")</x:f>
        <x:v>1 kΩ</x:v>
      </x:c>
      <x:c r="J42" t="str">
        <x:f>IFERROR(VLOOKUP(E42,Parts!$A$2:$S$200,5,FALSE()),"")</x:f>
        <x:v>Resistor_SMD:R_1206_3216Metric_Pad1.30x1.75mm_HandSolder</x:v>
      </x:c>
      <x:c r="K42" s="32" t="n">
        <x:f>SUMIFS(Part_Suppliers!$E$2:$E$300,Part_Suppliers!$A$2:$A$300,$E42,Part_Suppliers!$H$2:$H$300,"Ja")</x:f>
        <x:v>0.14</x:v>
      </x:c>
      <x:c r="L42" s="32">
        <x:f t="shared" si="1"/>
        <x:v>0.14000000000000001</x:v>
      </x:c>
      <x:c r="M42" t="str">
        <x:f>IFERROR(VLOOKUP($E42,Parts!$A$2:$M$200,12,FALSE()),"")</x:f>
      </x:c>
    </x:row>
    <x:row r="43" ht="15">
      <x:c r="A43" t="s">
        <x:v>738</x:v>
      </x:c>
      <x:c r="B43" t="s">
        <x:v>733</x:v>
      </x:c>
      <x:c r="C43" s="31">
        <x:v>140</x:v>
      </x:c>
      <x:c r="D43" t="s">
        <x:v>776</x:v>
      </x:c>
      <x:c r="E43" t="s">
        <x:v>279</x:v>
      </x:c>
      <x:c r="F43" s="31">
        <x:v>1</x:v>
      </x:c>
      <x:c r="G43" s="29" t="s">
        <x:v>766</x:v>
      </x:c>
      <x:c r="H43" s="29" t="s">
        <x:v>208</x:v>
      </x:c>
      <x:c r="I43" t="str">
        <x:f>IFERROR(VLOOKUP(E43,Parts!$A$2:$S$200,4,FALSE()),"")</x:f>
        <x:v>1 kΩ</x:v>
      </x:c>
      <x:c r="J43" t="str">
        <x:f>IFERROR(VLOOKUP(E43,Parts!$A$2:$S$200,5,FALSE()),"")</x:f>
        <x:v>Resistor_SMD:R_1206_3216Metric_Pad1.30x1.75mm_HandSolder</x:v>
      </x:c>
      <x:c r="K43" s="32" t="n">
        <x:f>SUMIFS(Part_Suppliers!$E$2:$E$300,Part_Suppliers!$A$2:$A$300,$E43,Part_Suppliers!$H$2:$H$300,"Ja")</x:f>
        <x:v>0.14</x:v>
      </x:c>
      <x:c r="L43" s="32">
        <x:f t="shared" si="1"/>
        <x:v>0.14000000000000001</x:v>
      </x:c>
      <x:c r="M43" t="str">
        <x:f>IFERROR(VLOOKUP($E43,Parts!$A$2:$M$200,12,FALSE()),"")</x:f>
      </x:c>
    </x:row>
    <x:row r="44" ht="15">
      <x:c r="A44" t="s">
        <x:v>738</x:v>
      </x:c>
      <x:c r="B44" t="s">
        <x:v>733</x:v>
      </x:c>
      <x:c r="C44" s="31">
        <x:v>150</x:v>
      </x:c>
      <x:c r="D44" t="s">
        <x:v>152</x:v>
      </x:c>
      <x:c r="E44" t="s">
        <x:v>133</x:v>
      </x:c>
      <x:c r="F44" s="31">
        <x:v>1</x:v>
      </x:c>
      <x:c r="G44" s="29" t="s">
        <x:v>766</x:v>
      </x:c>
      <x:c r="H44" s="29" t="s">
        <x:v>208</x:v>
      </x:c>
      <x:c r="I44" t="str">
        <x:f>IFERROR(VLOOKUP(E44,Parts!$A$2:$S$200,4,FALSE()),"")</x:f>
        <x:v>100 kΩ, 0,1 %, 250 mW</x:v>
      </x:c>
      <x:c r="J44" t="str">
        <x:f>IFERROR(VLOOKUP(E44,Parts!$A$2:$S$200,5,FALSE()),"")</x:f>
        <x:v>Resistor_SMD:R_1206_3216Metric_Pad1.30x1.75mm_HandSolder</x:v>
      </x:c>
      <x:c r="K44" s="32" t="n">
        <x:f>SUMIFS(Part_Suppliers!$E$2:$E$300,Part_Suppliers!$A$2:$A$300,$E44,Part_Suppliers!$H$2:$H$300,"Ja")</x:f>
        <x:v>0.83</x:v>
      </x:c>
      <x:c r="L44" s="32">
        <x:f t="shared" si="1"/>
        <x:v>0.83</x:v>
      </x:c>
      <x:c r="M44" t="str">
        <x:f>IFERROR(VLOOKUP($E44,Parts!$A$2:$M$200,12,FALSE()),"")</x:f>
        <x:v>Lieferanten-Bestellnummer in der Altdatei enthält vermischte Angaben.</x:v>
      </x:c>
    </x:row>
    <x:row r="45" ht="15">
      <x:c r="A45" t="s">
        <x:v>738</x:v>
      </x:c>
      <x:c r="B45" t="s">
        <x:v>733</x:v>
      </x:c>
      <x:c r="C45" s="31">
        <x:v>160</x:v>
      </x:c>
      <x:c r="D45" t="s">
        <x:v>777</x:v>
      </x:c>
      <x:c r="E45" t="s">
        <x:v>133</x:v>
      </x:c>
      <x:c r="F45" s="31">
        <x:v>1</x:v>
      </x:c>
      <x:c r="G45" s="29" t="s">
        <x:v>766</x:v>
      </x:c>
      <x:c r="H45" s="29" t="s">
        <x:v>208</x:v>
      </x:c>
      <x:c r="I45" t="str">
        <x:f>IFERROR(VLOOKUP(E45,Parts!$A$2:$S$200,4,FALSE()),"")</x:f>
        <x:v>100 kΩ, 0,1 %, 250 mW</x:v>
      </x:c>
      <x:c r="J45" t="str">
        <x:f>IFERROR(VLOOKUP(E45,Parts!$A$2:$S$200,5,FALSE()),"")</x:f>
        <x:v>Resistor_SMD:R_1206_3216Metric_Pad1.30x1.75mm_HandSolder</x:v>
      </x:c>
      <x:c r="K45" s="32" t="n">
        <x:f>SUMIFS(Part_Suppliers!$E$2:$E$300,Part_Suppliers!$A$2:$A$300,$E45,Part_Suppliers!$H$2:$H$300,"Ja")</x:f>
        <x:v>0.83</x:v>
      </x:c>
      <x:c r="L45" s="32">
        <x:f t="shared" si="1"/>
        <x:v>0.83</x:v>
      </x:c>
      <x:c r="M45" t="str">
        <x:f>IFERROR(VLOOKUP($E45,Parts!$A$2:$M$200,12,FALSE()),"")</x:f>
        <x:v>Lieferanten-Bestellnummer in der Altdatei enthält vermischte Angaben.</x:v>
      </x:c>
    </x:row>
    <x:row r="46" ht="15">
      <x:c r="A46" t="s">
        <x:v>738</x:v>
      </x:c>
      <x:c r="B46" t="s">
        <x:v>733</x:v>
      </x:c>
      <x:c r="C46" s="31">
        <x:v>170</x:v>
      </x:c>
      <x:c r="D46" t="s">
        <x:v>521</x:v>
      </x:c>
      <x:c r="E46" t="s">
        <x:v>473</x:v>
      </x:c>
      <x:c r="F46" s="31">
        <x:v>1</x:v>
      </x:c>
      <x:c r="G46" s="29" t="s">
        <x:v>766</x:v>
      </x:c>
      <x:c r="H46" s="29" t="s">
        <x:v>208</x:v>
      </x:c>
      <x:c r="I46" t="str">
        <x:f>IFERROR(VLOOKUP(E46,Parts!$A$2:$S$200,4,FALSE()),"")</x:f>
        <x:v>1,5 kΩ, 1 %, 0,25 W, 1206</x:v>
      </x:c>
      <x:c r="J46" t="str">
        <x:f>IFERROR(VLOOKUP(E46,Parts!$A$2:$S$200,5,FALSE()),"")</x:f>
        <x:v>Resistor_SMD:R_1206_3216Metric_Pad1.30x1.75mm_HandSolder</x:v>
      </x:c>
      <x:c r="K46" s="32" t="n">
        <x:f>SUMIFS(Part_Suppliers!$E$2:$E$300,Part_Suppliers!$A$2:$A$300,$E46,Part_Suppliers!$H$2:$H$300,"Ja")</x:f>
        <x:v>0.14</x:v>
      </x:c>
      <x:c r="L46" s="32">
        <x:f t="shared" si="1"/>
        <x:v>0.14000000000000001</x:v>
      </x:c>
      <x:c r="M46" t="str">
        <x:f>IFERROR(VLOOKUP($E46,Parts!$A$2:$M$200,12,FALSE()),"")</x:f>
        <x:v>Exakt passend als Vorwiderstand der Relais-LEDs. Einzelpreis, Stand 2026-09-01; Preis und Verfügbarkeit vor Bestellung prüfen.</x:v>
      </x:c>
    </x:row>
    <x:row r="47" ht="15">
      <x:c r="A47" t="s">
        <x:v>738</x:v>
      </x:c>
      <x:c r="B47" t="s">
        <x:v>733</x:v>
      </x:c>
      <x:c r="C47" s="31">
        <x:v>180</x:v>
      </x:c>
      <x:c r="D47" t="s">
        <x:v>528</x:v>
      </x:c>
      <x:c r="E47" t="s">
        <x:v>473</x:v>
      </x:c>
      <x:c r="F47" s="31">
        <x:v>1</x:v>
      </x:c>
      <x:c r="G47" s="29" t="s">
        <x:v>766</x:v>
      </x:c>
      <x:c r="H47" s="29" t="s">
        <x:v>208</x:v>
      </x:c>
      <x:c r="I47" t="str">
        <x:f>IFERROR(VLOOKUP(E47,Parts!$A$2:$S$200,4,FALSE()),"")</x:f>
        <x:v>1,5 kΩ, 1 %, 0,25 W, 1206</x:v>
      </x:c>
      <x:c r="J47" t="str">
        <x:f>IFERROR(VLOOKUP(E47,Parts!$A$2:$S$200,5,FALSE()),"")</x:f>
        <x:v>Resistor_SMD:R_1206_3216Metric_Pad1.30x1.75mm_HandSolder</x:v>
      </x:c>
      <x:c r="K47" s="32" t="n">
        <x:f>SUMIFS(Part_Suppliers!$E$2:$E$300,Part_Suppliers!$A$2:$A$300,$E47,Part_Suppliers!$H$2:$H$300,"Ja")</x:f>
        <x:v>0.14</x:v>
      </x:c>
      <x:c r="L47" s="32">
        <x:f t="shared" si="1"/>
        <x:v>0.14000000000000001</x:v>
      </x:c>
      <x:c r="M47" t="str">
        <x:f>IFERROR(VLOOKUP($E47,Parts!$A$2:$M$200,12,FALSE()),"")</x:f>
        <x:v>Exakt passend als Vorwiderstand der Relais-LEDs. Einzelpreis, Stand 2026-09-01; Preis und Verfügbarkeit vor Bestellung prüfen.</x:v>
      </x:c>
    </x:row>
    <x:row r="48" ht="15">
      <x:c r="A48" t="s">
        <x:v>738</x:v>
      </x:c>
      <x:c r="B48" t="s">
        <x:v>733</x:v>
      </x:c>
      <x:c r="C48" s="31">
        <x:v>190</x:v>
      </x:c>
      <x:c r="D48" t="s">
        <x:v>356</x:v>
      </x:c>
      <x:c r="E48" t="s">
        <x:v>718</x:v>
      </x:c>
      <x:c r="F48" s="31">
        <x:v>1</x:v>
      </x:c>
      <x:c r="G48" s="29" t="s">
        <x:v>766</x:v>
      </x:c>
      <x:c r="H48" s="29" t="s">
        <x:v>208</x:v>
      </x:c>
      <x:c r="I48" t="str">
        <x:f>IFERROR(VLOOKUP(E48,Parts!$A$2:$S$200,4,FALSE()),"")</x:f>
        <x:v>32 Kbit, I²C, 2,5–5,5 V</x:v>
      </x:c>
      <x:c r="J48" t="str">
        <x:f>IFERROR(VLOOKUP(E48,Parts!$A$2:$S$200,5,FALSE()),"")</x:f>
        <x:v>Package_SO:SOIC-8_3.9x4.9mm_P1.27mm</x:v>
      </x:c>
      <x:c r="K48" s="32" t="n">
        <x:f>SUMIFS(Part_Suppliers!$E$2:$E$300,Part_Suppliers!$A$2:$A$300,$E48,Part_Suppliers!$H$2:$H$300,"Ja")</x:f>
        <x:v>0.39</x:v>
      </x:c>
      <x:c r="L48" s="32">
        <x:f t="shared" si="1"/>
        <x:v>0</x:v>
      </x:c>
      <x:c r="M48" t="str">
        <x:f>IFERROR(VLOOKUP($E48,Parts!$A$2:$M$200,12,FALSE()),"")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</x:row>
    <x:row r="49" ht="15">
      <x:c r="A49" t="s">
        <x:v>738</x:v>
      </x:c>
      <x:c r="B49" t="s">
        <x:v>733</x:v>
      </x:c>
      <x:c r="C49" s="31">
        <x:v>200</x:v>
      </x:c>
      <x:c r="E49" t="s">
        <x:v>481</x:v>
      </x:c>
      <x:c r="F49" s="31">
        <x:v>1</x:v>
      </x:c>
      <x:c r="G49" s="29" t="s">
        <x:v>766</x:v>
      </x:c>
      <x:c r="H49" s="29" t="s">
        <x:v>100</x:v>
      </x:c>
      <x:c r="I49" t="str">
        <x:f>IFERROR(VLOOKUP(E49,Parts!$A$2:$S$200,4,FALSE()),"")</x:f>
        <x:v>Revision 0.2</x:v>
      </x:c>
      <x:c r="J49" t="str">
        <x:f>IFERROR(VLOOKUP(E49,Parts!$A$2:$S$200,5,FALSE()),"")</x:f>
        <x:v>PCB: Modules/FullSize/DuoRelay/DuoRelay.kicad_pcb</x:v>
      </x:c>
      <x:c r="K49" s="32" t="n">
        <x:f>SUMIFS(Part_Suppliers!$E$2:$E$300,Part_Suppliers!$A$2:$A$300,$E49,Part_Suppliers!$H$2:$H$300,"Ja")</x:f>
        <x:v>0</x:v>
      </x:c>
      <x:c r="L49" s="32">
        <x:f t="shared" si="1"/>
        <x:v>0</x:v>
      </x:c>
      <x:c r="M49" t="str">
        <x:f>IFERROR(VLOOKUP($E49,Parts!$A$2:$M$200,12,FALSE()),"")</x:f>
        <x:v>Aktueller KiCad-Stand; Fertiger und konkrete Fertigungsvariante festlegen.</x:v>
      </x:c>
    </x:row>
    <x:row r="50" ht="15">
      <x:c r="A50" t="s">
        <x:v>743</x:v>
      </x:c>
      <x:c r="B50" t="s">
        <x:v>733</x:v>
      </x:c>
      <x:c r="C50" s="31">
        <x:v>10</x:v>
      </x:c>
      <x:c r="D50" t="s">
        <x:v>765</x:v>
      </x:c>
      <x:c r="E50" t="s">
        <x:v>56</x:v>
      </x:c>
      <x:c r="F50" s="31">
        <x:v>1</x:v>
      </x:c>
      <x:c r="G50" s="29" t="s">
        <x:v>782</x:v>
      </x:c>
      <x:c r="H50" s="29" t="s">
        <x:v>208</x:v>
      </x:c>
      <x:c r="I50" t="str">
        <x:f>IFERROR(VLOOKUP(E50,Parts!$A$2:$S$200,4,FALSE()),"")</x:f>
        <x:v>100 nF, 10 %, X7R, 100 V</x:v>
      </x:c>
      <x:c r="J50" t="str">
        <x:f>IFERROR(VLOOKUP(E50,Parts!$A$2:$S$200,5,FALSE()),"")</x:f>
        <x:v>Capacitor_SMD:C_1206_3216Metric_Pad1.33x1.80mm_HandSolder</x:v>
      </x:c>
      <x:c r="K50" s="32" t="n">
        <x:f>SUMIFS(Part_Suppliers!$E$2:$E$300,Part_Suppliers!$A$2:$A$300,$E50,Part_Suppliers!$H$2:$H$300,"Ja")</x:f>
        <x:v>0.24</x:v>
      </x:c>
      <x:c r="L50" s="32">
        <x:f t="shared" si="1"/>
        <x:v>0.24</x:v>
      </x:c>
      <x:c r="M50" t="str">
        <x:f>IFERROR(VLOOKUP($E50,Parts!$A$2:$M$200,12,FALSE()),"")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51" ht="15">
      <x:c r="A51" t="s">
        <x:v>743</x:v>
      </x:c>
      <x:c r="B51" t="s">
        <x:v>733</x:v>
      </x:c>
      <x:c r="C51" s="31">
        <x:v>20</x:v>
      </x:c>
      <x:c r="D51" t="s">
        <x:v>767</x:v>
      </x:c>
      <x:c r="E51" t="s">
        <x:v>56</x:v>
      </x:c>
      <x:c r="F51" s="31">
        <x:v>1</x:v>
      </x:c>
      <x:c r="G51" s="29" t="s">
        <x:v>766</x:v>
      </x:c>
      <x:c r="H51" s="29" t="s">
        <x:v>208</x:v>
      </x:c>
      <x:c r="I51" t="str">
        <x:f>IFERROR(VLOOKUP(E51,Parts!$A$2:$S$200,4,FALSE()),"")</x:f>
        <x:v>100 nF, 10 %, X7R, 100 V</x:v>
      </x:c>
      <x:c r="J51" t="str">
        <x:f>IFERROR(VLOOKUP(E51,Parts!$A$2:$S$200,5,FALSE()),"")</x:f>
        <x:v>Capacitor_SMD:C_1206_3216Metric_Pad1.33x1.80mm_HandSolder</x:v>
      </x:c>
      <x:c r="K51" s="32" t="n">
        <x:f>SUMIFS(Part_Suppliers!$E$2:$E$300,Part_Suppliers!$A$2:$A$300,$E51,Part_Suppliers!$H$2:$H$300,"Ja")</x:f>
        <x:v>0.24</x:v>
      </x:c>
      <x:c r="L51" s="32">
        <x:f t="shared" si="1"/>
        <x:v>0.24</x:v>
      </x:c>
      <x:c r="M51" t="str">
        <x:f>IFERROR(VLOOKUP($E51,Parts!$A$2:$M$200,12,FALSE()),"")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52" ht="15">
      <x:c r="A52" t="s">
        <x:v>743</x:v>
      </x:c>
      <x:c r="B52" t="s">
        <x:v>733</x:v>
      </x:c>
      <x:c r="C52" s="31">
        <x:v>30</x:v>
      </x:c>
      <x:c r="D52" t="s">
        <x:v>768</x:v>
      </x:c>
      <x:c r="E52" t="s">
        <x:v>225</x:v>
      </x:c>
      <x:c r="F52" s="31">
        <x:v>1</x:v>
      </x:c>
      <x:c r="G52" s="29" t="s">
        <x:v>766</x:v>
      </x:c>
      <x:c r="H52" s="29" t="s">
        <x:v>208</x:v>
      </x:c>
      <x:c r="I52" t="str">
        <x:f>IFERROR(VLOOKUP(E52,Parts!$A$2:$S$200,4,FALSE()),"")</x:f>
        <x:v>1 µF</x:v>
      </x:c>
      <x:c r="J52" t="str">
        <x:f>IFERROR(VLOOKUP(E52,Parts!$A$2:$S$200,5,FALSE()),"")</x:f>
        <x:v>Capacitor_SMD:C_1206_3216Metric_Pad1.33x1.80mm_HandSolder</x:v>
      </x:c>
      <x:c r="K52" s="32" t="n">
        <x:f>SUMIFS(Part_Suppliers!$E$2:$E$300,Part_Suppliers!$A$2:$A$300,$E52,Part_Suppliers!$H$2:$H$300,"Ja")</x:f>
        <x:v>0.16</x:v>
      </x:c>
      <x:c r="L52" s="32">
        <x:f t="shared" si="1"/>
        <x:v>0.16</x:v>
      </x:c>
      <x:c r="M52" t="str">
        <x:f>IFERROR(VLOOKUP($E52,Parts!$A$2:$M$200,12,FALSE()),"")</x:f>
      </x:c>
    </x:row>
    <x:row r="53" ht="15">
      <x:c r="A53" t="s">
        <x:v>743</x:v>
      </x:c>
      <x:c r="B53" t="s">
        <x:v>733</x:v>
      </x:c>
      <x:c r="C53" s="31">
        <x:v>40</x:v>
      </x:c>
      <x:c r="D53" t="s">
        <x:v>413</x:v>
      </x:c>
      <x:c r="E53" t="s">
        <x:v>485</x:v>
      </x:c>
      <x:c r="F53" s="31">
        <x:v>1</x:v>
      </x:c>
      <x:c r="G53" s="29" t="s">
        <x:v>766</x:v>
      </x:c>
      <x:c r="H53" s="29" t="s">
        <x:v>208</x:v>
      </x:c>
      <x:c r="I53" t="str">
        <x:f>IFERROR(VLOOKUP(E53,Parts!$A$2:$S$200,4,FALSE()),"")</x:f>
        <x:v>4,7 µF, 25 V, X7R, ±10 %, 1206</x:v>
      </x:c>
      <x:c r="J53" t="str">
        <x:f>IFERROR(VLOOKUP(E53,Parts!$A$2:$S$200,5,FALSE()),"")</x:f>
        <x:v>Capacitor_SMD:C_1206_3216Metric_Pad1.33x1.80mm_HandSolder</x:v>
      </x:c>
      <x:c r="K53" s="32" t="n">
        <x:f>SUMIFS(Part_Suppliers!$E$2:$E$300,Part_Suppliers!$A$2:$A$300,$E53,Part_Suppliers!$H$2:$H$300,"Ja")</x:f>
        <x:v>0.14</x:v>
      </x:c>
      <x:c r="L53" s="32">
        <x:f t="shared" si="1"/>
        <x:v>0.14000000000000001</x:v>
      </x:c>
      <x:c r="M53" t="str">
        <x:f>IFERROR(VLOOKUP($E53,Parts!$A$2:$M$200,12,FALSE()),"")</x:f>
        <x:v>25-V-Ausführung übertrifft die geforderten mindestens 10 V. Einzelpreis, Stand 2026-09-01; Preis und Verfügbarkeit vor Bestellung prüfen.</x:v>
      </x:c>
    </x:row>
    <x:row r="54" ht="15">
      <x:c r="A54" t="s">
        <x:v>743</x:v>
      </x:c>
      <x:c r="B54" t="s">
        <x:v>733</x:v>
      </x:c>
      <x:c r="C54" s="31">
        <x:v>50</x:v>
      </x:c>
      <x:c r="D54" t="s">
        <x:v>787</x:v>
      </x:c>
      <x:c r="E54" t="s">
        <x:v>225</x:v>
      </x:c>
      <x:c r="F54" s="31">
        <x:v>1</x:v>
      </x:c>
      <x:c r="G54" s="29" t="s">
        <x:v>766</x:v>
      </x:c>
      <x:c r="H54" s="29" t="s">
        <x:v>208</x:v>
      </x:c>
      <x:c r="I54" t="str">
        <x:f>IFERROR(VLOOKUP(E54,Parts!$A$2:$S$200,4,FALSE()),"")</x:f>
        <x:v>1 µF</x:v>
      </x:c>
      <x:c r="J54" t="str">
        <x:f>IFERROR(VLOOKUP(E54,Parts!$A$2:$S$200,5,FALSE()),"")</x:f>
        <x:v>Capacitor_SMD:C_1206_3216Metric_Pad1.33x1.80mm_HandSolder</x:v>
      </x:c>
      <x:c r="K54" s="32" t="n">
        <x:f>SUMIFS(Part_Suppliers!$E$2:$E$300,Part_Suppliers!$A$2:$A$300,$E54,Part_Suppliers!$H$2:$H$300,"Ja")</x:f>
        <x:v>0.16</x:v>
      </x:c>
      <x:c r="L54" s="32">
        <x:f t="shared" si="1"/>
        <x:v>0.16</x:v>
      </x:c>
      <x:c r="M54" t="str">
        <x:f>IFERROR(VLOOKUP($E54,Parts!$A$2:$M$200,12,FALSE()),"")</x:f>
      </x:c>
    </x:row>
    <x:row r="55" ht="15">
      <x:c r="A55" t="s">
        <x:v>743</x:v>
      </x:c>
      <x:c r="B55" t="s">
        <x:v>733</x:v>
      </x:c>
      <x:c r="C55" s="31">
        <x:v>60</x:v>
      </x:c>
      <x:c r="D55" t="s">
        <x:v>788</x:v>
      </x:c>
      <x:c r="E55" t="s">
        <x:v>56</x:v>
      </x:c>
      <x:c r="F55" s="31">
        <x:v>1</x:v>
      </x:c>
      <x:c r="G55" s="29" t="s">
        <x:v>766</x:v>
      </x:c>
      <x:c r="H55" s="29" t="s">
        <x:v>208</x:v>
      </x:c>
      <x:c r="I55" t="str">
        <x:f>IFERROR(VLOOKUP(E55,Parts!$A$2:$S$200,4,FALSE()),"")</x:f>
        <x:v>100 nF, 10 %, X7R, 100 V</x:v>
      </x:c>
      <x:c r="J55" t="str">
        <x:f>IFERROR(VLOOKUP(E55,Parts!$A$2:$S$200,5,FALSE()),"")</x:f>
        <x:v>Capacitor_SMD:C_1206_3216Metric_Pad1.33x1.80mm_HandSolder</x:v>
      </x:c>
      <x:c r="K55" s="32" t="n">
        <x:f>SUMIFS(Part_Suppliers!$E$2:$E$300,Part_Suppliers!$A$2:$A$300,$E55,Part_Suppliers!$H$2:$H$300,"Ja")</x:f>
        <x:v>0.24</x:v>
      </x:c>
      <x:c r="L55" s="32">
        <x:f t="shared" si="1"/>
        <x:v>0.24</x:v>
      </x:c>
      <x:c r="M55" t="str">
        <x:f>IFERROR(VLOOKUP($E55,Parts!$A$2:$M$200,12,FALSE()),"")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56" ht="15">
      <x:c r="A56" t="s">
        <x:v>743</x:v>
      </x:c>
      <x:c r="B56" t="s">
        <x:v>733</x:v>
      </x:c>
      <x:c r="C56" s="31">
        <x:v>70</x:v>
      </x:c>
      <x:c r="D56" t="s">
        <x:v>497</x:v>
      </x:c>
      <x:c r="E56" t="s">
        <x:v>493</x:v>
      </x:c>
      <x:c r="F56" s="31">
        <x:v>1</x:v>
      </x:c>
      <x:c r="G56" s="29" t="s">
        <x:v>766</x:v>
      </x:c>
      <x:c r="H56" s="29" t="s">
        <x:v>208</x:v>
      </x:c>
      <x:c r="I56" t="str">
        <x:f>IFERROR(VLOOKUP(E56,Parts!$A$2:$S$200,4,FALSE()),"")</x:f>
        <x:v>4,7 µF, 50 V, X7R, ±10 %, 1210</x:v>
      </x:c>
      <x:c r="J56" t="str">
        <x:f>IFERROR(VLOOKUP(E56,Parts!$A$2:$S$200,5,FALSE()),"")</x:f>
        <x:v>Capacitor_SMD:C_1210_3225Metric_Pad1.33x2.70mm_HandSolder</x:v>
      </x:c>
      <x:c r="K56" s="32" t="n">
        <x:f>SUMIFS(Part_Suppliers!$E$2:$E$300,Part_Suppliers!$A$2:$A$300,$E56,Part_Suppliers!$H$2:$H$300,"Ja")</x:f>
        <x:v>1.19</x:v>
      </x:c>
      <x:c r="L56" s="32">
        <x:f t="shared" si="1"/>
        <x:v>1.19</x:v>
      </x:c>
      <x:c r="M56" t="str">
        <x:f>IFERROR(VLOOKUP($E56,Parts!$A$2:$M$200,12,FALSE()),"")</x:f>
        <x:v>Passende 50-V-/1210-Ausführung für den Ausgang des 24-V-Boosters. Einzelpreis, Stand 2026-09-01; Preis und Verfügbarkeit vor Bestellung prüfen.</x:v>
      </x:c>
    </x:row>
    <x:row r="57" ht="15">
      <x:c r="A57" t="s">
        <x:v>743</x:v>
      </x:c>
      <x:c r="B57" t="s">
        <x:v>733</x:v>
      </x:c>
      <x:c r="C57" s="31">
        <x:v>80</x:v>
      </x:c>
      <x:c r="D57" t="s">
        <x:v>770</x:v>
      </x:c>
      <x:c r="E57" t="s">
        <x:v>231</x:v>
      </x:c>
      <x:c r="F57" s="31">
        <x:v>1</x:v>
      </x:c>
      <x:c r="G57" s="29" t="s">
        <x:v>766</x:v>
      </x:c>
      <x:c r="H57" s="29" t="s">
        <x:v>208</x:v>
      </x:c>
      <x:c r="I57" t="str">
        <x:f>IFERROR(VLOOKUP(E57,Parts!$A$2:$S$200,4,FALSE()),"")</x:f>
        <x:v>BAT54S</x:v>
      </x:c>
      <x:c r="J57" t="str">
        <x:f>IFERROR(VLOOKUP(E57,Parts!$A$2:$S$200,5,FALSE()),"")</x:f>
        <x:v>Package_TO_SOT_SMD:SOT-23</x:v>
      </x:c>
      <x:c r="K57" s="32" t="n">
        <x:f>SUMIFS(Part_Suppliers!$E$2:$E$300,Part_Suppliers!$A$2:$A$300,$E57,Part_Suppliers!$H$2:$H$300,"Ja")</x:f>
        <x:v>0.04</x:v>
      </x:c>
      <x:c r="L57" s="32">
        <x:f t="shared" si="1"/>
        <x:v>0.04</x:v>
      </x:c>
      <x:c r="M57" t="str">
        <x:f>IFERROR(VLOOKUP($E57,Parts!$A$2:$M$200,12,FALSE()),"")</x:f>
        <x:v>Aktuelles AnalogHydroPressure verwendet SOT-23 und stimmt damit mit dem Artikel-Footprint überein; Gehäuse der bestellten Variante dennoch prüfen.</x:v>
      </x:c>
    </x:row>
    <x:row r="58" ht="15">
      <x:c r="A58" t="s">
        <x:v>743</x:v>
      </x:c>
      <x:c r="B58" t="s">
        <x:v>733</x:v>
      </x:c>
      <x:c r="C58" s="31">
        <x:v>90</x:v>
      </x:c>
      <x:c r="D58" t="s">
        <x:v>504</x:v>
      </x:c>
      <x:c r="E58" t="s">
        <x:v>500</x:v>
      </x:c>
      <x:c r="F58" s="31">
        <x:v>1</x:v>
      </x:c>
      <x:c r="G58" s="29" t="s">
        <x:v>766</x:v>
      </x:c>
      <x:c r="H58" s="29" t="s">
        <x:v>208</x:v>
      </x:c>
      <x:c r="I58" t="str">
        <x:f>IFERROR(VLOOKUP(E58,Parts!$A$2:$S$200,4,FALSE()),"")</x:f>
        <x:v>Typ und elektrische Daten offen</x:v>
      </x:c>
      <x:c r="J58" t="str">
        <x:f>IFERROR(VLOOKUP(E58,Parts!$A$2:$S$200,5,FALSE()),"")</x:f>
        <x:v>Diode_SMD:D_SOD-323F</x:v>
      </x:c>
      <x:c r="K58" s="32" t="n">
        <x:f>SUMIFS(Part_Suppliers!$E$2:$E$300,Part_Suppliers!$A$2:$A$300,$E58,Part_Suppliers!$H$2:$H$300,"Ja")</x:f>
        <x:v>0</x:v>
      </x:c>
      <x:c r="L58" s="32">
        <x:f t="shared" si="1"/>
        <x:v>0</x:v>
      </x:c>
      <x:c r="M58" t="str">
        <x:f>IFERROR(VLOOKUP($E58,Parts!$A$2:$M$200,12,FALSE()),"")</x:f>
        <x:v>Schema enthält nur den generischen Wert D_Schottky; Sperrspannung, Strom, Hersteller und MPN festlegen. Einkaufsdaten bleiben offen, bis Sperrspannung und Strombelastbarkeit festgelegt sind.</x:v>
      </x:c>
    </x:row>
    <x:row r="59" ht="15">
      <x:c r="A59" t="s">
        <x:v>743</x:v>
      </x:c>
      <x:c r="B59" t="s">
        <x:v>733</x:v>
      </x:c>
      <x:c r="C59" s="31">
        <x:v>100</x:v>
      </x:c>
      <x:c r="D59" t="s">
        <x:v>426</x:v>
      </x:c>
      <x:c r="E59" t="s">
        <x:v>429</x:v>
      </x:c>
      <x:c r="F59" s="31">
        <x:v>1</x:v>
      </x:c>
      <x:c r="G59" s="29" t="s">
        <x:v>766</x:v>
      </x:c>
      <x:c r="H59" s="29" t="s">
        <x:v>208</x:v>
      </x:c>
      <x:c r="I59" t="str">
        <x:f>IFERROR(VLOOKUP(E59,Parts!$A$2:$S$200,4,FALSE()),"")</x:f>
        <x:v>2x7, 2,54 mm, THT, vertikal, vergoldet, 6,1 mm Stecklänge, 3,0 mm Lötstift</x:v>
      </x:c>
      <x:c r="J59" t="str">
        <x:f>IFERROR(VLOOKUP(E59,Parts!$A$2:$S$200,5,FALSE()),"")</x:f>
        <x:v>EnvNode-Footprints:PinHeader_2x07_P2.54mm_Vertical_Bottom</x:v>
      </x:c>
      <x:c r="K59" s="32" t="n">
        <x:f>SUMIFS(Part_Suppliers!$E$2:$E$300,Part_Suppliers!$A$2:$A$300,$E59,Part_Suppliers!$H$2:$H$300,"Ja")</x:f>
        <x:v>0.3</x:v>
      </x:c>
      <x:c r="L59" s="32">
        <x:f t="shared" si="1"/>
        <x:v>0.3</x:v>
      </x:c>
      <x:c r="M59" t="str">
        <x:f>IFERROR(VLOOKUP($E59,Parts!$A$2:$M$200,12,FALSE()),"")</x:f>
        <x: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v>
      </x:c>
    </x:row>
    <x:row r="60" ht="15">
      <x:c r="A60" t="s">
        <x:v>743</x:v>
      </x:c>
      <x:c r="B60" t="s">
        <x:v>733</x:v>
      </x:c>
      <x:c r="C60" s="31">
        <x:v>110</x:v>
      </x:c>
      <x:c r="D60" t="s">
        <x:v>773</x:v>
      </x:c>
      <x:c r="E60" t="s">
        <x:v>247</x:v>
      </x:c>
      <x:c r="F60" s="31">
        <x:v>1</x:v>
      </x:c>
      <x:c r="G60" s="29" t="s">
        <x:v>766</x:v>
      </x:c>
      <x:c r="H60" s="29" t="s">
        <x:v>208</x:v>
      </x:c>
      <x:c r="I60" t="str">
        <x:f>IFERROR(VLOOKUP(E60,Parts!$A$2:$S$200,4,FALSE()),"")</x:f>
        <x:v>1x2, 2,54 mm</x:v>
      </x:c>
      <x:c r="J60" t="str">
        <x:f>IFERROR(VLOOKUP(E60,Parts!$A$2:$S$200,5,FALSE()),"")</x:f>
        <x:v>Connector_PinSocket_2.54mm:PinSocket_1x02_P2.54mm_Vertical</x:v>
      </x:c>
      <x:c r="K60" s="32" t="n">
        <x:f>SUMIFS(Part_Suppliers!$E$2:$E$300,Part_Suppliers!$A$2:$A$300,$E60,Part_Suppliers!$H$2:$H$300,"Ja")</x:f>
        <x:v>0</x:v>
      </x:c>
      <x:c r="L60" s="32">
        <x:f t="shared" si="1"/>
        <x:v>0</x:v>
      </x:c>
      <x:c r="M60" t="str">
        <x:f>IFERROR(VLOOKUP($E60,Parts!$A$2:$M$200,12,FALSE()),"")</x:f>
      </x:c>
    </x:row>
    <x:row r="61" ht="15">
      <x:c r="A61" t="s">
        <x:v>743</x:v>
      </x:c>
      <x:c r="B61" t="s">
        <x:v>733</x:v>
      </x:c>
      <x:c r="C61" s="31">
        <x:v>120</x:v>
      </x:c>
      <x:c r="D61" t="s">
        <x:v>513</x:v>
      </x:c>
      <x:c r="E61" t="s">
        <x:v>507</x:v>
      </x:c>
      <x:c r="F61" s="31">
        <x:v>1</x:v>
      </x:c>
      <x:c r="G61" s="29" t="s">
        <x:v>766</x:v>
      </x:c>
      <x:c r="H61" s="29" t="s">
        <x:v>208</x:v>
      </x:c>
      <x:c r="I61" t="str">
        <x:f>IFERROR(VLOOKUP(E61,Parts!$A$2:$S$200,4,FALSE()),"")</x:f>
        <x:v>0,68 µH, 8,2 A, DCR 9 mΩ, WE-MAPI 3012</x:v>
      </x:c>
      <x:c r="J61" t="str">
        <x:f>IFERROR(VLOOKUP(E61,Parts!$A$2:$S$200,5,FALSE()),"")</x:f>
        <x:v>Inductor_SMD:L_Wuerth_MAPI-3012</x:v>
      </x:c>
      <x:c r="K61" s="32" t="n">
        <x:f>SUMIFS(Part_Suppliers!$E$2:$E$300,Part_Suppliers!$A$2:$A$300,$E61,Part_Suppliers!$H$2:$H$300,"Ja")</x:f>
        <x:v>1.66</x:v>
      </x:c>
      <x:c r="L61" s="32">
        <x:f t="shared" si="1"/>
        <x:v>1.66</x:v>
      </x:c>
      <x:c r="M61" t="str">
        <x:f>IFERROR(VLOOKUP($E61,Parts!$A$2:$M$200,12,FALSE()),"")</x:f>
        <x:v>Exakte MAPI-3012-Ausführung: 680 nH, 8,2 A, DCR 9 mΩ, AEC-Q200. Einzelpreis, Stand 2026-09-01; Preis und Verfügbarkeit vor Bestellung prüfen.</x:v>
      </x:c>
    </x:row>
    <x:row r="62" ht="15">
      <x:c r="A62" t="s">
        <x:v>743</x:v>
      </x:c>
      <x:c r="B62" t="s">
        <x:v>733</x:v>
      </x:c>
      <x:c r="C62" s="31">
        <x:v>130</x:v>
      </x:c>
      <x:c r="D62" t="s">
        <x:v>776</x:v>
      </x:c>
      <x:c r="E62" t="s">
        <x:v>46</x:v>
      </x:c>
      <x:c r="F62" s="31">
        <x:v>1</x:v>
      </x:c>
      <x:c r="G62" s="29" t="s">
        <x:v>766</x:v>
      </x:c>
      <x:c r="H62" s="29" t="s">
        <x:v>208</x:v>
      </x:c>
      <x:c r="I62" t="str">
        <x:f>IFERROR(VLOOKUP(E62,Parts!$A$2:$S$200,4,FALSE()),"")</x:f>
        <x:v>4,7 kΩ, 1 %, 250 mW</x:v>
      </x:c>
      <x:c r="J62" t="str">
        <x:f>IFERROR(VLOOKUP(E62,Parts!$A$2:$S$200,5,FALSE()),"")</x:f>
        <x:v>Resistor_SMD:R_1206_3216Metric_Pad1.30x1.75mm_HandSolder</x:v>
      </x:c>
      <x:c r="K62" s="32" t="n">
        <x:f>SUMIFS(Part_Suppliers!$E$2:$E$300,Part_Suppliers!$A$2:$A$300,$E62,Part_Suppliers!$H$2:$H$300,"Ja")</x:f>
        <x:v>0.15</x:v>
      </x:c>
      <x:c r="L62" s="32">
        <x:f t="shared" si="1"/>
        <x:v>0.15</x:v>
      </x:c>
      <x:c r="M62" t="str">
        <x:f>IFERROR(VLOOKUP($E62,Parts!$A$2:$M$200,12,FALSE()),"")</x:f>
        <x:v>I2C-Pull-ups für die beiden I2C-Busse</x:v>
      </x:c>
    </x:row>
    <x:row r="63" ht="15">
      <x:c r="A63" t="s">
        <x:v>743</x:v>
      </x:c>
      <x:c r="B63" t="s">
        <x:v>733</x:v>
      </x:c>
      <x:c r="C63" s="31">
        <x:v>140</x:v>
      </x:c>
      <x:c r="D63" t="s">
        <x:v>152</x:v>
      </x:c>
      <x:c r="E63" t="s">
        <x:v>253</x:v>
      </x:c>
      <x:c r="F63" s="31">
        <x:v>1</x:v>
      </x:c>
      <x:c r="G63" s="29" t="s">
        <x:v>766</x:v>
      </x:c>
      <x:c r="H63" s="29" t="s">
        <x:v>208</x:v>
      </x:c>
      <x:c r="I63" t="str">
        <x:f>IFERROR(VLOOKUP(E63,Parts!$A$2:$S$200,4,FALSE()),"")</x:f>
        <x:v>150 Ω, 0,1 %, ≤25 ppm/K, &gt;0,125 W</x:v>
      </x:c>
      <x:c r="J63" t="str">
        <x:f>IFERROR(VLOOKUP(E63,Parts!$A$2:$S$200,5,FALSE()),"")</x:f>
        <x:v>Resistor_THT:R_Axial_DIN0207_L6.3mm_D2.5mm_P7.62mm_Horizontal</x:v>
      </x:c>
      <x:c r="K63" s="32" t="n">
        <x:f>SUMIFS(Part_Suppliers!$E$2:$E$300,Part_Suppliers!$A$2:$A$300,$E63,Part_Suppliers!$H$2:$H$300,"Ja")</x:f>
        <x:v>1.3</x:v>
      </x:c>
      <x:c r="L63" s="32">
        <x:f t="shared" si="1"/>
        <x:v>1.3</x:v>
      </x:c>
      <x:c r="M63" t="str">
        <x:f>IFERROR(VLOOKUP($E63,Parts!$A$2:$M$200,12,FALSE()),"")</x:f>
      </x:c>
    </x:row>
    <x:row r="64" ht="15">
      <x:c r="A64" t="s">
        <x:v>743</x:v>
      </x:c>
      <x:c r="B64" t="s">
        <x:v>733</x:v>
      </x:c>
      <x:c r="C64" s="31">
        <x:v>150</x:v>
      </x:c>
      <x:c r="D64" t="s">
        <x:v>521</x:v>
      </x:c>
      <x:c r="E64" t="s">
        <x:v>517</x:v>
      </x:c>
      <x:c r="F64" s="31">
        <x:v>1</x:v>
      </x:c>
      <x:c r="G64" s="29" t="s">
        <x:v>766</x:v>
      </x:c>
      <x:c r="H64" s="29" t="s">
        <x:v>208</x:v>
      </x:c>
      <x:c r="I64" t="str">
        <x:f>IFERROR(VLOOKUP(E64,Parts!$A$2:$S$200,4,FALSE()),"")</x:f>
        <x:v>1 MΩ, 1 %, 0,25 W, 1206</x:v>
      </x:c>
      <x:c r="J64" t="str">
        <x:f>IFERROR(VLOOKUP(E64,Parts!$A$2:$S$200,5,FALSE()),"")</x:f>
        <x:v>Resistor_SMD:R_1206_3216Metric_Pad1.30x1.75mm_HandSolder</x:v>
      </x:c>
      <x:c r="K64" s="32" t="n">
        <x:f>SUMIFS(Part_Suppliers!$E$2:$E$300,Part_Suppliers!$A$2:$A$300,$E64,Part_Suppliers!$H$2:$H$300,"Ja")</x:f>
        <x:v>0.18</x:v>
      </x:c>
      <x:c r="L64" s="32">
        <x:f t="shared" si="1"/>
        <x:v>0.18</x:v>
      </x:c>
      <x:c r="M64" t="str">
        <x:f>IFERROR(VLOOKUP($E64,Parts!$A$2:$M$200,12,FALSE()),"")</x:f>
        <x:v>Elektrisch und mechanisch passend. Einzelpreis, Stand 2026-09-01; Preis und Verfügbarkeit vor Bestellung prüfen.</x:v>
      </x:c>
    </x:row>
    <x:row r="65" ht="15">
      <x:c r="A65" t="s">
        <x:v>743</x:v>
      </x:c>
      <x:c r="B65" t="s">
        <x:v>733</x:v>
      </x:c>
      <x:c r="C65" s="31">
        <x:v>160</x:v>
      </x:c>
      <x:c r="D65" t="s">
        <x:v>528</x:v>
      </x:c>
      <x:c r="E65" t="s">
        <x:v>524</x:v>
      </x:c>
      <x:c r="F65" s="31">
        <x:v>1</x:v>
      </x:c>
      <x:c r="G65" s="29" t="s">
        <x:v>766</x:v>
      </x:c>
      <x:c r="H65" s="29" t="s">
        <x:v>208</x:v>
      </x:c>
      <x:c r="I65" t="str">
        <x:f>IFERROR(VLOOKUP(E65,Parts!$A$2:$S$200,4,FALSE()),"")</x:f>
        <x:v>71,5 kΩ, 1 %, 0,25 W, 1206</x:v>
      </x:c>
      <x:c r="J65" t="str">
        <x:f>IFERROR(VLOOKUP(E65,Parts!$A$2:$S$200,5,FALSE()),"")</x:f>
        <x:v>Resistor_SMD:R_1206_3216Metric_Pad1.30x1.75mm_HandSolder</x:v>
      </x:c>
      <x:c r="K65" s="32" t="n">
        <x:f>SUMIFS(Part_Suppliers!$E$2:$E$300,Part_Suppliers!$A$2:$A$300,$E65,Part_Suppliers!$H$2:$H$300,"Ja")</x:f>
        <x:v>0.09</x:v>
      </x:c>
      <x:c r="L65" s="32">
        <x:f t="shared" si="1"/>
        <x:v>0.09</x:v>
      </x:c>
      <x:c r="M65" t="str">
        <x:f>IFERROR(VLOOKUP($E65,Parts!$A$2:$M$200,12,FALSE()),"")</x:f>
        <x:v>Exakter Wert für den Feedback-Widerstand; DigiKey-Bestellnummer auf der Produktseite vor Bestellung ergänzen. Einzelpreis, Stand 2026-09-01; Preis und Verfügbarkeit vor Bestellung prüfen.</x:v>
      </x:c>
    </x:row>
    <x:row r="66" ht="15">
      <x:c r="A66" t="s">
        <x:v>743</x:v>
      </x:c>
      <x:c r="B66" t="s">
        <x:v>733</x:v>
      </x:c>
      <x:c r="C66" s="31">
        <x:v>170</x:v>
      </x:c>
      <x:c r="D66" t="s">
        <x:v>789</x:v>
      </x:c>
      <x:c r="E66" t="s">
        <x:v>133</x:v>
      </x:c>
      <x:c r="F66" s="31">
        <x:v>1</x:v>
      </x:c>
      <x:c r="G66" s="29" t="s">
        <x:v>766</x:v>
      </x:c>
      <x:c r="H66" s="29" t="s">
        <x:v>208</x:v>
      </x:c>
      <x:c r="I66" t="str">
        <x:f>IFERROR(VLOOKUP(E66,Parts!$A$2:$S$200,4,FALSE()),"")</x:f>
        <x:v>100 kΩ, 0,1 %, 250 mW</x:v>
      </x:c>
      <x:c r="J66" t="str">
        <x:f>IFERROR(VLOOKUP(E66,Parts!$A$2:$S$200,5,FALSE()),"")</x:f>
        <x:v>Resistor_SMD:R_1206_3216Metric_Pad1.30x1.75mm_HandSolder</x:v>
      </x:c>
      <x:c r="K66" s="32" t="n">
        <x:f>SUMIFS(Part_Suppliers!$E$2:$E$300,Part_Suppliers!$A$2:$A$300,$E66,Part_Suppliers!$H$2:$H$300,"Ja")</x:f>
        <x:v>0.83</x:v>
      </x:c>
      <x:c r="L66" s="32" t="n">
        <x:f t="shared" ref="L66:L84" si="2">F66*K66</x:f>
        <x:v>0.83</x:v>
      </x:c>
      <x:c r="M66" t="str">
        <x:f>IFERROR(VLOOKUP($E66,Parts!$A$2:$M$200,12,FALSE()),"")</x:f>
        <x:v>Lieferanten-Bestellnummer in der Altdatei enthält vermischte Angaben.</x:v>
      </x:c>
    </x:row>
    <x:row r="67" ht="15">
      <x:c r="A67" t="s">
        <x:v>743</x:v>
      </x:c>
      <x:c r="B67" t="s">
        <x:v>733</x:v>
      </x:c>
      <x:c r="C67" s="31">
        <x:v>180</x:v>
      </x:c>
      <x:c r="D67" t="s">
        <x:v>537</x:v>
      </x:c>
      <x:c r="E67" t="s">
        <x:v>532</x:v>
      </x:c>
      <x:c r="F67" s="31">
        <x:v>1</x:v>
      </x:c>
      <x:c r="G67" s="29" t="s">
        <x:v>766</x:v>
      </x:c>
      <x:c r="H67" s="29" t="s">
        <x:v>208</x:v>
      </x:c>
      <x:c r="I67" t="str">
        <x:f>IFERROR(VLOOKUP(E67,Parts!$A$2:$S$200,4,FALSE()),"")</x:f>
        <x:v>220 kΩ, 1 %, 0,25 W, 1206</x:v>
      </x:c>
      <x:c r="J67" t="str">
        <x:f>IFERROR(VLOOKUP(E67,Parts!$A$2:$S$200,5,FALSE()),"")</x:f>
        <x:v>Resistor_SMD:R_1206_3216Metric_Pad1.30x1.75mm_HandSolder</x:v>
      </x:c>
      <x:c r="K67" s="32" t="n">
        <x:f>SUMIFS(Part_Suppliers!$E$2:$E$300,Part_Suppliers!$A$2:$A$300,$E67,Part_Suppliers!$H$2:$H$300,"Ja")</x:f>
        <x:v>0.07</x:v>
      </x:c>
      <x:c r="L67" s="32">
        <x:f t="shared" si="2"/>
        <x:v>7.0000000000000007E-2</x:v>
      </x:c>
      <x:c r="M67" t="str">
        <x:f>IFERROR(VLOOKUP($E67,Parts!$A$2:$M$200,12,FALSE()),"")</x:f>
        <x:v>Exakte 1-%-Ausführung; der gefundene Reichelt-Typ mit 5 % wurde nicht übernommen. Einzelpreis, Stand 2026-09-01; Preis und Verfügbarkeit vor Bestellung prüfen.</x:v>
      </x:c>
    </x:row>
    <x:row r="68" ht="15">
      <x:c r="A68" t="s">
        <x:v>743</x:v>
      </x:c>
      <x:c r="B68" t="s">
        <x:v>733</x:v>
      </x:c>
      <x:c r="C68" s="31">
        <x:v>190</x:v>
      </x:c>
      <x:c r="D68" t="s">
        <x:v>548</x:v>
      </x:c>
      <x:c r="E68" t="s">
        <x:v>541</x:v>
      </x:c>
      <x:c r="F68" s="31">
        <x:v>1</x:v>
      </x:c>
      <x:c r="G68" s="29" t="s">
        <x:v>766</x:v>
      </x:c>
      <x:c r="H68" s="29" t="s">
        <x:v>208</x:v>
      </x:c>
      <x:c r="I68" t="str">
        <x:f>IFERROR(VLOOKUP(E68,Parts!$A$2:$S$200,4,FALSE()),"")</x:f>
        <x:v>DPDT</x:v>
      </x:c>
      <x:c r="J68" t="str">
        <x:f>IFERROR(VLOOKUP(E68,Parts!$A$2:$S$200,5,FALSE()),"")</x:f>
        <x:v>EnvNode-Footprints:SW_Slide_CK_OS202011MS2QS1</x:v>
      </x:c>
      <x:c r="K68" s="32" t="n">
        <x:f>SUMIFS(Part_Suppliers!$E$2:$E$300,Part_Suppliers!$A$2:$A$300,$E68,Part_Suppliers!$H$2:$H$300,"Ja")</x:f>
        <x:v>0.92</x:v>
      </x:c>
      <x:c r="L68" s="32">
        <x:f t="shared" si="2"/>
        <x:v>0.92</x:v>
      </x:c>
      <x:c r="M68" t="str">
        <x:f>IFERROR(VLOOKUP($E68,Parts!$A$2:$M$200,12,FALSE()),"")</x:f>
        <x:v>Exakt der dem Projekt-Footprint zugrunde liegende DPDT-On-On-Schalter. Einzelpreis, Stand 2026-09-01; Preis und Verfügbarkeit vor Bestellung prüfen.</x:v>
      </x:c>
    </x:row>
    <x:row r="69" ht="15">
      <x:c r="A69" t="s">
        <x:v>743</x:v>
      </x:c>
      <x:c r="B69" t="s">
        <x:v>733</x:v>
      </x:c>
      <x:c r="C69" s="31">
        <x:v>200</x:v>
      </x:c>
      <x:c r="D69" t="s">
        <x:v>778</x:v>
      </x:c>
      <x:c r="E69" t="s">
        <x:v>718</x:v>
      </x:c>
      <x:c r="F69" s="31">
        <x:v>1</x:v>
      </x:c>
      <x:c r="G69" s="29" t="s">
        <x:v>766</x:v>
      </x:c>
      <x:c r="H69" s="29" t="s">
        <x:v>208</x:v>
      </x:c>
      <x:c r="I69" t="str">
        <x:f>IFERROR(VLOOKUP(E69,Parts!$A$2:$S$200,4,FALSE()),"")</x:f>
        <x:v>32 Kbit, I²C, 2,5–5,5 V</x:v>
      </x:c>
      <x:c r="J69" t="str">
        <x:f>IFERROR(VLOOKUP(E69,Parts!$A$2:$S$200,5,FALSE()),"")</x:f>
        <x:v>Package_SO:SOIC-8_3.9x4.9mm_P1.27mm</x:v>
      </x:c>
      <x:c r="K69" s="32" t="n">
        <x:f>SUMIFS(Part_Suppliers!$E$2:$E$300,Part_Suppliers!$A$2:$A$300,$E69,Part_Suppliers!$H$2:$H$300,"Ja")</x:f>
        <x:v>0.39</x:v>
      </x:c>
      <x:c r="L69" s="32">
        <x:f t="shared" si="2"/>
        <x:v>0</x:v>
      </x:c>
      <x:c r="M69" t="str">
        <x:f>IFERROR(VLOOKUP($E69,Parts!$A$2:$M$200,12,FALSE()),"")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</x:row>
    <x:row r="70" ht="15">
      <x:c r="A70" t="s">
        <x:v>743</x:v>
      </x:c>
      <x:c r="B70" t="s">
        <x:v>733</x:v>
      </x:c>
      <x:c r="C70">
        <x:v>210</x:v>
      </x:c>
      <x:c r="D70" t="s">
        <x:v>356</x:v>
      </x:c>
      <x:c r="E70" t="s">
        <x:v>218</x:v>
      </x:c>
      <x:c r="F70">
        <x:v>1</x:v>
      </x:c>
      <x:c r="G70" s="29" t="s">
        <x:v>766</x:v>
      </x:c>
      <x:c r="H70" s="29" t="s">
        <x:v>208</x:v>
      </x:c>
      <x:c r="I70" t="str">
        <x:f>IFERROR(VLOOKUP(E70,Parts!$A$2:$S$200,4,FALSE()),"")</x:f>
        <x:v>ADS1115IDGS</x:v>
      </x:c>
      <x:c r="J70" t="str">
        <x:f>IFERROR(VLOOKUP(E70,Parts!$A$2:$S$200,5,FALSE()),"")</x:f>
        <x:v>Package_SO:TSSOP-10_3x3mm_P0.5mm</x:v>
      </x:c>
      <x:c r="K70" s="32" t="n">
        <x:f>SUMIFS(Part_Suppliers!$E$2:$E$300,Part_Suppliers!$A$2:$A$300,$E70,Part_Suppliers!$H$2:$H$300,"Ja")</x:f>
        <x:v>0</x:v>
      </x:c>
      <x:c r="L70" s="32">
        <x:f t="shared" si="2"/>
        <x:v>0</x:v>
      </x:c>
      <x:c r="M70" t="str">
        <x:f>IFERROR(VLOOKUP($E70,Parts!$A$2:$M$200,12,FALSE()),"")</x:f>
        <x:v>Nicht mit dem vorhandenen ADS1115-Entwicklungsboard zusammenführen.</x:v>
      </x:c>
    </x:row>
    <x:row r="71" ht="15">
      <x:c r="A71" t="s">
        <x:v>743</x:v>
      </x:c>
      <x:c r="B71" t="s">
        <x:v>733</x:v>
      </x:c>
      <x:c r="C71">
        <x:v>220</x:v>
      </x:c>
      <x:c r="D71" t="s">
        <x:v>556</x:v>
      </x:c>
      <x:c r="E71" t="s">
        <x:v>551</x:v>
      </x:c>
      <x:c r="F71">
        <x:v>1</x:v>
      </x:c>
      <x:c r="G71" s="29" t="s">
        <x:v>766</x:v>
      </x:c>
      <x:c r="H71" s="29" t="s">
        <x:v>208</x:v>
      </x:c>
      <x:c r="I71" t="str">
        <x:f>IFERROR(VLOOKUP(E71,Parts!$A$2:$S$200,4,FALSE()),"")</x:f>
        <x:v>LT8330, 3…40 V Eingang, 60 V/1 A Schalter, TSOT-23-6</x:v>
      </x:c>
      <x:c r="J71" t="str">
        <x:f>IFERROR(VLOOKUP(E71,Parts!$A$2:$S$200,5,FALSE()),"")</x:f>
        <x:v>Package_TO_SOT_SMD:SOT-23-6</x:v>
      </x:c>
      <x:c r="K71" s="32" t="n">
        <x:f>SUMIFS(Part_Suppliers!$E$2:$E$300,Part_Suppliers!$A$2:$A$300,$E71,Part_Suppliers!$H$2:$H$300,"Ja")</x:f>
        <x:v>7.11</x:v>
      </x:c>
      <x:c r="L71" s="32">
        <x:f t="shared" si="2"/>
        <x:v>7.11</x:v>
      </x:c>
      <x:c r="M71" t="str">
        <x:f>IFERROR(VLOOKUP($E71,Parts!$A$2:$M$200,12,FALSE()),"")</x:f>
        <x:v>Bestellbare E-Temperaturvariante im geforderten TSOT-23-6, Cut Tape. Einzelpreis, Stand 2026-09-01; Preis und Verfügbarkeit vor Bestellung prüfen.</x:v>
      </x:c>
    </x:row>
    <x:row r="72" ht="15">
      <x:c r="A72" t="s">
        <x:v>743</x:v>
      </x:c>
      <x:c r="B72" t="s">
        <x:v>733</x:v>
      </x:c>
      <x:c r="C72">
        <x:v>230</x:v>
      </x:c>
      <x:c r="E72" t="s">
        <x:v>560</x:v>
      </x:c>
      <x:c r="F72">
        <x:v>1</x:v>
      </x:c>
      <x:c r="G72" s="29" t="s">
        <x:v>766</x:v>
      </x:c>
      <x:c r="H72" s="29" t="s">
        <x:v>100</x:v>
      </x:c>
      <x:c r="I72" t="str">
        <x:f>IFERROR(VLOOKUP(E72,Parts!$A$2:$S$200,4,FALSE()),"")</x:f>
        <x:v>Revision 0.2</x:v>
      </x:c>
      <x:c r="J72" t="str">
        <x:f>IFERROR(VLOOKUP(E72,Parts!$A$2:$S$200,5,FALSE()),"")</x:f>
        <x:v>PCB: Modules/FullSize/AnalogHydroPressure/AnalogHydroPressure.kicad_pcb</x:v>
      </x:c>
      <x:c r="K72" s="32" t="n">
        <x:f>SUMIFS(Part_Suppliers!$E$2:$E$300,Part_Suppliers!$A$2:$A$300,$E72,Part_Suppliers!$H$2:$H$300,"Ja")</x:f>
        <x:v>0</x:v>
      </x:c>
      <x:c r="L72" s="32">
        <x:f t="shared" si="2"/>
        <x:v>0</x:v>
      </x:c>
      <x:c r="M72" t="str">
        <x:f>IFERROR(VLOOKUP($E72,Parts!$A$2:$M$200,12,FALSE()),"")</x:f>
        <x:v>Aktueller KiCad-Stand einschließlich Busumschaltung auf Modulseite und F.Cu-Backfill; Fertiger und Fertigungsvariante festlegen.</x:v>
      </x:c>
    </x:row>
    <x:row r="73" ht="15">
      <x:c r="A73" t="s">
        <x:v>748</x:v>
      </x:c>
      <x:c r="B73" t="s">
        <x:v>750</x:v>
      </x:c>
      <x:c r="C73">
        <x:v>10</x:v>
      </x:c>
      <x:c r="D73" t="s">
        <x:v>765</x:v>
      </x:c>
      <x:c r="E73" t="s">
        <x:v>56</x:v>
      </x:c>
      <x:c r="F73">
        <x:v>1</x:v>
      </x:c>
      <x:c r="G73" s="29" t="s">
        <x:v>766</x:v>
      </x:c>
      <x:c r="H73" s="29" t="s">
        <x:v>208</x:v>
      </x:c>
      <x:c r="I73" t="str">
        <x:f>IFERROR(VLOOKUP(E73,Parts!$A$2:$S$200,4,FALSE()),"")</x:f>
        <x:v>100 nF, 10 %, X7R, 100 V</x:v>
      </x:c>
      <x:c r="J73" t="str">
        <x:f>IFERROR(VLOOKUP(E73,Parts!$A$2:$S$200,5,FALSE()),"")</x:f>
        <x:v>Capacitor_SMD:C_1206_3216Metric_Pad1.33x1.80mm_HandSolder</x:v>
      </x:c>
      <x:c r="K73" s="32" t="n">
        <x:f>SUMIFS(Part_Suppliers!$E$2:$E$300,Part_Suppliers!$A$2:$A$300,$E73,Part_Suppliers!$H$2:$H$300,"Ja")</x:f>
        <x:v>0.24</x:v>
      </x:c>
      <x:c r="L73" s="32">
        <x:f t="shared" si="2"/>
        <x:v>0.24</x:v>
      </x:c>
      <x:c r="M73" t="str">
        <x:f>IFERROR(VLOOKUP($E73,Parts!$A$2:$M$200,12,FALSE()),"")</x:f>
        <x:v>Spannungsfestigkeit, Dielektrikum und Bauform vor Bestellung gegen Schaltplan und Footprint prüfen; C1 ist in allen vier aktuellen Empty-Schemata derzeit DNP; C1 ist im aktuellen DuoRelay-Schema derzeit DNP</x:v>
      </x:c>
    </x:row>
    <x:row r="74" ht="15">
      <x:c r="A74" t="s">
        <x:v>748</x:v>
      </x:c>
      <x:c r="B74" t="s">
        <x:v>750</x:v>
      </x:c>
      <x:c r="C74">
        <x:v>20</x:v>
      </x:c>
      <x:c r="D74" t="s">
        <x:v>426</x:v>
      </x:c>
      <x:c r="E74" t="s">
        <x:v>154</x:v>
      </x:c>
      <x:c r="F74">
        <x:v>1</x:v>
      </x:c>
      <x:c r="G74" s="29" t="s">
        <x:v>766</x:v>
      </x:c>
      <x:c r="H74" s="29" t="s">
        <x:v>208</x:v>
      </x:c>
      <x:c r="I74" t="str">
        <x:f>IFERROR(VLOOKUP(E74,Parts!$A$2:$S$200,4,FALSE()),"")</x:f>
        <x:v>1x8, 2,54 mm</x:v>
      </x:c>
      <x:c r="J74" t="str">
        <x:f>IFERROR(VLOOKUP(E74,Parts!$A$2:$S$200,5,FALSE()),"")</x:f>
        <x:v>Connector_PinHeader_2.54mm:PinHeader_1x08_P2.54mm_Vertical</x:v>
      </x:c>
      <x:c r="K74" s="32" t="n">
        <x:f>SUMIFS(Part_Suppliers!$E$2:$E$300,Part_Suppliers!$A$2:$A$300,$E74,Part_Suppliers!$H$2:$H$300,"Ja")</x:f>
        <x:v>0.31</x:v>
      </x:c>
      <x:c r="L74" s="32">
        <x:f t="shared" si="2"/>
        <x:v>0.31</x:v>
      </x:c>
      <x:c r="M74" t="str">
        <x:f>IFERROR(VLOOKUP($E74,Parts!$A$2:$M$200,12,FALSE()),"")</x:f>
      </x:c>
    </x:row>
    <x:row r="75" ht="15">
      <x:c r="A75" t="s">
        <x:v>748</x:v>
      </x:c>
      <x:c r="B75" t="s">
        <x:v>750</x:v>
      </x:c>
      <x:c r="C75">
        <x:v>30</x:v>
      </x:c>
      <x:c r="D75" t="s">
        <x:v>772</x:v>
      </x:c>
      <x:c r="E75" t="s">
        <x:v>154</x:v>
      </x:c>
      <x:c r="F75">
        <x:v>1</x:v>
      </x:c>
      <x:c r="G75" s="29" t="s">
        <x:v>766</x:v>
      </x:c>
      <x:c r="H75" s="29" t="s">
        <x:v>208</x:v>
      </x:c>
      <x:c r="I75" t="str">
        <x:f>IFERROR(VLOOKUP(E75,Parts!$A$2:$S$200,4,FALSE()),"")</x:f>
        <x:v>1x8, 2,54 mm</x:v>
      </x:c>
      <x:c r="J75" t="str">
        <x:f>IFERROR(VLOOKUP(E75,Parts!$A$2:$S$200,5,FALSE()),"")</x:f>
        <x:v>Connector_PinHeader_2.54mm:PinHeader_1x08_P2.54mm_Vertical</x:v>
      </x:c>
      <x:c r="K75" s="32" t="n">
        <x:f>SUMIFS(Part_Suppliers!$E$2:$E$300,Part_Suppliers!$A$2:$A$300,$E75,Part_Suppliers!$H$2:$H$300,"Ja")</x:f>
        <x:v>0.31</x:v>
      </x:c>
      <x:c r="L75" s="32">
        <x:f t="shared" si="2"/>
        <x:v>0.31</x:v>
      </x:c>
      <x:c r="M75" t="str">
        <x:f>IFERROR(VLOOKUP($E75,Parts!$A$2:$M$200,12,FALSE()),"")</x:f>
      </x:c>
    </x:row>
    <x:row r="76" ht="15">
      <x:c r="A76" t="s">
        <x:v>748</x:v>
      </x:c>
      <x:c r="B76" t="s">
        <x:v>750</x:v>
      </x:c>
      <x:c r="C76">
        <x:v>40</x:v>
      </x:c>
      <x:c r="D76" t="s">
        <x:v>773</x:v>
      </x:c>
      <x:c r="E76" t="s">
        <x:v>30</x:v>
      </x:c>
      <x:c r="F76">
        <x:v>1</x:v>
      </x:c>
      <x:c r="G76" s="29" t="s">
        <x:v>766</x:v>
      </x:c>
      <x:c r="H76" s="29" t="s">
        <x:v>208</x:v>
      </x:c>
      <x:c r="I76" t="str">
        <x:f>IFERROR(VLOOKUP(E76,Parts!$A$2:$S$200,4,FALSE()),"")</x:f>
        <x:v>1x4, 2,54 mm</x:v>
      </x:c>
      <x:c r="J76" t="str">
        <x:f>IFERROR(VLOOKUP(E76,Parts!$A$2:$S$200,5,FALSE()),"")</x:f>
        <x:v>PinSocket_1x04_P2.54mm_Vertical</x:v>
      </x:c>
      <x:c r="K76" s="32" t="n">
        <x:f>SUMIFS(Part_Suppliers!$E$2:$E$300,Part_Suppliers!$A$2:$A$300,$E76,Part_Suppliers!$H$2:$H$300,"Ja")</x:f>
        <x:v>0.81</x:v>
      </x:c>
      <x:c r="L76" s="32">
        <x:f t="shared" si="2"/>
        <x:v>0.81</x:v>
      </x:c>
      <x:c r="M76" t="str">
        <x:f>IFERROR(VLOOKUP($E76,Parts!$A$2:$M$200,12,FALSE()),"")</x:f>
        <x:v>Für interne Qwiic-Breakouts; Bauhöhe und Ausführung passend zur Mechanik wählen</x:v>
      </x:c>
    </x:row>
    <x:row r="77" ht="15">
      <x:c r="A77" t="s">
        <x:v>748</x:v>
      </x:c>
      <x:c r="B77" t="s">
        <x:v>750</x:v>
      </x:c>
      <x:c r="C77">
        <x:v>50</x:v>
      </x:c>
      <x:c r="D77" t="s">
        <x:v>774</x:v>
      </x:c>
      <x:c r="E77" t="s">
        <x:v>30</x:v>
      </x:c>
      <x:c r="F77">
        <x:v>1</x:v>
      </x:c>
      <x:c r="G77" s="29" t="s">
        <x:v>766</x:v>
      </x:c>
      <x:c r="H77" s="29" t="s">
        <x:v>208</x:v>
      </x:c>
      <x:c r="I77" t="str">
        <x:f>IFERROR(VLOOKUP(E77,Parts!$A$2:$S$200,4,FALSE()),"")</x:f>
        <x:v>1x4, 2,54 mm</x:v>
      </x:c>
      <x:c r="J77" t="str">
        <x:f>IFERROR(VLOOKUP(E77,Parts!$A$2:$S$200,5,FALSE()),"")</x:f>
        <x:v>PinSocket_1x04_P2.54mm_Vertical</x:v>
      </x:c>
      <x:c r="K77" s="32" t="n">
        <x:f>SUMIFS(Part_Suppliers!$E$2:$E$300,Part_Suppliers!$A$2:$A$300,$E77,Part_Suppliers!$H$2:$H$300,"Ja")</x:f>
        <x:v>0.81</x:v>
      </x:c>
      <x:c r="L77" s="32">
        <x:f t="shared" si="2"/>
        <x:v>0.81</x:v>
      </x:c>
      <x:c r="M77" t="str">
        <x:f>IFERROR(VLOOKUP($E77,Parts!$A$2:$M$200,12,FALSE()),"")</x:f>
        <x:v>Für interne Qwiic-Breakouts; Bauhöhe und Ausführung passend zur Mechanik wählen</x:v>
      </x:c>
    </x:row>
    <x:row r="78" ht="15">
      <x:c r="A78" t="s">
        <x:v>748</x:v>
      </x:c>
      <x:c r="B78" t="s">
        <x:v>750</x:v>
      </x:c>
      <x:c r="C78">
        <x:v>60</x:v>
      </x:c>
      <x:c r="D78" t="s">
        <x:v>120</x:v>
      </x:c>
      <x:c r="E78" t="s">
        <x:v>112</x:v>
      </x:c>
      <x:c r="F78">
        <x:v>1</x:v>
      </x:c>
      <x:c r="G78" s="29" t="s">
        <x:v>766</x:v>
      </x:c>
      <x:c r="H78" s="29" t="s">
        <x:v>208</x:v>
      </x:c>
      <x:c r="I78" t="str">
        <x:f>IFERROR(VLOOKUP(E78,Parts!$A$2:$S$200,4,FALSE()),"")</x:f>
        <x:v>N-Kanal, 30 V, 5,7 A</x:v>
      </x:c>
      <x:c r="J78" t="str">
        <x:f>IFERROR(VLOOKUP(E78,Parts!$A$2:$S$200,5,FALSE()),"")</x:f>
        <x:v>Package_TO_SOT_SMD:SOT-23</x:v>
      </x:c>
      <x:c r="K78" s="32" t="n">
        <x:f>SUMIFS(Part_Suppliers!$E$2:$E$300,Part_Suppliers!$A$2:$A$300,$E78,Part_Suppliers!$H$2:$H$300,"Ja")</x:f>
        <x:v>0.18</x:v>
      </x:c>
      <x:c r="L78" s="32">
        <x:f t="shared" si="2"/>
        <x:v>0.18</x:v>
      </x:c>
      <x:c r="M78" t="str">
        <x:f>IFERROR(VLOOKUP($E78,Parts!$A$2:$M$200,12,FALSE()),"")</x:f>
      </x:c>
    </x:row>
    <x:row r="79" ht="15">
      <x:c r="A79" t="s">
        <x:v>748</x:v>
      </x:c>
      <x:c r="B79" t="s">
        <x:v>750</x:v>
      </x:c>
      <x:c r="C79">
        <x:v>70</x:v>
      </x:c>
      <x:c r="D79" t="s">
        <x:v>344</x:v>
      </x:c>
      <x:c r="E79" t="s">
        <x:v>141</x:v>
      </x:c>
      <x:c r="F79">
        <x:v>1</x:v>
      </x:c>
      <x:c r="G79" s="29" t="s">
        <x:v>766</x:v>
      </x:c>
      <x:c r="H79" s="29" t="s">
        <x:v>208</x:v>
      </x:c>
      <x:c r="I79" t="str">
        <x:f>IFERROR(VLOOKUP(E79,Parts!$A$2:$S$200,4,FALSE()),"")</x:f>
        <x:v>100 Ω, 5 %, 250 mW</x:v>
      </x:c>
      <x:c r="J79" t="str">
        <x:f>IFERROR(VLOOKUP(E79,Parts!$A$2:$S$200,5,FALSE()),"")</x:f>
        <x:v>Resistor_SMD:R_1206_3216Metric_Pad1.30x1.75mm_HandSolder</x:v>
      </x:c>
      <x:c r="K79" s="32" t="n">
        <x:f>SUMIFS(Part_Suppliers!$E$2:$E$300,Part_Suppliers!$A$2:$A$300,$E79,Part_Suppliers!$H$2:$H$300,"Ja")</x:f>
        <x:v>0.06</x:v>
      </x:c>
      <x:c r="L79" s="32">
        <x:f t="shared" si="2"/>
        <x:v>0.06</x:v>
      </x:c>
      <x:c r="M79" t="str">
        <x:f>IFERROR(VLOOKUP($E79,Parts!$A$2:$M$200,12,FALSE()),"")</x:f>
      </x:c>
    </x:row>
    <x:row r="80" ht="15">
      <x:c r="A80" t="s">
        <x:v>748</x:v>
      </x:c>
      <x:c r="B80" t="s">
        <x:v>750</x:v>
      </x:c>
      <x:c r="C80">
        <x:v>80</x:v>
      </x:c>
      <x:c r="D80" t="s">
        <x:v>776</x:v>
      </x:c>
      <x:c r="E80" t="s">
        <x:v>133</x:v>
      </x:c>
      <x:c r="F80">
        <x:v>1</x:v>
      </x:c>
      <x:c r="G80" s="29" t="s">
        <x:v>766</x:v>
      </x:c>
      <x:c r="H80" s="29" t="s">
        <x:v>208</x:v>
      </x:c>
      <x:c r="I80" t="str">
        <x:f>IFERROR(VLOOKUP(E80,Parts!$A$2:$S$200,4,FALSE()),"")</x:f>
        <x:v>100 kΩ, 0,1 %, 250 mW</x:v>
      </x:c>
      <x:c r="J80" t="str">
        <x:f>IFERROR(VLOOKUP(E80,Parts!$A$2:$S$200,5,FALSE()),"")</x:f>
        <x:v>Resistor_SMD:R_1206_3216Metric_Pad1.30x1.75mm_HandSolder</x:v>
      </x:c>
      <x:c r="K80" s="32" t="n">
        <x:f>SUMIFS(Part_Suppliers!$E$2:$E$300,Part_Suppliers!$A$2:$A$300,$E80,Part_Suppliers!$H$2:$H$300,"Ja")</x:f>
        <x:v>0.83</x:v>
      </x:c>
      <x:c r="L80" s="32">
        <x:f t="shared" si="2"/>
        <x:v>0.83</x:v>
      </x:c>
      <x:c r="M80" t="str">
        <x:f>IFERROR(VLOOKUP($E80,Parts!$A$2:$M$200,12,FALSE()),"")</x:f>
        <x:v>Lieferanten-Bestellnummer in der Altdatei enthält vermischte Angaben.</x:v>
      </x:c>
    </x:row>
    <x:row r="81" ht="15">
      <x:c r="A81" t="s">
        <x:v>748</x:v>
      </x:c>
      <x:c r="B81" t="s">
        <x:v>750</x:v>
      </x:c>
      <x:c r="C81">
        <x:v>90</x:v>
      </x:c>
      <x:c r="D81" t="s">
        <x:v>152</x:v>
      </x:c>
      <x:c r="E81" t="s">
        <x:v>148</x:v>
      </x:c>
      <x:c r="F81">
        <x:v>1</x:v>
      </x:c>
      <x:c r="G81" s="29" t="s">
        <x:v>766</x:v>
      </x:c>
      <x:c r="H81" s="29" t="s">
        <x:v>208</x:v>
      </x:c>
      <x:c r="I81" t="str">
        <x:f>IFERROR(VLOOKUP(E81,Parts!$A$2:$S$200,4,FALSE()),"")</x:f>
        <x:v>10 kΩ, 0,1 %, 250 mW</x:v>
      </x:c>
      <x:c r="J81" t="str">
        <x:f>IFERROR(VLOOKUP(E81,Parts!$A$2:$S$200,5,FALSE()),"")</x:f>
        <x:v>Resistor_SMD:R_1206_3216Metric_Pad1.30x1.75mm_HandSolder</x:v>
      </x:c>
      <x:c r="K81" s="32" t="n">
        <x:f>SUMIFS(Part_Suppliers!$E$2:$E$300,Part_Suppliers!$A$2:$A$300,$E81,Part_Suppliers!$H$2:$H$300,"Ja")</x:f>
        <x:v>0.75</x:v>
      </x:c>
      <x:c r="L81" s="32">
        <x:f t="shared" si="2"/>
        <x:v>0.75</x:v>
      </x:c>
      <x:c r="M81" t="str">
        <x:f>IFERROR(VLOOKUP($E81,Parts!$A$2:$M$200,12,FALSE()),"")</x:f>
        <x:v>Offensichtlich zusammengesetzte MPN aus Altdaten normalisiert.</x:v>
      </x:c>
    </x:row>
    <x:row r="82">
      <x:c r="A82" t="s">
        <x:v>748</x:v>
      </x:c>
      <x:c r="B82" t="s">
        <x:v>750</x:v>
      </x:c>
      <x:c r="C82">
        <x:v>100</x:v>
      </x:c>
      <x:c r="D82" t="s">
        <x:v>777</x:v>
      </x:c>
      <x:c r="E82" t="s">
        <x:v>133</x:v>
      </x:c>
      <x:c r="F82">
        <x:v>1</x:v>
      </x:c>
      <x:c r="G82" s="29" t="s">
        <x:v>766</x:v>
      </x:c>
      <x:c r="H82" s="29" t="s">
        <x:v>208</x:v>
      </x:c>
      <x:c r="I82" t="str">
        <x:f>IFERROR(VLOOKUP(E82,Parts!$A$2:$S$200,4,FALSE()),"")</x:f>
        <x:v>100 kΩ, 0,1 %, 250 mW</x:v>
      </x:c>
      <x:c r="J82" t="str">
        <x:f>IFERROR(VLOOKUP(E82,Parts!$A$2:$S$200,5,FALSE()),"")</x:f>
        <x:v>Resistor_SMD:R_1206_3216Metric_Pad1.30x1.75mm_HandSolder</x:v>
      </x:c>
      <x:c r="K82" t="n">
        <x:f>SUMIFS(Part_Suppliers!$E$2:$E$300,Part_Suppliers!$A$2:$A$300,$E82,Part_Suppliers!$H$2:$H$300,"Ja")</x:f>
        <x:v>0.83</x:v>
      </x:c>
      <x:c r="L82">
        <x:f t="shared" si="2"/>
        <x:v>0.83</x:v>
      </x:c>
      <x:c r="M82" t="str">
        <x:f>IFERROR(VLOOKUP($E82,Parts!$A$2:$M$200,12,FALSE()),"")</x:f>
        <x:v>Lieferanten-Bestellnummer in der Altdatei enthält vermischte Angaben.</x:v>
      </x:c>
    </x:row>
    <x:row r="83">
      <x:c r="A83" t="s">
        <x:v>748</x:v>
      </x:c>
      <x:c r="B83" t="s">
        <x:v>750</x:v>
      </x:c>
      <x:c r="C83">
        <x:v>110</x:v>
      </x:c>
      <x:c r="D83" t="s">
        <x:v>168</x:v>
      </x:c>
      <x:c r="E83" t="s">
        <x:v>161</x:v>
      </x:c>
      <x:c r="F83">
        <x:v>1</x:v>
      </x:c>
      <x:c r="G83" s="29" t="s">
        <x:v>766</x:v>
      </x:c>
      <x:c r="H83" s="29" t="s">
        <x:v>208</x:v>
      </x:c>
      <x:c r="I83" t="str">
        <x:f>IFERROR(VLOOKUP(E83,Parts!$A$2:$S$200,4,FALSE()),"")</x:f>
        <x:v>CMOS 555</x:v>
      </x:c>
      <x:c r="J83" t="str">
        <x:f>IFERROR(VLOOKUP(E83,Parts!$A$2:$S$200,5,FALSE()),"")</x:f>
        <x:v>Package_SO:SOIC-8_3.9x4.9mm_P1.27mm</x:v>
      </x:c>
      <x:c r="K83" t="n">
        <x:f>SUMIFS(Part_Suppliers!$E$2:$E$300,Part_Suppliers!$A$2:$A$300,$E83,Part_Suppliers!$H$2:$H$300,"Ja")</x:f>
        <x:v>1.1</x:v>
      </x:c>
      <x:c r="L83">
        <x:f t="shared" si="2"/>
        <x:v>1.1000000000000001</x:v>
      </x:c>
      <x:c r="M83" t="str">
        <x:f>IFERROR(VLOOKUP($E83,Parts!$A$2:$M$200,12,FALSE()),"")</x:f>
      </x:c>
    </x:row>
    <x:row r="84">
      <x:c r="A84" t="s">
        <x:v>748</x:v>
      </x:c>
      <x:c r="B84" t="s">
        <x:v>750</x:v>
      </x:c>
      <x:c r="C84">
        <x:v>120</x:v>
      </x:c>
      <x:c r="E84" t="s">
        <x:v>385</x:v>
      </x:c>
      <x:c r="F84">
        <x:v>1</x:v>
      </x:c>
      <x:c r="G84" s="29" t="s">
        <x:v>766</x:v>
      </x:c>
      <x:c r="H84" s="29" t="s">
        <x:v>100</x:v>
      </x:c>
      <x:c r="I84" t="str">
        <x:f>IFERROR(VLOOKUP(E84,Parts!$A$2:$S$200,4,FALSE()),"")</x:f>
        <x:v>Revision 1.0</x:v>
      </x:c>
      <x:c r="J84" t="str">
        <x:f>IFERROR(VLOOKUP(E84,Parts!$A$2:$S$200,5,FALSE()),"")</x:f>
        <x:v>PCB: Raindetector.kicad_pcb</x:v>
      </x:c>
      <x:c r="K84" t="n">
        <x:f>SUMIFS(Part_Suppliers!$E$2:$E$300,Part_Suppliers!$A$2:$A$300,$E84,Part_Suppliers!$H$2:$H$300,"Ja")</x:f>
        <x:v>1.73</x:v>
      </x:c>
      <x:c r="L84">
        <x:f t="shared" si="2"/>
        <x:v>1.73</x:v>
      </x:c>
      <x:c r="M84" t="str">
        <x:f>IFERROR(VLOOKUP($E84,Parts!$A$2:$M$200,12,FALSE()),"")</x:f>
        <x:v>Fertiger und konkrete Fertigungsvariante festlegen.</x:v>
      </x:c>
    </x:row>
  </x:sheetData>
  <x:conditionalFormatting sqref="G2:G69">
    <x:cfRule type="containsText" dxfId="8" priority="2" operator="containsText" text="DNP">
      <x:formula>NOT(ISERROR(SEARCH("DNP",G2)))</x:formula>
    </x:cfRule>
    <x:cfRule type="containsText" dxfId="7" priority="3" operator="containsText" text="Optional">
      <x:formula>NOT(ISERROR(SEARCH("Optional",G2)))</x:formula>
    </x:cfRule>
  </x:conditionalFormatting>
  <x:dataValidations count="4">
    <x:dataValidation type="list" sqref="H85:H504">
      <x:formula1>"KiCad,PCB,Mechanical,Cable,Assembly,Consumable"</x:formula1>
      <x:formula2>0</x:formula2>
    </x:dataValidation>
    <x:dataValidation type="list" sqref="G85:G504">
      <x:formula1>"Bestücken,DNP,Optional"</x:formula1>
      <x:formula2>0</x:formula2>
    </x:dataValidation>
    <x:dataValidation type="list" sqref="G2:G84">
      <x:formula1>"Bestücken,DNP,Optional,Mechanical"</x:formula1>
      <x:formula2>0</x:formula2>
    </x:dataValidation>
    <x:dataValidation type="list" sqref="H2:H84">
      <x:formula1>"KiCad,PCB,Mechanik,Elektromechanik,Kabel,Zukauf,Assembly"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ce7c8e79d8cb495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3" customWidth="1"/>
    <x:col min="2" max="2" width="35" customWidth="1"/>
    <x:col min="3" max="3" width="15" customWidth="1"/>
    <x:col min="4" max="4" width="22" customWidth="1"/>
    <x:col min="5" max="5" width="15.5" customWidth="1"/>
    <x:col min="6" max="6" width="15" customWidth="1"/>
    <x:col min="7" max="8" width="14" customWidth="1"/>
    <x:col min="9" max="9" width="15" customWidth="1"/>
    <x:col min="10" max="10" width="20" customWidth="1"/>
    <x:col min="11" max="11" width="255" customWidth="1"/>
    <x:col min="12" max="13" width="11" customWidth="1"/>
    <x:col min="14" max="14" width="12" customWidth="1"/>
    <x:col min="15" max="15" width="18" customWidth="1"/>
    <x:col min="16" max="16" width="15" customWidth="1"/>
  </x:cols>
  <x:sheetData>
    <x:row r="1" ht="30" customHeight="1">
      <x:c r="A1" s="5" t="s">
        <x:v>790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26" customHeight="1">
      <x:c r="A2" s="4" t="s">
        <x:v>791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</x:row>
    <x:row r="4" ht="15">
      <x:c r="A4" s="33" t="s">
        <x:v>725</x:v>
      </x:c>
      <x:c r="B4" s="33" t="s">
        <x:v>792</x:v>
      </x:c>
      <x:c r="C4" s="33" t="s">
        <x:v>793</x:v>
      </x:c>
      <x:c r="E4" s="33" t="s">
        <x:v>794</x:v>
      </x:c>
      <x:c r="F4" s="33" t="s">
        <x:v>795</x:v>
      </x:c>
    </x:row>
    <x:row r="5" ht="15">
      <x:c r="A5" s="34" t="s">
        <x:v>731</x:v>
      </x:c>
      <x:c r="B5" s="35" t="s">
        <x:v>732</x:v>
      </x:c>
      <x:c r="C5" s="36">
        <x:v>1</x:v>
      </x:c>
      <x:c r="E5" s="34" t="s">
        <x:v>796</x:v>
      </x:c>
      <x:c r="F5" s="37" t="s">
        <x:v>797</x:v>
      </x:c>
    </x:row>
    <x:row r="6" ht="15">
      <x:c r="A6" s="38" t="s">
        <x:v>738</x:v>
      </x:c>
      <x:c r="B6" s="39" t="s">
        <x:v>739</x:v>
      </x:c>
      <x:c r="C6" s="40">
        <x:v>0</x:v>
      </x:c>
      <x:c r="E6" s="41" t="s">
        <x:v>798</x:v>
      </x:c>
      <x:c r="F6" s="42" t="s">
        <x:v>799</x:v>
      </x:c>
    </x:row>
    <x:row r="7" ht="15">
      <x:c r="A7" s="41" t="s">
        <x:v>743</x:v>
      </x:c>
      <x:c r="B7" s="43" t="s">
        <x:v>744</x:v>
      </x:c>
      <x:c r="C7" s="44">
        <x:v>0</x:v>
      </x:c>
    </x:row>
    <x:row r="8" ht="14" customHeight="1">
      <x:c r="A8" t="s">
        <x:v>748</x:v>
      </x:c>
      <x:c r="B8" t="s">
        <x:v>749</x:v>
      </x:c>
      <x:c r="C8" s="44">
        <x:v>0</x:v>
      </x:c>
      <x:c r="E8" s="45" t="s">
        <x:v>800</x:v>
      </x:c>
      <x:c r="F8" s="3" t="s">
        <x:v>801</x:v>
      </x:c>
      <x:c r="G8" s="3"/>
      <x:c r="H8" s="3"/>
      <x:c r="I8" s="3"/>
      <x:c r="J8" s="3"/>
      <x:c r="K8" s="3"/>
    </x:row>
    <x:row r="9" ht="15">
      <x:c r="E9" s="46"/>
      <x:c r="F9" s="3"/>
      <x:c r="G9" s="3"/>
      <x:c r="H9" s="3"/>
      <x:c r="I9" s="3"/>
      <x:c r="J9" s="3"/>
      <x:c r="K9" s="3"/>
    </x:row>
    <x:row r="13" ht="14" customHeight="1">
      <x:c r="A13" s="29" t="s">
        <x:v>0</x:v>
      </x:c>
      <x:c r="B13" s="29" t="s">
        <x:v>2</x:v>
      </x:c>
      <x:c r="C13" s="29" t="s">
        <x:v>802</x:v>
      </x:c>
      <x:c r="D13" s="29" t="s">
        <x:v>803</x:v>
      </x:c>
      <x:c r="E13" s="29" t="s">
        <x:v>804</x:v>
      </x:c>
      <x:c r="F13" s="29" t="s">
        <x:v>805</x:v>
      </x:c>
      <x:c r="G13" s="29" t="s">
        <x:v>806</x:v>
      </x:c>
      <x:c r="H13" s="29" t="s">
        <x:v>763</x:v>
      </x:c>
      <x:c r="I13" s="29" t="s">
        <x:v>807</x:v>
      </x:c>
      <x:c r="J13" s="29" t="s">
        <x:v>808</x:v>
      </x:c>
      <x:c r="K13" s="29" t="s">
        <x:v>809</x:v>
      </x:c>
      <x:c r="L13" s="47" t="s">
        <x:v>810</x:v>
      </x:c>
      <x:c r="M13" s="47" t="s">
        <x:v>811</x:v>
      </x:c>
      <x:c r="N13" s="47" t="s">
        <x:v>812</x:v>
      </x:c>
      <x:c r="O13" s="47" t="s">
        <x:v>813</x:v>
      </x:c>
      <x:c r="P13" s="47" t="s">
        <x:v>814</x:v>
      </x:c>
    </x:row>
    <x:row r="14" ht="14" customHeight="1">
      <x:c r="A14" s="29" t="s">
        <x:v>30</x:v>
      </x:c>
      <x:c r="B14" s="48" t="str">
        <x:f>IFERROR(VLOOKUP($A14,Parts!$A$2:$M$200,3,FALSE()),"")</x:f>
        <x:v>PinSocket 1x4, 2.54 mm</x:v>
      </x:c>
      <x:c r="C14" s="29" t="str">
        <x:f>IFERROR(VLOOKUP($A14,Stock!$A$5:$I$200,8,FALSE()),"")</x:f>
        <x:v>Reichelt</x:v>
      </x:c>
      <x:c r="D14" s="29" t="str">
        <x:f>IFERROR(VLOOKUP($A14,Stock!$A$5:$I$200,9,FALSE()),"")</x:f>
        <x:v>BKL 10120946</x:v>
      </x:c>
      <x:c r="E14" s="31" t="n">
        <x:f>SUMIFS(Kit_BOM!$F$2:$F$204,Kit_BOM!$E$2:$E$204,$A14,Kit_BOM!$A$2:$A$204,$A$5,Kit_BOM!$G$2:$G$204,"Bestücken")*$C$5+SUMIFS(Kit_BOM!$F$2:$F$204,Kit_BOM!$E$2:$E$204,$A14,Kit_BOM!$A$2:$A$204,$A$5,Kit_BOM!$G$2:$G$204,"Mechanical")*$C$5+IF($F$5="Ja",SUMIFS(Kit_BOM!$F$2:$F$204,Kit_BOM!$E$2:$E$204,$A14,Kit_BOM!$A$2:$A$204,$A$5,Kit_BOM!$G$2:$G$204,"Optional")*$C$5,0)+IF($F$6="Ja",SUMIFS(Kit_BOM!$F$2:$F$204,Kit_BOM!$E$2:$E$204,$A14,Kit_BOM!$A$2:$A$204,$A$5,Kit_BOM!$G$2:$G$204,"DNP")*$C$5,0)+SUMIFS(Kit_BOM!$F$2:$F$204,Kit_BOM!$E$2:$E$204,$A14,Kit_BOM!$A$2:$A$204,$A$6,Kit_BOM!$G$2:$G$204,"Bestücken")*$C$6+SUMIFS(Kit_BOM!$F$2:$F$204,Kit_BOM!$E$2:$E$204,$A14,Kit_BOM!$A$2:$A$204,$A$6,Kit_BOM!$G$2:$G$204,"Mechanical")*$C$6+IF($F$5="Ja",SUMIFS(Kit_BOM!$F$2:$F$204,Kit_BOM!$E$2:$E$204,$A14,Kit_BOM!$A$2:$A$204,$A$6,Kit_BOM!$G$2:$G$204,"Optional")*$C$6,0)+IF($F$6="Ja",SUMIFS(Kit_BOM!$F$2:$F$204,Kit_BOM!$E$2:$E$204,$A14,Kit_BOM!$A$2:$A$204,$A$6,Kit_BOM!$G$2:$G$204,"DNP")*$C$6,0)+SUMIFS(Kit_BOM!$F$2:$F$204,Kit_BOM!$E$2:$E$204,$A14,Kit_BOM!$A$2:$A$204,$A$7,Kit_BOM!$G$2:$G$204,"Bestücken")*$C$7+SUMIFS(Kit_BOM!$F$2:$F$204,Kit_BOM!$E$2:$E$204,$A14,Kit_BOM!$A$2:$A$204,$A$7,Kit_BOM!$G$2:$G$204,"Mechanical")*$C$7+IF($F$5="Ja",SUMIFS(Kit_BOM!$F$2:$F$204,Kit_BOM!$E$2:$E$204,$A14,Kit_BOM!$A$2:$A$204,$A$7,Kit_BOM!$G$2:$G$204,"Optional")*$C$7,0)+IF($F$6="Ja",SUMIFS(Kit_BOM!$F$2:$F$204,Kit_BOM!$E$2:$E$204,$A14,Kit_BOM!$A$2:$A$204,$A$7,Kit_BOM!$G$2:$G$204,"DNP")*$C$7,0)+SUMIFS(Kit_BOM!$F$2:$F$204,Kit_BOM!$E$2:$E$204,$A14,Kit_BOM!$A$2:$A$204,$A$8,Kit_BOM!$G$2:$G$204,"Bestücken")*$C$8+SUMIFS(Kit_BOM!$F$2:$F$204,Kit_BOM!$E$2:$E$204,$A14,Kit_BOM!$A$2:$A$204,$A$8,Kit_BOM!$G$2:$G$204,"Mechanical")*$C$8+IF($F$5="Ja",SUMIFS(Kit_BOM!$F$2:$F$204,Kit_BOM!$E$2:$E$204,$A14,Kit_BOM!$A$2:$A$204,$A$8,Kit_BOM!$G$2:$G$204,"Optional")*$C$8,0)+IF($F$6="Ja",SUMIFS(Kit_BOM!$F$2:$F$204,Kit_BOM!$E$2:$E$204,$A14,Kit_BOM!$A$2:$A$204,$A$8,Kit_BOM!$G$2:$G$204,"DNP")*$C$8,0)</x:f>
        <x:v>0</x:v>
      </x:c>
      <x:c r="F14" s="31" t="str">
        <x:f>IFERROR(IF(INDEX(Part_Suppliers!$G$2:$G$300,MATCH($A14&amp;"|"&amp;$C14,Part_Suppliers!$K$2:$K$300,0))=0,"",INDEX(Part_Suppliers!$G$2:$G$300,MATCH($A14&amp;"|"&amp;$C14,Part_Suppliers!$K$2:$K$300,0))),"")</x:f>
      </x:c>
      <x:c r="G14" s="31" t="n">
        <x:f t="shared" ref="G14:G45" si="0">IF($E14=0,0,IF(OR($F14="",$F14=0),$E14,CEILING($E14,$F14)))</x:f>
        <x:v>0</x:v>
      </x:c>
      <x:c r="H14" s="49" t="n">
        <x:f>SUMIFS(Part_Suppliers!$E$2:$E$300,Part_Suppliers!$A$2:$A$300,$A14,Part_Suppliers!$B$2:$B$300,$C14)</x:f>
        <x:v>0.81</x:v>
      </x:c>
      <x:c r="I14" s="49" t="n">
        <x:f t="shared" ref="I14:I45" si="1">$G14*$H14</x:f>
        <x:v>0</x:v>
      </x:c>
      <x:c r="J14" t="str">
        <x:f t="shared" ref="J14:J45" si="2">IF($E14=0,"Nicht benötigt",IF(LOWER($C14)&lt;&gt;"reichelt","Anderer Lieferant",IF($D14="","Supplier-PN fehlt","Reichelt bereit")))</x:f>
        <x:v>Nicht benötigt</x:v>
      </x:c>
      <x:c r="K14" s="29" t="str">
        <x:f>IFERROR(IF(INDEX(Part_Suppliers!$D$2:$D$300,MATCH($A14&amp;"|"&amp;$C14,Part_Suppliers!$K$2:$K$300,0))=0,"",INDEX(Part_Suppliers!$D$2:$D$300,MATCH($A14&amp;"|"&amp;$C14,Part_Suppliers!$K$2:$K$300,0))),"")</x:f>
        <x:v>https://www.reichelt.de/de/de/shop/produkt/buchsenleiste_2_54mm_1x4_gerade-266671</x:v>
      </x:c>
      <x:c r="L14" s="31" t="n">
        <x:f>IFERROR(VLOOKUP($A14,Stock!$A$5:$K$200,10,FALSE()),0)</x:f>
        <x:v>4</x:v>
      </x:c>
      <x:c r="M14" s="31" t="n">
        <x:f>IFERROR(VLOOKUP($A14,Stock!$A$5:$K$200,11,FALSE()),0)</x:f>
        <x:v>0</x:v>
      </x:c>
      <x:c r="N14" s="31" t="n">
        <x:f t="shared" ref="N14:N45" si="3">$L14+$M14-$E14</x:f>
        <x:v>4</x:v>
      </x:c>
      <x:c r="O14" s="31" t="n">
        <x:f t="shared" ref="O14:O45" si="4">IF($N14&gt;=0,0,IF(OR($F14="",$F14=0),-$N14,CEILING(-$N14,$F14)))</x:f>
        <x:v>0</x:v>
      </x:c>
      <x:c r="P14" s="50">
        <x:v>0</x:v>
      </x:c>
    </x:row>
    <x:row r="15" ht="14" customHeight="1">
      <x:c r="A15" s="29" t="s">
        <x:v>46</x:v>
      </x:c>
      <x:c r="B15" s="48" t="str">
        <x:f>IFERROR(VLOOKUP($A15,Parts!$A$2:$M$200,3,FALSE()),"")</x:f>
        <x:v>4.7 kOhm 1% SMD 1206</x:v>
      </x:c>
      <x:c r="C15" s="29" t="str">
        <x:f>IFERROR(VLOOKUP($A15,Stock!$A$5:$I$200,8,FALSE()),"")</x:f>
        <x:v>Reichelt</x:v>
      </x:c>
      <x:c r="D15" s="29" t="str">
        <x:f>IFERROR(VLOOKUP($A15,Stock!$A$5:$I$200,9,FALSE()),"")</x:f>
        <x:v>BKL 10120946</x:v>
      </x:c>
      <x:c r="E15" s="31" t="n">
        <x:f>SUMIFS(Kit_BOM!$F$2:$F$204,Kit_BOM!$E$2:$E$204,$A15,Kit_BOM!$A$2:$A$204,$A$5,Kit_BOM!$G$2:$G$204,"Bestücken")*$C$5+SUMIFS(Kit_BOM!$F$2:$F$204,Kit_BOM!$E$2:$E$204,$A15,Kit_BOM!$A$2:$A$204,$A$5,Kit_BOM!$G$2:$G$204,"Mechanical")*$C$5+IF($F$5="Ja",SUMIFS(Kit_BOM!$F$2:$F$204,Kit_BOM!$E$2:$E$204,$A15,Kit_BOM!$A$2:$A$204,$A$5,Kit_BOM!$G$2:$G$204,"Optional")*$C$5,0)+IF($F$6="Ja",SUMIFS(Kit_BOM!$F$2:$F$204,Kit_BOM!$E$2:$E$204,$A15,Kit_BOM!$A$2:$A$204,$A$5,Kit_BOM!$G$2:$G$204,"DNP")*$C$5,0)+SUMIFS(Kit_BOM!$F$2:$F$204,Kit_BOM!$E$2:$E$204,$A15,Kit_BOM!$A$2:$A$204,$A$6,Kit_BOM!$G$2:$G$204,"Bestücken")*$C$6+SUMIFS(Kit_BOM!$F$2:$F$204,Kit_BOM!$E$2:$E$204,$A15,Kit_BOM!$A$2:$A$204,$A$6,Kit_BOM!$G$2:$G$204,"Mechanical")*$C$6+IF($F$5="Ja",SUMIFS(Kit_BOM!$F$2:$F$204,Kit_BOM!$E$2:$E$204,$A15,Kit_BOM!$A$2:$A$204,$A$6,Kit_BOM!$G$2:$G$204,"Optional")*$C$6,0)+IF($F$6="Ja",SUMIFS(Kit_BOM!$F$2:$F$204,Kit_BOM!$E$2:$E$204,$A15,Kit_BOM!$A$2:$A$204,$A$6,Kit_BOM!$G$2:$G$204,"DNP")*$C$6,0)+SUMIFS(Kit_BOM!$F$2:$F$204,Kit_BOM!$E$2:$E$204,$A15,Kit_BOM!$A$2:$A$204,$A$7,Kit_BOM!$G$2:$G$204,"Bestücken")*$C$7+SUMIFS(Kit_BOM!$F$2:$F$204,Kit_BOM!$E$2:$E$204,$A15,Kit_BOM!$A$2:$A$204,$A$7,Kit_BOM!$G$2:$G$204,"Mechanical")*$C$7+IF($F$5="Ja",SUMIFS(Kit_BOM!$F$2:$F$204,Kit_BOM!$E$2:$E$204,$A15,Kit_BOM!$A$2:$A$204,$A$7,Kit_BOM!$G$2:$G$204,"Optional")*$C$7,0)+IF($F$6="Ja",SUMIFS(Kit_BOM!$F$2:$F$204,Kit_BOM!$E$2:$E$204,$A15,Kit_BOM!$A$2:$A$204,$A$7,Kit_BOM!$G$2:$G$204,"DNP")*$C$7,0)+SUMIFS(Kit_BOM!$F$2:$F$204,Kit_BOM!$E$2:$E$204,$A15,Kit_BOM!$A$2:$A$204,$A$8,Kit_BOM!$G$2:$G$204,"Bestücken")*$C$8+SUMIFS(Kit_BOM!$F$2:$F$204,Kit_BOM!$E$2:$E$204,$A15,Kit_BOM!$A$2:$A$204,$A$8,Kit_BOM!$G$2:$G$204,"Mechanical")*$C$8+IF($F$5="Ja",SUMIFS(Kit_BOM!$F$2:$F$204,Kit_BOM!$E$2:$E$204,$A15,Kit_BOM!$A$2:$A$204,$A$8,Kit_BOM!$G$2:$G$204,"Optional")*$C$8,0)+IF($F$6="Ja",SUMIFS(Kit_BOM!$F$2:$F$204,Kit_BOM!$E$2:$E$204,$A15,Kit_BOM!$A$2:$A$204,$A$8,Kit_BOM!$G$2:$G$204,"DNP")*$C$8,0)</x:f>
        <x:v>4</x:v>
      </x:c>
      <x:c r="F15" s="31" t="str">
        <x:f>IFERROR(IF(INDEX(Part_Suppliers!$G$2:$G$300,MATCH($A15&amp;"|"&amp;$C15,Part_Suppliers!$K$2:$K$300,0))=0,"",INDEX(Part_Suppliers!$G$2:$G$300,MATCH($A15&amp;"|"&amp;$C15,Part_Suppliers!$K$2:$K$300,0))),"")</x:f>
      </x:c>
      <x:c r="G15" s="31">
        <x:f t="shared" si="0"/>
        <x:v>4</x:v>
      </x:c>
      <x:c r="H15" s="49" t="n">
        <x:f>SUMIFS(Part_Suppliers!$E$2:$E$300,Part_Suppliers!$A$2:$A$300,$A15,Part_Suppliers!$B$2:$B$300,$C15)</x:f>
        <x:v>0.15</x:v>
      </x:c>
      <x:c r="I15" s="49">
        <x:f t="shared" si="1"/>
        <x:v>0.6</x:v>
      </x:c>
      <x:c r="J15" t="str">
        <x:f t="shared" si="2"/>
        <x:v>Reichelt bereit</x:v>
      </x:c>
      <x:c r="K15" s="29" t="str">
        <x:f>IFERROR(IF(INDEX(Part_Suppliers!$D$2:$D$300,MATCH($A15&amp;"|"&amp;$C15,Part_Suppliers!$K$2:$K$300,0))=0,"",INDEX(Part_Suppliers!$D$2:$D$300,MATCH($A15&amp;"|"&amp;$C15,Part_Suppliers!$K$2:$K$300,0))),"")</x:f>
        <x:v>https://www.reichelt.de/de/de/shop/produkt/buchsenleiste_2_54mm_1x4_gerade-266671</x:v>
      </x:c>
      <x:c r="L15" s="31" t="n">
        <x:f>IFERROR(VLOOKUP($A15,Stock!$A$5:$K$200,10,FALSE()),0)</x:f>
        <x:v>12</x:v>
      </x:c>
      <x:c r="M15" s="31" t="n">
        <x:f>IFERROR(VLOOKUP($A15,Stock!$A$5:$K$200,11,FALSE()),0)</x:f>
        <x:v>0</x:v>
      </x:c>
      <x:c r="N15" s="31">
        <x:f t="shared" si="3"/>
        <x:v>8</x:v>
      </x:c>
      <x:c r="O15" s="31">
        <x:f t="shared" si="4"/>
        <x:v>0</x:v>
      </x:c>
      <x:c r="P15" s="50">
        <x:v>0</x:v>
      </x:c>
    </x:row>
    <x:row r="16" ht="14" customHeight="1">
      <x:c r="A16" s="29" t="s">
        <x:v>56</x:v>
      </x:c>
      <x:c r="B16" s="48" t="str">
        <x:f>IFERROR(VLOOKUP($A16,Parts!$A$2:$M$200,3,FALSE()),"")</x:f>
        <x:v>100 nF Keramik SMD</x:v>
      </x:c>
      <x:c r="C16" s="29" t="str">
        <x:f>IFERROR(VLOOKUP($A16,Stock!$A$5:$I$200,8,FALSE()),"")</x:f>
        <x:v>Reichelt</x:v>
      </x:c>
      <x:c r="D16" s="29" t="str">
        <x:f>IFERROR(VLOOKUP($A16,Stock!$A$5:$I$200,9,FALSE()),"")</x:f>
        <x:v>BKL 10120946</x:v>
      </x:c>
      <x:c r="E16" s="31" t="n">
        <x:f>SUMIFS(Kit_BOM!$F$2:$F$204,Kit_BOM!$E$2:$E$204,$A16,Kit_BOM!$A$2:$A$204,$A$5,Kit_BOM!$G$2:$G$204,"Bestücken")*$C$5+SUMIFS(Kit_BOM!$F$2:$F$204,Kit_BOM!$E$2:$E$204,$A16,Kit_BOM!$A$2:$A$204,$A$5,Kit_BOM!$G$2:$G$204,"Mechanical")*$C$5+IF($F$5="Ja",SUMIFS(Kit_BOM!$F$2:$F$204,Kit_BOM!$E$2:$E$204,$A16,Kit_BOM!$A$2:$A$204,$A$5,Kit_BOM!$G$2:$G$204,"Optional")*$C$5,0)+IF($F$6="Ja",SUMIFS(Kit_BOM!$F$2:$F$204,Kit_BOM!$E$2:$E$204,$A16,Kit_BOM!$A$2:$A$204,$A$5,Kit_BOM!$G$2:$G$204,"DNP")*$C$5,0)+SUMIFS(Kit_BOM!$F$2:$F$204,Kit_BOM!$E$2:$E$204,$A16,Kit_BOM!$A$2:$A$204,$A$6,Kit_BOM!$G$2:$G$204,"Bestücken")*$C$6+SUMIFS(Kit_BOM!$F$2:$F$204,Kit_BOM!$E$2:$E$204,$A16,Kit_BOM!$A$2:$A$204,$A$6,Kit_BOM!$G$2:$G$204,"Mechanical")*$C$6+IF($F$5="Ja",SUMIFS(Kit_BOM!$F$2:$F$204,Kit_BOM!$E$2:$E$204,$A16,Kit_BOM!$A$2:$A$204,$A$6,Kit_BOM!$G$2:$G$204,"Optional")*$C$6,0)+IF($F$6="Ja",SUMIFS(Kit_BOM!$F$2:$F$204,Kit_BOM!$E$2:$E$204,$A16,Kit_BOM!$A$2:$A$204,$A$6,Kit_BOM!$G$2:$G$204,"DNP")*$C$6,0)+SUMIFS(Kit_BOM!$F$2:$F$204,Kit_BOM!$E$2:$E$204,$A16,Kit_BOM!$A$2:$A$204,$A$7,Kit_BOM!$G$2:$G$204,"Bestücken")*$C$7+SUMIFS(Kit_BOM!$F$2:$F$204,Kit_BOM!$E$2:$E$204,$A16,Kit_BOM!$A$2:$A$204,$A$7,Kit_BOM!$G$2:$G$204,"Mechanical")*$C$7+IF($F$5="Ja",SUMIFS(Kit_BOM!$F$2:$F$204,Kit_BOM!$E$2:$E$204,$A16,Kit_BOM!$A$2:$A$204,$A$7,Kit_BOM!$G$2:$G$204,"Optional")*$C$7,0)+IF($F$6="Ja",SUMIFS(Kit_BOM!$F$2:$F$204,Kit_BOM!$E$2:$E$204,$A16,Kit_BOM!$A$2:$A$204,$A$7,Kit_BOM!$G$2:$G$204,"DNP")*$C$7,0)+SUMIFS(Kit_BOM!$F$2:$F$204,Kit_BOM!$E$2:$E$204,$A16,Kit_BOM!$A$2:$A$204,$A$8,Kit_BOM!$G$2:$G$204,"Bestücken")*$C$8+SUMIFS(Kit_BOM!$F$2:$F$204,Kit_BOM!$E$2:$E$204,$A16,Kit_BOM!$A$2:$A$204,$A$8,Kit_BOM!$G$2:$G$204,"Mechanical")*$C$8+IF($F$5="Ja",SUMIFS(Kit_BOM!$F$2:$F$204,Kit_BOM!$E$2:$E$204,$A16,Kit_BOM!$A$2:$A$204,$A$8,Kit_BOM!$G$2:$G$204,"Optional")*$C$8,0)+IF($F$6="Ja",SUMIFS(Kit_BOM!$F$2:$F$204,Kit_BOM!$E$2:$E$204,$A16,Kit_BOM!$A$2:$A$204,$A$8,Kit_BOM!$G$2:$G$204,"DNP")*$C$8,0)</x:f>
        <x:v>3</x:v>
      </x:c>
      <x:c r="F16" s="31" t="str">
        <x:f>IFERROR(IF(INDEX(Part_Suppliers!$G$2:$G$300,MATCH($A16&amp;"|"&amp;$C16,Part_Suppliers!$K$2:$K$300,0))=0,"",INDEX(Part_Suppliers!$G$2:$G$300,MATCH($A16&amp;"|"&amp;$C16,Part_Suppliers!$K$2:$K$300,0))),"")</x:f>
      </x:c>
      <x:c r="G16" s="31">
        <x:f t="shared" si="0"/>
        <x:v>10</x:v>
      </x:c>
      <x:c r="H16" s="49" t="n">
        <x:f>SUMIFS(Part_Suppliers!$E$2:$E$300,Part_Suppliers!$A$2:$A$300,$A16,Part_Suppliers!$B$2:$B$300,$C16)</x:f>
        <x:v>0.24</x:v>
      </x:c>
      <x:c r="I16" s="49">
        <x:f t="shared" si="1"/>
        <x:v>2.4</x:v>
      </x:c>
      <x:c r="J16" t="str">
        <x:f t="shared" si="2"/>
        <x:v>Reichelt bereit</x:v>
      </x:c>
      <x:c r="K16" s="29" t="str">
        <x:f>IFERROR(IF(INDEX(Part_Suppliers!$D$2:$D$300,MATCH($A16&amp;"|"&amp;$C16,Part_Suppliers!$K$2:$K$300,0))=0,"",INDEX(Part_Suppliers!$D$2:$D$300,MATCH($A16&amp;"|"&amp;$C16,Part_Suppliers!$K$2:$K$300,0))),"")</x:f>
        <x:v>https://www.reichelt.de/de/de/shop/produkt/buchsenleiste_2_54mm_1x4_gerade-266671</x:v>
      </x:c>
      <x:c r="L16" s="31" t="n">
        <x:f>IFERROR(VLOOKUP($A16,Stock!$A$5:$K$200,10,FALSE()),0)</x:f>
        <x:v>0</x:v>
      </x:c>
      <x:c r="M16" s="31" t="n">
        <x:f>IFERROR(VLOOKUP($A16,Stock!$A$5:$K$200,11,FALSE()),0)</x:f>
        <x:v>10</x:v>
      </x:c>
      <x:c r="N16" s="31">
        <x:f t="shared" si="3"/>
        <x:v>7</x:v>
      </x:c>
      <x:c r="O16" s="31">
        <x:f t="shared" si="4"/>
        <x:v>0</x:v>
      </x:c>
      <x:c r="P16" s="50">
        <x:v>0</x:v>
      </x:c>
    </x:row>
    <x:row r="17" ht="14" customHeight="1">
      <x:c r="A17" s="29" t="s">
        <x:v>66</x:v>
      </x:c>
      <x:c r="B17" s="48" t="str">
        <x:f>IFERROR(VLOOKUP($A17,Parts!$A$2:$M$200,3,FALSE()),"")</x:f>
        <x:v>10 uF Keramik SMD</x:v>
      </x:c>
      <x:c r="C17" s="29" t="str">
        <x:f>IFERROR(VLOOKUP($A17,Stock!$A$5:$I$200,8,FALSE()),"")</x:f>
        <x:v>Reichelt</x:v>
      </x:c>
      <x:c r="D17" s="29" t="str">
        <x:f>IFERROR(VLOOKUP($A17,Stock!$A$5:$I$200,9,FALSE()),"")</x:f>
        <x:v>BKL 10120946</x:v>
      </x:c>
      <x:c r="E17" s="31" t="n">
        <x:f>SUMIFS(Kit_BOM!$F$2:$F$204,Kit_BOM!$E$2:$E$204,$A17,Kit_BOM!$A$2:$A$204,$A$5,Kit_BOM!$G$2:$G$204,"Bestücken")*$C$5+SUMIFS(Kit_BOM!$F$2:$F$204,Kit_BOM!$E$2:$E$204,$A17,Kit_BOM!$A$2:$A$204,$A$5,Kit_BOM!$G$2:$G$204,"Mechanical")*$C$5+IF($F$5="Ja",SUMIFS(Kit_BOM!$F$2:$F$204,Kit_BOM!$E$2:$E$204,$A17,Kit_BOM!$A$2:$A$204,$A$5,Kit_BOM!$G$2:$G$204,"Optional")*$C$5,0)+IF($F$6="Ja",SUMIFS(Kit_BOM!$F$2:$F$204,Kit_BOM!$E$2:$E$204,$A17,Kit_BOM!$A$2:$A$204,$A$5,Kit_BOM!$G$2:$G$204,"DNP")*$C$5,0)+SUMIFS(Kit_BOM!$F$2:$F$204,Kit_BOM!$E$2:$E$204,$A17,Kit_BOM!$A$2:$A$204,$A$6,Kit_BOM!$G$2:$G$204,"Bestücken")*$C$6+SUMIFS(Kit_BOM!$F$2:$F$204,Kit_BOM!$E$2:$E$204,$A17,Kit_BOM!$A$2:$A$204,$A$6,Kit_BOM!$G$2:$G$204,"Mechanical")*$C$6+IF($F$5="Ja",SUMIFS(Kit_BOM!$F$2:$F$204,Kit_BOM!$E$2:$E$204,$A17,Kit_BOM!$A$2:$A$204,$A$6,Kit_BOM!$G$2:$G$204,"Optional")*$C$6,0)+IF($F$6="Ja",SUMIFS(Kit_BOM!$F$2:$F$204,Kit_BOM!$E$2:$E$204,$A17,Kit_BOM!$A$2:$A$204,$A$6,Kit_BOM!$G$2:$G$204,"DNP")*$C$6,0)+SUMIFS(Kit_BOM!$F$2:$F$204,Kit_BOM!$E$2:$E$204,$A17,Kit_BOM!$A$2:$A$204,$A$7,Kit_BOM!$G$2:$G$204,"Bestücken")*$C$7+SUMIFS(Kit_BOM!$F$2:$F$204,Kit_BOM!$E$2:$E$204,$A17,Kit_BOM!$A$2:$A$204,$A$7,Kit_BOM!$G$2:$G$204,"Mechanical")*$C$7+IF($F$5="Ja",SUMIFS(Kit_BOM!$F$2:$F$204,Kit_BOM!$E$2:$E$204,$A17,Kit_BOM!$A$2:$A$204,$A$7,Kit_BOM!$G$2:$G$204,"Optional")*$C$7,0)+IF($F$6="Ja",SUMIFS(Kit_BOM!$F$2:$F$204,Kit_BOM!$E$2:$E$204,$A17,Kit_BOM!$A$2:$A$204,$A$7,Kit_BOM!$G$2:$G$204,"DNP")*$C$7,0)+SUMIFS(Kit_BOM!$F$2:$F$204,Kit_BOM!$E$2:$E$204,$A17,Kit_BOM!$A$2:$A$204,$A$8,Kit_BOM!$G$2:$G$204,"Bestücken")*$C$8+SUMIFS(Kit_BOM!$F$2:$F$204,Kit_BOM!$E$2:$E$204,$A17,Kit_BOM!$A$2:$A$204,$A$8,Kit_BOM!$G$2:$G$204,"Mechanical")*$C$8+IF($F$5="Ja",SUMIFS(Kit_BOM!$F$2:$F$204,Kit_BOM!$E$2:$E$204,$A17,Kit_BOM!$A$2:$A$204,$A$8,Kit_BOM!$G$2:$G$204,"Optional")*$C$8,0)+IF($F$6="Ja",SUMIFS(Kit_BOM!$F$2:$F$204,Kit_BOM!$E$2:$E$204,$A17,Kit_BOM!$A$2:$A$204,$A$8,Kit_BOM!$G$2:$G$204,"DNP")*$C$8,0)</x:f>
        <x:v>1</x:v>
      </x:c>
      <x:c r="F17" s="31" t="str">
        <x:f>IFERROR(IF(INDEX(Part_Suppliers!$G$2:$G$300,MATCH($A17&amp;"|"&amp;$C17,Part_Suppliers!$K$2:$K$300,0))=0,"",INDEX(Part_Suppliers!$G$2:$G$300,MATCH($A17&amp;"|"&amp;$C17,Part_Suppliers!$K$2:$K$300,0))),"")</x:f>
      </x:c>
      <x:c r="G17" s="31">
        <x:f t="shared" si="0"/>
        <x:v>10</x:v>
      </x:c>
      <x:c r="H17" s="49" t="n">
        <x:f>SUMIFS(Part_Suppliers!$E$2:$E$300,Part_Suppliers!$A$2:$A$300,$A17,Part_Suppliers!$B$2:$B$300,$C17)</x:f>
        <x:v>0.11</x:v>
      </x:c>
      <x:c r="I17" s="49">
        <x:f t="shared" si="1"/>
        <x:v>1.1000000000000001</x:v>
      </x:c>
      <x:c r="J17" t="str">
        <x:f t="shared" si="2"/>
        <x:v>Reichelt bereit</x:v>
      </x:c>
      <x:c r="K17" s="29" t="str">
        <x:f>IFERROR(IF(INDEX(Part_Suppliers!$D$2:$D$300,MATCH($A17&amp;"|"&amp;$C17,Part_Suppliers!$K$2:$K$300,0))=0,"",INDEX(Part_Suppliers!$D$2:$D$300,MATCH($A17&amp;"|"&amp;$C17,Part_Suppliers!$K$2:$K$300,0))),"")</x:f>
        <x:v>https://www.reichelt.de/de/de/shop/produkt/buchsenleiste_2_54mm_1x4_gerade-266671</x:v>
      </x:c>
      <x:c r="L17" s="31" t="n">
        <x:f>IFERROR(VLOOKUP($A17,Stock!$A$5:$K$200,10,FALSE()),0)</x:f>
        <x:v>0</x:v>
      </x:c>
      <x:c r="M17" s="31" t="n">
        <x:f>IFERROR(VLOOKUP($A17,Stock!$A$5:$K$200,11,FALSE()),0)</x:f>
        <x:v>10</x:v>
      </x:c>
      <x:c r="N17" s="31">
        <x:f t="shared" si="3"/>
        <x:v>9</x:v>
      </x:c>
      <x:c r="O17" s="31">
        <x:f t="shared" si="4"/>
        <x:v>0</x:v>
      </x:c>
      <x:c r="P17" s="50">
        <x:v>0</x:v>
      </x:c>
    </x:row>
    <x:row r="18" ht="14" customHeight="1">
      <x:c r="A18" s="29" t="s">
        <x:v>74</x:v>
      </x:c>
      <x:c r="B18" s="48" t="str">
        <x:f>IFERROR(VLOOKUP($A18,Parts!$A$2:$M$200,3,FALSE()),"")</x:f>
        <x:v>47 uF 10V Tantal</x:v>
      </x:c>
      <x:c r="C18" s="29" t="str">
        <x:f>IFERROR(VLOOKUP($A18,Stock!$A$5:$I$200,8,FALSE()),"")</x:f>
        <x:v>Reichelt</x:v>
      </x:c>
      <x:c r="D18" s="29" t="str">
        <x:f>IFERROR(VLOOKUP($A18,Stock!$A$5:$I$200,9,FALSE()),"")</x:f>
        <x:v>BKL 10120946</x:v>
      </x:c>
      <x:c r="E18" s="31" t="n">
        <x:f>SUMIFS(Kit_BOM!$F$2:$F$204,Kit_BOM!$E$2:$E$204,$A18,Kit_BOM!$A$2:$A$204,$A$5,Kit_BOM!$G$2:$G$204,"Bestücken")*$C$5+SUMIFS(Kit_BOM!$F$2:$F$204,Kit_BOM!$E$2:$E$204,$A18,Kit_BOM!$A$2:$A$204,$A$5,Kit_BOM!$G$2:$G$204,"Mechanical")*$C$5+IF($F$5="Ja",SUMIFS(Kit_BOM!$F$2:$F$204,Kit_BOM!$E$2:$E$204,$A18,Kit_BOM!$A$2:$A$204,$A$5,Kit_BOM!$G$2:$G$204,"Optional")*$C$5,0)+IF($F$6="Ja",SUMIFS(Kit_BOM!$F$2:$F$204,Kit_BOM!$E$2:$E$204,$A18,Kit_BOM!$A$2:$A$204,$A$5,Kit_BOM!$G$2:$G$204,"DNP")*$C$5,0)+SUMIFS(Kit_BOM!$F$2:$F$204,Kit_BOM!$E$2:$E$204,$A18,Kit_BOM!$A$2:$A$204,$A$6,Kit_BOM!$G$2:$G$204,"Bestücken")*$C$6+SUMIFS(Kit_BOM!$F$2:$F$204,Kit_BOM!$E$2:$E$204,$A18,Kit_BOM!$A$2:$A$204,$A$6,Kit_BOM!$G$2:$G$204,"Mechanical")*$C$6+IF($F$5="Ja",SUMIFS(Kit_BOM!$F$2:$F$204,Kit_BOM!$E$2:$E$204,$A18,Kit_BOM!$A$2:$A$204,$A$6,Kit_BOM!$G$2:$G$204,"Optional")*$C$6,0)+IF($F$6="Ja",SUMIFS(Kit_BOM!$F$2:$F$204,Kit_BOM!$E$2:$E$204,$A18,Kit_BOM!$A$2:$A$204,$A$6,Kit_BOM!$G$2:$G$204,"DNP")*$C$6,0)+SUMIFS(Kit_BOM!$F$2:$F$204,Kit_BOM!$E$2:$E$204,$A18,Kit_BOM!$A$2:$A$204,$A$7,Kit_BOM!$G$2:$G$204,"Bestücken")*$C$7+SUMIFS(Kit_BOM!$F$2:$F$204,Kit_BOM!$E$2:$E$204,$A18,Kit_BOM!$A$2:$A$204,$A$7,Kit_BOM!$G$2:$G$204,"Mechanical")*$C$7+IF($F$5="Ja",SUMIFS(Kit_BOM!$F$2:$F$204,Kit_BOM!$E$2:$E$204,$A18,Kit_BOM!$A$2:$A$204,$A$7,Kit_BOM!$G$2:$G$204,"Optional")*$C$7,0)+IF($F$6="Ja",SUMIFS(Kit_BOM!$F$2:$F$204,Kit_BOM!$E$2:$E$204,$A18,Kit_BOM!$A$2:$A$204,$A$7,Kit_BOM!$G$2:$G$204,"DNP")*$C$7,0)+SUMIFS(Kit_BOM!$F$2:$F$204,Kit_BOM!$E$2:$E$204,$A18,Kit_BOM!$A$2:$A$204,$A$8,Kit_BOM!$G$2:$G$204,"Bestücken")*$C$8+SUMIFS(Kit_BOM!$F$2:$F$204,Kit_BOM!$E$2:$E$204,$A18,Kit_BOM!$A$2:$A$204,$A$8,Kit_BOM!$G$2:$G$204,"Mechanical")*$C$8+IF($F$5="Ja",SUMIFS(Kit_BOM!$F$2:$F$204,Kit_BOM!$E$2:$E$204,$A18,Kit_BOM!$A$2:$A$204,$A$8,Kit_BOM!$G$2:$G$204,"Optional")*$C$8,0)+IF($F$6="Ja",SUMIFS(Kit_BOM!$F$2:$F$204,Kit_BOM!$E$2:$E$204,$A18,Kit_BOM!$A$2:$A$204,$A$8,Kit_BOM!$G$2:$G$204,"DNP")*$C$8,0)</x:f>
        <x:v>1</x:v>
      </x:c>
      <x:c r="F18" s="31" t="str">
        <x:f>IFERROR(IF(INDEX(Part_Suppliers!$G$2:$G$300,MATCH($A18&amp;"|"&amp;$C18,Part_Suppliers!$K$2:$K$300,0))=0,"",INDEX(Part_Suppliers!$G$2:$G$300,MATCH($A18&amp;"|"&amp;$C18,Part_Suppliers!$K$2:$K$300,0))),"")</x:f>
      </x:c>
      <x:c r="G18" s="31">
        <x:f t="shared" si="0"/>
        <x:v>1</x:v>
      </x:c>
      <x:c r="H18" s="49" t="n">
        <x:f>SUMIFS(Part_Suppliers!$E$2:$E$300,Part_Suppliers!$A$2:$A$300,$A18,Part_Suppliers!$B$2:$B$300,$C18)</x:f>
        <x:v>0.29</x:v>
      </x:c>
      <x:c r="I18" s="49">
        <x:f t="shared" si="1"/>
        <x:v>0.28999999999999998</x:v>
      </x:c>
      <x:c r="J18" t="str">
        <x:f t="shared" si="2"/>
        <x:v>Reichelt bereit</x:v>
      </x:c>
      <x:c r="K18" s="29" t="str">
        <x:f>IFERROR(IF(INDEX(Part_Suppliers!$D$2:$D$300,MATCH($A18&amp;"|"&amp;$C18,Part_Suppliers!$K$2:$K$300,0))=0,"",INDEX(Part_Suppliers!$D$2:$D$300,MATCH($A18&amp;"|"&amp;$C18,Part_Suppliers!$K$2:$K$300,0))),"")</x:f>
        <x:v>https://www.reichelt.de/de/de/shop/produkt/buchsenleiste_2_54mm_1x4_gerade-266671</x:v>
      </x:c>
      <x:c r="L18" s="31" t="n">
        <x:f>IFERROR(VLOOKUP($A18,Stock!$A$5:$K$200,10,FALSE()),0)</x:f>
        <x:v>0</x:v>
      </x:c>
      <x:c r="M18" s="31" t="n">
        <x:f>IFERROR(VLOOKUP($A18,Stock!$A$5:$K$200,11,FALSE()),0)</x:f>
        <x:v>0</x:v>
      </x:c>
      <x:c r="N18" s="31">
        <x:f t="shared" si="3"/>
        <x:v>-1</x:v>
      </x:c>
      <x:c r="O18" s="31">
        <x:f t="shared" si="4"/>
        <x:v>1</x:v>
      </x:c>
      <x:c r="P18" s="50">
        <x:v>0</x:v>
      </x:c>
    </x:row>
    <x:row r="19" ht="14" customHeight="1">
      <x:c r="A19" s="29" t="s">
        <x:v>81</x:v>
      </x:c>
      <x:c r="B19" s="48" t="str">
        <x:f>IFERROR(VLOOKUP($A19,Parts!$A$2:$M$200,3,FALSE()),"")</x:f>
        <x:v>LDO 3.3V SOT-223</x:v>
      </x:c>
      <x:c r="C19" s="29" t="str">
        <x:f>IFERROR(VLOOKUP($A19,Stock!$A$5:$I$200,8,FALSE()),"")</x:f>
        <x:v>Reichelt</x:v>
      </x:c>
      <x:c r="D19" s="29" t="str">
        <x:f>IFERROR(VLOOKUP($A19,Stock!$A$5:$I$200,9,FALSE()),"")</x:f>
        <x:v>BKL 10120946</x:v>
      </x:c>
      <x:c r="E19" s="31" t="n">
        <x:f>SUMIFS(Kit_BOM!$F$2:$F$204,Kit_BOM!$E$2:$E$204,$A19,Kit_BOM!$A$2:$A$204,$A$5,Kit_BOM!$G$2:$G$204,"Bestücken")*$C$5+SUMIFS(Kit_BOM!$F$2:$F$204,Kit_BOM!$E$2:$E$204,$A19,Kit_BOM!$A$2:$A$204,$A$5,Kit_BOM!$G$2:$G$204,"Mechanical")*$C$5+IF($F$5="Ja",SUMIFS(Kit_BOM!$F$2:$F$204,Kit_BOM!$E$2:$E$204,$A19,Kit_BOM!$A$2:$A$204,$A$5,Kit_BOM!$G$2:$G$204,"Optional")*$C$5,0)+IF($F$6="Ja",SUMIFS(Kit_BOM!$F$2:$F$204,Kit_BOM!$E$2:$E$204,$A19,Kit_BOM!$A$2:$A$204,$A$5,Kit_BOM!$G$2:$G$204,"DNP")*$C$5,0)+SUMIFS(Kit_BOM!$F$2:$F$204,Kit_BOM!$E$2:$E$204,$A19,Kit_BOM!$A$2:$A$204,$A$6,Kit_BOM!$G$2:$G$204,"Bestücken")*$C$6+SUMIFS(Kit_BOM!$F$2:$F$204,Kit_BOM!$E$2:$E$204,$A19,Kit_BOM!$A$2:$A$204,$A$6,Kit_BOM!$G$2:$G$204,"Mechanical")*$C$6+IF($F$5="Ja",SUMIFS(Kit_BOM!$F$2:$F$204,Kit_BOM!$E$2:$E$204,$A19,Kit_BOM!$A$2:$A$204,$A$6,Kit_BOM!$G$2:$G$204,"Optional")*$C$6,0)+IF($F$6="Ja",SUMIFS(Kit_BOM!$F$2:$F$204,Kit_BOM!$E$2:$E$204,$A19,Kit_BOM!$A$2:$A$204,$A$6,Kit_BOM!$G$2:$G$204,"DNP")*$C$6,0)+SUMIFS(Kit_BOM!$F$2:$F$204,Kit_BOM!$E$2:$E$204,$A19,Kit_BOM!$A$2:$A$204,$A$7,Kit_BOM!$G$2:$G$204,"Bestücken")*$C$7+SUMIFS(Kit_BOM!$F$2:$F$204,Kit_BOM!$E$2:$E$204,$A19,Kit_BOM!$A$2:$A$204,$A$7,Kit_BOM!$G$2:$G$204,"Mechanical")*$C$7+IF($F$5="Ja",SUMIFS(Kit_BOM!$F$2:$F$204,Kit_BOM!$E$2:$E$204,$A19,Kit_BOM!$A$2:$A$204,$A$7,Kit_BOM!$G$2:$G$204,"Optional")*$C$7,0)+IF($F$6="Ja",SUMIFS(Kit_BOM!$F$2:$F$204,Kit_BOM!$E$2:$E$204,$A19,Kit_BOM!$A$2:$A$204,$A$7,Kit_BOM!$G$2:$G$204,"DNP")*$C$7,0)+SUMIFS(Kit_BOM!$F$2:$F$204,Kit_BOM!$E$2:$E$204,$A19,Kit_BOM!$A$2:$A$204,$A$8,Kit_BOM!$G$2:$G$204,"Bestücken")*$C$8+SUMIFS(Kit_BOM!$F$2:$F$204,Kit_BOM!$E$2:$E$204,$A19,Kit_BOM!$A$2:$A$204,$A$8,Kit_BOM!$G$2:$G$204,"Mechanical")*$C$8+IF($F$5="Ja",SUMIFS(Kit_BOM!$F$2:$F$204,Kit_BOM!$E$2:$E$204,$A19,Kit_BOM!$A$2:$A$204,$A$8,Kit_BOM!$G$2:$G$204,"Optional")*$C$8,0)+IF($F$6="Ja",SUMIFS(Kit_BOM!$F$2:$F$204,Kit_BOM!$E$2:$E$204,$A19,Kit_BOM!$A$2:$A$204,$A$8,Kit_BOM!$G$2:$G$204,"DNP")*$C$8,0)</x:f>
        <x:v>1</x:v>
      </x:c>
      <x:c r="F19" s="31" t="str">
        <x:f>IFERROR(IF(INDEX(Part_Suppliers!$G$2:$G$300,MATCH($A19&amp;"|"&amp;$C19,Part_Suppliers!$K$2:$K$300,0))=0,"",INDEX(Part_Suppliers!$G$2:$G$300,MATCH($A19&amp;"|"&amp;$C19,Part_Suppliers!$K$2:$K$300,0))),"")</x:f>
      </x:c>
      <x:c r="G19" s="31">
        <x:f t="shared" si="0"/>
        <x:v>3</x:v>
      </x:c>
      <x:c r="H19" s="49" t="n">
        <x:f>SUMIFS(Part_Suppliers!$E$2:$E$300,Part_Suppliers!$A$2:$A$300,$A19,Part_Suppliers!$B$2:$B$300,$C19)</x:f>
        <x:v>1</x:v>
      </x:c>
      <x:c r="I19" s="49">
        <x:f t="shared" si="1"/>
        <x:v>3</x:v>
      </x:c>
      <x:c r="J19" t="str">
        <x:f t="shared" si="2"/>
        <x:v>Reichelt bereit</x:v>
      </x:c>
      <x:c r="K19" s="29" t="str">
        <x:f>IFERROR(IF(INDEX(Part_Suppliers!$D$2:$D$300,MATCH($A19&amp;"|"&amp;$C19,Part_Suppliers!$K$2:$K$300,0))=0,"",INDEX(Part_Suppliers!$D$2:$D$300,MATCH($A19&amp;"|"&amp;$C19,Part_Suppliers!$K$2:$K$300,0))),"")</x:f>
        <x:v>https://www.reichelt.de/de/de/shop/produkt/buchsenleiste_2_54mm_1x4_gerade-266671</x:v>
      </x:c>
      <x:c r="L19" s="31" t="n">
        <x:f>IFERROR(VLOOKUP($A19,Stock!$A$5:$K$200,10,FALSE()),0)</x:f>
        <x:v>0</x:v>
      </x:c>
      <x:c r="M19" s="31" t="n">
        <x:f>IFERROR(VLOOKUP($A19,Stock!$A$5:$K$200,11,FALSE()),0)</x:f>
        <x:v>3</x:v>
      </x:c>
      <x:c r="N19" s="31">
        <x:f t="shared" si="3"/>
        <x:v>2</x:v>
      </x:c>
      <x:c r="O19" s="31">
        <x:f t="shared" si="4"/>
        <x:v>0</x:v>
      </x:c>
      <x:c r="P19" s="50">
        <x:v>0</x:v>
      </x:c>
    </x:row>
    <x:row r="20" ht="14" customHeight="1">
      <x:c r="A20" s="29" t="s">
        <x:v>90</x:v>
      </x:c>
      <x:c r="B20" s="48" t="str">
        <x:f>IFERROR(VLOOKUP($A20,Parts!$A$2:$M$200,3,FALSE()),"")</x:f>
        <x:v>ESP32-DevKitC</x:v>
      </x:c>
      <x:c r="C20" s="29" t="str">
        <x:f>IFERROR(VLOOKUP($A20,Stock!$A$5:$I$200,8,FALSE()),"")</x:f>
        <x:v>Noch festlegen</x:v>
      </x:c>
      <x:c r="D20" s="29" t="str">
        <x:f>IFERROR(VLOOKUP($A20,Stock!$A$5:$I$200,9,FALSE()),"")</x:f>
      </x:c>
      <x:c r="E20" s="31" t="n">
        <x:f>SUMIFS(Kit_BOM!$F$2:$F$204,Kit_BOM!$E$2:$E$204,$A20,Kit_BOM!$A$2:$A$204,$A$5,Kit_BOM!$G$2:$G$204,"Bestücken")*$C$5+SUMIFS(Kit_BOM!$F$2:$F$204,Kit_BOM!$E$2:$E$204,$A20,Kit_BOM!$A$2:$A$204,$A$5,Kit_BOM!$G$2:$G$204,"Mechanical")*$C$5+IF($F$5="Ja",SUMIFS(Kit_BOM!$F$2:$F$204,Kit_BOM!$E$2:$E$204,$A20,Kit_BOM!$A$2:$A$204,$A$5,Kit_BOM!$G$2:$G$204,"Optional")*$C$5,0)+IF($F$6="Ja",SUMIFS(Kit_BOM!$F$2:$F$204,Kit_BOM!$E$2:$E$204,$A20,Kit_BOM!$A$2:$A$204,$A$5,Kit_BOM!$G$2:$G$204,"DNP")*$C$5,0)+SUMIFS(Kit_BOM!$F$2:$F$204,Kit_BOM!$E$2:$E$204,$A20,Kit_BOM!$A$2:$A$204,$A$6,Kit_BOM!$G$2:$G$204,"Bestücken")*$C$6+SUMIFS(Kit_BOM!$F$2:$F$204,Kit_BOM!$E$2:$E$204,$A20,Kit_BOM!$A$2:$A$204,$A$6,Kit_BOM!$G$2:$G$204,"Mechanical")*$C$6+IF($F$5="Ja",SUMIFS(Kit_BOM!$F$2:$F$204,Kit_BOM!$E$2:$E$204,$A20,Kit_BOM!$A$2:$A$204,$A$6,Kit_BOM!$G$2:$G$204,"Optional")*$C$6,0)+IF($F$6="Ja",SUMIFS(Kit_BOM!$F$2:$F$204,Kit_BOM!$E$2:$E$204,$A20,Kit_BOM!$A$2:$A$204,$A$6,Kit_BOM!$G$2:$G$204,"DNP")*$C$6,0)+SUMIFS(Kit_BOM!$F$2:$F$204,Kit_BOM!$E$2:$E$204,$A20,Kit_BOM!$A$2:$A$204,$A$7,Kit_BOM!$G$2:$G$204,"Bestücken")*$C$7+SUMIFS(Kit_BOM!$F$2:$F$204,Kit_BOM!$E$2:$E$204,$A20,Kit_BOM!$A$2:$A$204,$A$7,Kit_BOM!$G$2:$G$204,"Mechanical")*$C$7+IF($F$5="Ja",SUMIFS(Kit_BOM!$F$2:$F$204,Kit_BOM!$E$2:$E$204,$A20,Kit_BOM!$A$2:$A$204,$A$7,Kit_BOM!$G$2:$G$204,"Optional")*$C$7,0)+IF($F$6="Ja",SUMIFS(Kit_BOM!$F$2:$F$204,Kit_BOM!$E$2:$E$204,$A20,Kit_BOM!$A$2:$A$204,$A$7,Kit_BOM!$G$2:$G$204,"DNP")*$C$7,0)+SUMIFS(Kit_BOM!$F$2:$F$204,Kit_BOM!$E$2:$E$204,$A20,Kit_BOM!$A$2:$A$204,$A$8,Kit_BOM!$G$2:$G$204,"Bestücken")*$C$8+SUMIFS(Kit_BOM!$F$2:$F$204,Kit_BOM!$E$2:$E$204,$A20,Kit_BOM!$A$2:$A$204,$A$8,Kit_BOM!$G$2:$G$204,"Mechanical")*$C$8+IF($F$5="Ja",SUMIFS(Kit_BOM!$F$2:$F$204,Kit_BOM!$E$2:$E$204,$A20,Kit_BOM!$A$2:$A$204,$A$8,Kit_BOM!$G$2:$G$204,"Optional")*$C$8,0)+IF($F$6="Ja",SUMIFS(Kit_BOM!$F$2:$F$204,Kit_BOM!$E$2:$E$204,$A20,Kit_BOM!$A$2:$A$204,$A$8,Kit_BOM!$G$2:$G$204,"DNP")*$C$8,0)</x:f>
        <x:v>1</x:v>
      </x:c>
      <x:c r="F20" s="31" t="n">
        <x:f>IFERROR(IF(INDEX(Part_Suppliers!$G$2:$G$300,MATCH($A20&amp;"|"&amp;$C20,Part_Suppliers!$K$2:$K$300,0))=0,"",INDEX(Part_Suppliers!$G$2:$G$300,MATCH($A20&amp;"|"&amp;$C20,Part_Suppliers!$K$2:$K$300,0))),"")</x:f>
        <x:v>3</x:v>
      </x:c>
      <x:c r="G20" s="31">
        <x:f t="shared" si="0"/>
        <x:v>3</x:v>
      </x:c>
      <x:c r="H20" s="49" t="n">
        <x:f>SUMIFS(Part_Suppliers!$E$2:$E$300,Part_Suppliers!$A$2:$A$300,$A20,Part_Suppliers!$B$2:$B$300,$C20)</x:f>
        <x:v>5</x:v>
      </x:c>
      <x:c r="I20" s="49">
        <x:f t="shared" si="1"/>
        <x:v>15</x:v>
      </x:c>
      <x:c r="J20" t="str">
        <x:f t="shared" si="2"/>
        <x:v>Anderer Lieferant</x:v>
      </x:c>
      <x:c r="K20" s="29" t="str">
        <x:f>IFERROR(IF(INDEX(Part_Suppliers!$D$2:$D$300,MATCH($A20&amp;"|"&amp;$C20,Part_Suppliers!$K$2:$K$300,0))=0,"",INDEX(Part_Suppliers!$D$2:$D$300,MATCH($A20&amp;"|"&amp;$C20,Part_Suppliers!$K$2:$K$300,0))),"")</x:f>
      </x:c>
      <x:c r="L20" s="31" t="n">
        <x:f>IFERROR(VLOOKUP($A20,Stock!$A$5:$K$200,10,FALSE()),0)</x:f>
        <x:v>3</x:v>
      </x:c>
      <x:c r="M20" s="31" t="n">
        <x:f>IFERROR(VLOOKUP($A20,Stock!$A$5:$K$200,11,FALSE()),0)</x:f>
        <x:v>0</x:v>
      </x:c>
      <x:c r="N20" s="31">
        <x:f t="shared" si="3"/>
        <x:v>2</x:v>
      </x:c>
      <x:c r="O20" s="31">
        <x:f t="shared" si="4"/>
        <x:v>0</x:v>
      </x:c>
      <x:c r="P20" s="50">
        <x:v>0</x:v>
      </x:c>
    </x:row>
    <x:row r="21" ht="14" customHeight="1">
      <x:c r="A21" s="29" t="s">
        <x:v>106</x:v>
      </x:c>
      <x:c r="B21" s="48" t="str">
        <x:f>IFERROR(VLOOKUP($A21,Parts!$A$2:$M$200,3,FALSE()),"")</x:f>
        <x:v>JST - Stiftleiste, gerade, 1x2-polig - PH</x:v>
      </x:c>
      <x:c r="C21" s="29" t="str">
        <x:f>IFERROR(VLOOKUP($A21,Stock!$A$5:$I$200,8,FALSE()),"")</x:f>
        <x:v>Reichelt</x:v>
      </x:c>
      <x:c r="D21" s="29" t="str">
        <x:f>IFERROR(VLOOKUP($A21,Stock!$A$5:$I$200,9,FALSE()),"")</x:f>
        <x:v>BKL 10120946</x:v>
      </x:c>
      <x:c r="E21" s="31" t="n">
        <x:f>SUMIFS(Kit_BOM!$F$2:$F$204,Kit_BOM!$E$2:$E$204,$A21,Kit_BOM!$A$2:$A$204,$A$5,Kit_BOM!$G$2:$G$204,"Bestücken")*$C$5+SUMIFS(Kit_BOM!$F$2:$F$204,Kit_BOM!$E$2:$E$204,$A21,Kit_BOM!$A$2:$A$204,$A$5,Kit_BOM!$G$2:$G$204,"Mechanical")*$C$5+IF($F$5="Ja",SUMIFS(Kit_BOM!$F$2:$F$204,Kit_BOM!$E$2:$E$204,$A21,Kit_BOM!$A$2:$A$204,$A$5,Kit_BOM!$G$2:$G$204,"Optional")*$C$5,0)+IF($F$6="Ja",SUMIFS(Kit_BOM!$F$2:$F$204,Kit_BOM!$E$2:$E$204,$A21,Kit_BOM!$A$2:$A$204,$A$5,Kit_BOM!$G$2:$G$204,"DNP")*$C$5,0)+SUMIFS(Kit_BOM!$F$2:$F$204,Kit_BOM!$E$2:$E$204,$A21,Kit_BOM!$A$2:$A$204,$A$6,Kit_BOM!$G$2:$G$204,"Bestücken")*$C$6+SUMIFS(Kit_BOM!$F$2:$F$204,Kit_BOM!$E$2:$E$204,$A21,Kit_BOM!$A$2:$A$204,$A$6,Kit_BOM!$G$2:$G$204,"Mechanical")*$C$6+IF($F$5="Ja",SUMIFS(Kit_BOM!$F$2:$F$204,Kit_BOM!$E$2:$E$204,$A21,Kit_BOM!$A$2:$A$204,$A$6,Kit_BOM!$G$2:$G$204,"Optional")*$C$6,0)+IF($F$6="Ja",SUMIFS(Kit_BOM!$F$2:$F$204,Kit_BOM!$E$2:$E$204,$A21,Kit_BOM!$A$2:$A$204,$A$6,Kit_BOM!$G$2:$G$204,"DNP")*$C$6,0)+SUMIFS(Kit_BOM!$F$2:$F$204,Kit_BOM!$E$2:$E$204,$A21,Kit_BOM!$A$2:$A$204,$A$7,Kit_BOM!$G$2:$G$204,"Bestücken")*$C$7+SUMIFS(Kit_BOM!$F$2:$F$204,Kit_BOM!$E$2:$E$204,$A21,Kit_BOM!$A$2:$A$204,$A$7,Kit_BOM!$G$2:$G$204,"Mechanical")*$C$7+IF($F$5="Ja",SUMIFS(Kit_BOM!$F$2:$F$204,Kit_BOM!$E$2:$E$204,$A21,Kit_BOM!$A$2:$A$204,$A$7,Kit_BOM!$G$2:$G$204,"Optional")*$C$7,0)+IF($F$6="Ja",SUMIFS(Kit_BOM!$F$2:$F$204,Kit_BOM!$E$2:$E$204,$A21,Kit_BOM!$A$2:$A$204,$A$7,Kit_BOM!$G$2:$G$204,"DNP")*$C$7,0)+SUMIFS(Kit_BOM!$F$2:$F$204,Kit_BOM!$E$2:$E$204,$A21,Kit_BOM!$A$2:$A$204,$A$8,Kit_BOM!$G$2:$G$204,"Bestücken")*$C$8+SUMIFS(Kit_BOM!$F$2:$F$204,Kit_BOM!$E$2:$E$204,$A21,Kit_BOM!$A$2:$A$204,$A$8,Kit_BOM!$G$2:$G$204,"Mechanical")*$C$8+IF($F$5="Ja",SUMIFS(Kit_BOM!$F$2:$F$204,Kit_BOM!$E$2:$E$204,$A21,Kit_BOM!$A$2:$A$204,$A$8,Kit_BOM!$G$2:$G$204,"Optional")*$C$8,0)+IF($F$6="Ja",SUMIFS(Kit_BOM!$F$2:$F$204,Kit_BOM!$E$2:$E$204,$A21,Kit_BOM!$A$2:$A$204,$A$8,Kit_BOM!$G$2:$G$204,"DNP")*$C$8,0)</x:f>
        <x:v>1</x:v>
      </x:c>
      <x:c r="F21" s="31" t="str">
        <x:f>IFERROR(IF(INDEX(Part_Suppliers!$G$2:$G$300,MATCH($A21&amp;"|"&amp;$C21,Part_Suppliers!$K$2:$K$300,0))=0,"",INDEX(Part_Suppliers!$G$2:$G$300,MATCH($A21&amp;"|"&amp;$C21,Part_Suppliers!$K$2:$K$300,0))),"")</x:f>
      </x:c>
      <x:c r="G21" s="31">
        <x:f t="shared" si="0"/>
        <x:v>1</x:v>
      </x:c>
      <x:c r="H21" s="49" t="n">
        <x:f>SUMIFS(Part_Suppliers!$E$2:$E$300,Part_Suppliers!$A$2:$A$300,$A21,Part_Suppliers!$B$2:$B$300,$C21)</x:f>
        <x:v>1.3</x:v>
      </x:c>
      <x:c r="I21" s="49">
        <x:f t="shared" si="1"/>
        <x:v>1.3</x:v>
      </x:c>
      <x:c r="J21" t="str">
        <x:f t="shared" si="2"/>
        <x:v>Reichelt bereit</x:v>
      </x:c>
      <x:c r="K21" s="29" t="str">
        <x:f>IFERROR(IF(INDEX(Part_Suppliers!$D$2:$D$300,MATCH($A21&amp;"|"&amp;$C21,Part_Suppliers!$K$2:$K$300,0))=0,"",INDEX(Part_Suppliers!$D$2:$D$300,MATCH($A21&amp;"|"&amp;$C21,Part_Suppliers!$K$2:$K$300,0))),"")</x:f>
        <x:v>https://www.reichelt.de/de/de/shop/produkt/buchsenleiste_2_54mm_1x4_gerade-266671</x:v>
      </x:c>
      <x:c r="L21" s="31" t="n">
        <x:f>IFERROR(VLOOKUP($A21,Stock!$A$5:$K$200,10,FALSE()),0)</x:f>
        <x:v>0</x:v>
      </x:c>
      <x:c r="M21" s="31" t="n">
        <x:f>IFERROR(VLOOKUP($A21,Stock!$A$5:$K$200,11,FALSE()),0)</x:f>
        <x:v>0</x:v>
      </x:c>
      <x:c r="N21" s="31">
        <x:f t="shared" si="3"/>
        <x:v>-1</x:v>
      </x:c>
      <x:c r="O21" s="31">
        <x:f t="shared" si="4"/>
        <x:v>1</x:v>
      </x:c>
      <x:c r="P21" s="50">
        <x:v>0</x:v>
      </x:c>
    </x:row>
    <x:row r="22" ht="14" customHeight="1">
      <x:c r="A22" s="29" t="s">
        <x:v>112</x:v>
      </x:c>
      <x:c r="B22" s="48" t="str">
        <x:f>IFERROR(VLOOKUP($A22,Parts!$A$2:$M$200,3,FALSE()),"")</x:f>
        <x:v>MOSFET, N-Ch 30V 5,7A 0,018R, SOT-23</x:v>
      </x:c>
      <x:c r="C22" s="29" t="str">
        <x:f>IFERROR(VLOOKUP($A22,Stock!$A$5:$I$200,8,FALSE()),"")</x:f>
        <x:v>Reichelt</x:v>
      </x:c>
      <x:c r="D22" s="29" t="str">
        <x:f>IFERROR(VLOOKUP($A22,Stock!$A$5:$I$200,9,FALSE()),"")</x:f>
        <x:v>BKL 10120946</x:v>
      </x:c>
      <x:c r="E22" s="31" t="n">
        <x:f>SUMIFS(Kit_BOM!$F$2:$F$204,Kit_BOM!$E$2:$E$204,$A22,Kit_BOM!$A$2:$A$204,$A$5,Kit_BOM!$G$2:$G$204,"Bestücken")*$C$5+SUMIFS(Kit_BOM!$F$2:$F$204,Kit_BOM!$E$2:$E$204,$A22,Kit_BOM!$A$2:$A$204,$A$5,Kit_BOM!$G$2:$G$204,"Mechanical")*$C$5+IF($F$5="Ja",SUMIFS(Kit_BOM!$F$2:$F$204,Kit_BOM!$E$2:$E$204,$A22,Kit_BOM!$A$2:$A$204,$A$5,Kit_BOM!$G$2:$G$204,"Optional")*$C$5,0)+IF($F$6="Ja",SUMIFS(Kit_BOM!$F$2:$F$204,Kit_BOM!$E$2:$E$204,$A22,Kit_BOM!$A$2:$A$204,$A$5,Kit_BOM!$G$2:$G$204,"DNP")*$C$5,0)+SUMIFS(Kit_BOM!$F$2:$F$204,Kit_BOM!$E$2:$E$204,$A22,Kit_BOM!$A$2:$A$204,$A$6,Kit_BOM!$G$2:$G$204,"Bestücken")*$C$6+SUMIFS(Kit_BOM!$F$2:$F$204,Kit_BOM!$E$2:$E$204,$A22,Kit_BOM!$A$2:$A$204,$A$6,Kit_BOM!$G$2:$G$204,"Mechanical")*$C$6+IF($F$5="Ja",SUMIFS(Kit_BOM!$F$2:$F$204,Kit_BOM!$E$2:$E$204,$A22,Kit_BOM!$A$2:$A$204,$A$6,Kit_BOM!$G$2:$G$204,"Optional")*$C$6,0)+IF($F$6="Ja",SUMIFS(Kit_BOM!$F$2:$F$204,Kit_BOM!$E$2:$E$204,$A22,Kit_BOM!$A$2:$A$204,$A$6,Kit_BOM!$G$2:$G$204,"DNP")*$C$6,0)+SUMIFS(Kit_BOM!$F$2:$F$204,Kit_BOM!$E$2:$E$204,$A22,Kit_BOM!$A$2:$A$204,$A$7,Kit_BOM!$G$2:$G$204,"Bestücken")*$C$7+SUMIFS(Kit_BOM!$F$2:$F$204,Kit_BOM!$E$2:$E$204,$A22,Kit_BOM!$A$2:$A$204,$A$7,Kit_BOM!$G$2:$G$204,"Mechanical")*$C$7+IF($F$5="Ja",SUMIFS(Kit_BOM!$F$2:$F$204,Kit_BOM!$E$2:$E$204,$A22,Kit_BOM!$A$2:$A$204,$A$7,Kit_BOM!$G$2:$G$204,"Optional")*$C$7,0)+IF($F$6="Ja",SUMIFS(Kit_BOM!$F$2:$F$204,Kit_BOM!$E$2:$E$204,$A22,Kit_BOM!$A$2:$A$204,$A$7,Kit_BOM!$G$2:$G$204,"DNP")*$C$7,0)+SUMIFS(Kit_BOM!$F$2:$F$204,Kit_BOM!$E$2:$E$204,$A22,Kit_BOM!$A$2:$A$204,$A$8,Kit_BOM!$G$2:$G$204,"Bestücken")*$C$8+SUMIFS(Kit_BOM!$F$2:$F$204,Kit_BOM!$E$2:$E$204,$A22,Kit_BOM!$A$2:$A$204,$A$8,Kit_BOM!$G$2:$G$204,"Mechanical")*$C$8+IF($F$5="Ja",SUMIFS(Kit_BOM!$F$2:$F$204,Kit_BOM!$E$2:$E$204,$A22,Kit_BOM!$A$2:$A$204,$A$8,Kit_BOM!$G$2:$G$204,"Optional")*$C$8,0)+IF($F$6="Ja",SUMIFS(Kit_BOM!$F$2:$F$204,Kit_BOM!$E$2:$E$204,$A22,Kit_BOM!$A$2:$A$204,$A$8,Kit_BOM!$G$2:$G$204,"DNP")*$C$8,0)</x:f>
        <x:v>0</x:v>
      </x:c>
      <x:c r="F22" s="31" t="str">
        <x:f>IFERROR(IF(INDEX(Part_Suppliers!$G$2:$G$300,MATCH($A22&amp;"|"&amp;$C22,Part_Suppliers!$K$2:$K$300,0))=0,"",INDEX(Part_Suppliers!$G$2:$G$300,MATCH($A22&amp;"|"&amp;$C22,Part_Suppliers!$K$2:$K$300,0))),"")</x:f>
      </x:c>
      <x:c r="G22" s="31">
        <x:f t="shared" si="0"/>
        <x:v>0</x:v>
      </x:c>
      <x:c r="H22" s="49" t="n">
        <x:f>SUMIFS(Part_Suppliers!$E$2:$E$300,Part_Suppliers!$A$2:$A$300,$A22,Part_Suppliers!$B$2:$B$300,$C22)</x:f>
        <x:v>0.18</x:v>
      </x:c>
      <x:c r="I22" s="49">
        <x:f t="shared" si="1"/>
        <x:v>0</x:v>
      </x:c>
      <x:c r="J22" t="str">
        <x:f t="shared" si="2"/>
        <x:v>Nicht benötigt</x:v>
      </x:c>
      <x:c r="K22" s="29" t="str">
        <x:f>IFERROR(IF(INDEX(Part_Suppliers!$D$2:$D$300,MATCH($A22&amp;"|"&amp;$C22,Part_Suppliers!$K$2:$K$300,0))=0,"",INDEX(Part_Suppliers!$D$2:$D$300,MATCH($A22&amp;"|"&amp;$C22,Part_Suppliers!$K$2:$K$300,0))),"")</x:f>
        <x:v>https://www.reichelt.de/de/de/shop/produkt/buchsenleiste_2_54mm_1x4_gerade-266671</x:v>
      </x:c>
      <x:c r="L22" s="31" t="n">
        <x:f>IFERROR(VLOOKUP($A22,Stock!$A$5:$K$200,10,FALSE()),0)</x:f>
        <x:v>0</x:v>
      </x:c>
      <x:c r="M22" s="31" t="n">
        <x:f>IFERROR(VLOOKUP($A22,Stock!$A$5:$K$200,11,FALSE()),0)</x:f>
        <x:v>5</x:v>
      </x:c>
      <x:c r="N22" s="31">
        <x:f t="shared" si="3"/>
        <x:v>5</x:v>
      </x:c>
      <x:c r="O22" s="31">
        <x:f t="shared" si="4"/>
        <x:v>0</x:v>
      </x:c>
      <x:c r="P22" s="50">
        <x:v>0</x:v>
      </x:c>
    </x:row>
    <x:row r="23" ht="26.25" customHeight="1">
      <x:c r="A23" s="29" t="s">
        <x:v>133</x:v>
      </x:c>
      <x:c r="B23" s="48" t="str">
        <x:f>IFERROR(VLOOKUP($A23,Parts!$A$2:$M$200,3,FALSE()),"")</x:f>
        <x:v>SMD-Widerstand, 1206, 100 kOhm, 250 mW, 0,1%</x:v>
      </x:c>
      <x:c r="C23" s="29" t="str">
        <x:f>IFERROR(VLOOKUP($A23,Stock!$A$5:$I$200,8,FALSE()),"")</x:f>
        <x:v>Reichelt</x:v>
      </x:c>
      <x:c r="D23" s="29" t="str">
        <x:f>IFERROR(VLOOKUP($A23,Stock!$A$5:$I$200,9,FALSE()),"")</x:f>
        <x:v>BKL 10120946</x:v>
      </x:c>
      <x:c r="E23" s="31" t="n">
        <x:f>SUMIFS(Kit_BOM!$F$2:$F$204,Kit_BOM!$E$2:$E$204,$A23,Kit_BOM!$A$2:$A$204,$A$5,Kit_BOM!$G$2:$G$204,"Bestücken")*$C$5+SUMIFS(Kit_BOM!$F$2:$F$204,Kit_BOM!$E$2:$E$204,$A23,Kit_BOM!$A$2:$A$204,$A$5,Kit_BOM!$G$2:$G$204,"Mechanical")*$C$5+IF($F$5="Ja",SUMIFS(Kit_BOM!$F$2:$F$204,Kit_BOM!$E$2:$E$204,$A23,Kit_BOM!$A$2:$A$204,$A$5,Kit_BOM!$G$2:$G$204,"Optional")*$C$5,0)+IF($F$6="Ja",SUMIFS(Kit_BOM!$F$2:$F$204,Kit_BOM!$E$2:$E$204,$A23,Kit_BOM!$A$2:$A$204,$A$5,Kit_BOM!$G$2:$G$204,"DNP")*$C$5,0)+SUMIFS(Kit_BOM!$F$2:$F$204,Kit_BOM!$E$2:$E$204,$A23,Kit_BOM!$A$2:$A$204,$A$6,Kit_BOM!$G$2:$G$204,"Bestücken")*$C$6+SUMIFS(Kit_BOM!$F$2:$F$204,Kit_BOM!$E$2:$E$204,$A23,Kit_BOM!$A$2:$A$204,$A$6,Kit_BOM!$G$2:$G$204,"Mechanical")*$C$6+IF($F$5="Ja",SUMIFS(Kit_BOM!$F$2:$F$204,Kit_BOM!$E$2:$E$204,$A23,Kit_BOM!$A$2:$A$204,$A$6,Kit_BOM!$G$2:$G$204,"Optional")*$C$6,0)+IF($F$6="Ja",SUMIFS(Kit_BOM!$F$2:$F$204,Kit_BOM!$E$2:$E$204,$A23,Kit_BOM!$A$2:$A$204,$A$6,Kit_BOM!$G$2:$G$204,"DNP")*$C$6,0)+SUMIFS(Kit_BOM!$F$2:$F$204,Kit_BOM!$E$2:$E$204,$A23,Kit_BOM!$A$2:$A$204,$A$7,Kit_BOM!$G$2:$G$204,"Bestücken")*$C$7+SUMIFS(Kit_BOM!$F$2:$F$204,Kit_BOM!$E$2:$E$204,$A23,Kit_BOM!$A$2:$A$204,$A$7,Kit_BOM!$G$2:$G$204,"Mechanical")*$C$7+IF($F$5="Ja",SUMIFS(Kit_BOM!$F$2:$F$204,Kit_BOM!$E$2:$E$204,$A23,Kit_BOM!$A$2:$A$204,$A$7,Kit_BOM!$G$2:$G$204,"Optional")*$C$7,0)+IF($F$6="Ja",SUMIFS(Kit_BOM!$F$2:$F$204,Kit_BOM!$E$2:$E$204,$A23,Kit_BOM!$A$2:$A$204,$A$7,Kit_BOM!$G$2:$G$204,"DNP")*$C$7,0)+SUMIFS(Kit_BOM!$F$2:$F$204,Kit_BOM!$E$2:$E$204,$A23,Kit_BOM!$A$2:$A$204,$A$8,Kit_BOM!$G$2:$G$204,"Bestücken")*$C$8+SUMIFS(Kit_BOM!$F$2:$F$204,Kit_BOM!$E$2:$E$204,$A23,Kit_BOM!$A$2:$A$204,$A$8,Kit_BOM!$G$2:$G$204,"Mechanical")*$C$8+IF($F$5="Ja",SUMIFS(Kit_BOM!$F$2:$F$204,Kit_BOM!$E$2:$E$204,$A23,Kit_BOM!$A$2:$A$204,$A$8,Kit_BOM!$G$2:$G$204,"Optional")*$C$8,0)+IF($F$6="Ja",SUMIFS(Kit_BOM!$F$2:$F$204,Kit_BOM!$E$2:$E$204,$A23,Kit_BOM!$A$2:$A$204,$A$8,Kit_BOM!$G$2:$G$204,"DNP")*$C$8,0)</x:f>
        <x:v>0</x:v>
      </x:c>
      <x:c r="F23" s="31" t="str">
        <x:f>IFERROR(IF(INDEX(Part_Suppliers!$G$2:$G$300,MATCH($A23&amp;"|"&amp;$C23,Part_Suppliers!$K$2:$K$300,0))=0,"",INDEX(Part_Suppliers!$G$2:$G$300,MATCH($A23&amp;"|"&amp;$C23,Part_Suppliers!$K$2:$K$300,0))),"")</x:f>
      </x:c>
      <x:c r="G23" s="31">
        <x:f t="shared" si="0"/>
        <x:v>0</x:v>
      </x:c>
      <x:c r="H23" s="49" t="n">
        <x:f>SUMIFS(Part_Suppliers!$E$2:$E$300,Part_Suppliers!$A$2:$A$300,$A23,Part_Suppliers!$B$2:$B$300,$C23)</x:f>
        <x:v>0.83</x:v>
      </x:c>
      <x:c r="I23" s="49">
        <x:f t="shared" si="1"/>
        <x:v>0</x:v>
      </x:c>
      <x:c r="J23" t="str">
        <x:f t="shared" si="2"/>
        <x:v>Nicht benötigt</x:v>
      </x:c>
      <x:c r="K23" s="29" t="str">
        <x:f>IFERROR(IF(INDEX(Part_Suppliers!$D$2:$D$300,MATCH($A23&amp;"|"&amp;$C23,Part_Suppliers!$K$2:$K$300,0))=0,"",INDEX(Part_Suppliers!$D$2:$D$300,MATCH($A23&amp;"|"&amp;$C23,Part_Suppliers!$K$2:$K$300,0))),"")</x:f>
        <x:v>https://www.reichelt.de/de/de/shop/produkt/buchsenleiste_2_54mm_1x4_gerade-266671</x:v>
      </x:c>
      <x:c r="L23" s="31" t="n">
        <x:f>IFERROR(VLOOKUP($A23,Stock!$A$5:$K$200,10,FALSE()),0)</x:f>
        <x:v>4</x:v>
      </x:c>
      <x:c r="M23" s="31" t="n">
        <x:f>IFERROR(VLOOKUP($A23,Stock!$A$5:$K$200,11,FALSE()),0)</x:f>
        <x:v>0</x:v>
      </x:c>
      <x:c r="N23" s="31">
        <x:f t="shared" si="3"/>
        <x:v>4</x:v>
      </x:c>
      <x:c r="O23" s="31">
        <x:f t="shared" si="4"/>
        <x:v>0</x:v>
      </x:c>
      <x:c r="P23" s="50">
        <x:v>0</x:v>
      </x:c>
    </x:row>
    <x:row r="24" ht="26.25" customHeight="1">
      <x:c r="A24" s="29" t="s">
        <x:v>141</x:v>
      </x:c>
      <x:c r="B24" s="48" t="str">
        <x:f>IFERROR(VLOOKUP($A24,Parts!$A$2:$M$200,3,FALSE()),"")</x:f>
        <x:v>SMD-Widerstand, 1206, 100 Ohm, 250 mW, 5%</x:v>
      </x:c>
      <x:c r="C24" s="29" t="str">
        <x:f>IFERROR(VLOOKUP($A24,Stock!$A$5:$I$200,8,FALSE()),"")</x:f>
        <x:v>Reichelt</x:v>
      </x:c>
      <x:c r="D24" s="29" t="str">
        <x:f>IFERROR(VLOOKUP($A24,Stock!$A$5:$I$200,9,FALSE()),"")</x:f>
        <x:v>BKL 10120946</x:v>
      </x:c>
      <x:c r="E24" s="31" t="n">
        <x:f>SUMIFS(Kit_BOM!$F$2:$F$204,Kit_BOM!$E$2:$E$204,$A24,Kit_BOM!$A$2:$A$204,$A$5,Kit_BOM!$G$2:$G$204,"Bestücken")*$C$5+SUMIFS(Kit_BOM!$F$2:$F$204,Kit_BOM!$E$2:$E$204,$A24,Kit_BOM!$A$2:$A$204,$A$5,Kit_BOM!$G$2:$G$204,"Mechanical")*$C$5+IF($F$5="Ja",SUMIFS(Kit_BOM!$F$2:$F$204,Kit_BOM!$E$2:$E$204,$A24,Kit_BOM!$A$2:$A$204,$A$5,Kit_BOM!$G$2:$G$204,"Optional")*$C$5,0)+IF($F$6="Ja",SUMIFS(Kit_BOM!$F$2:$F$204,Kit_BOM!$E$2:$E$204,$A24,Kit_BOM!$A$2:$A$204,$A$5,Kit_BOM!$G$2:$G$204,"DNP")*$C$5,0)+SUMIFS(Kit_BOM!$F$2:$F$204,Kit_BOM!$E$2:$E$204,$A24,Kit_BOM!$A$2:$A$204,$A$6,Kit_BOM!$G$2:$G$204,"Bestücken")*$C$6+SUMIFS(Kit_BOM!$F$2:$F$204,Kit_BOM!$E$2:$E$204,$A24,Kit_BOM!$A$2:$A$204,$A$6,Kit_BOM!$G$2:$G$204,"Mechanical")*$C$6+IF($F$5="Ja",SUMIFS(Kit_BOM!$F$2:$F$204,Kit_BOM!$E$2:$E$204,$A24,Kit_BOM!$A$2:$A$204,$A$6,Kit_BOM!$G$2:$G$204,"Optional")*$C$6,0)+IF($F$6="Ja",SUMIFS(Kit_BOM!$F$2:$F$204,Kit_BOM!$E$2:$E$204,$A24,Kit_BOM!$A$2:$A$204,$A$6,Kit_BOM!$G$2:$G$204,"DNP")*$C$6,0)+SUMIFS(Kit_BOM!$F$2:$F$204,Kit_BOM!$E$2:$E$204,$A24,Kit_BOM!$A$2:$A$204,$A$7,Kit_BOM!$G$2:$G$204,"Bestücken")*$C$7+SUMIFS(Kit_BOM!$F$2:$F$204,Kit_BOM!$E$2:$E$204,$A24,Kit_BOM!$A$2:$A$204,$A$7,Kit_BOM!$G$2:$G$204,"Mechanical")*$C$7+IF($F$5="Ja",SUMIFS(Kit_BOM!$F$2:$F$204,Kit_BOM!$E$2:$E$204,$A24,Kit_BOM!$A$2:$A$204,$A$7,Kit_BOM!$G$2:$G$204,"Optional")*$C$7,0)+IF($F$6="Ja",SUMIFS(Kit_BOM!$F$2:$F$204,Kit_BOM!$E$2:$E$204,$A24,Kit_BOM!$A$2:$A$204,$A$7,Kit_BOM!$G$2:$G$204,"DNP")*$C$7,0)+SUMIFS(Kit_BOM!$F$2:$F$204,Kit_BOM!$E$2:$E$204,$A24,Kit_BOM!$A$2:$A$204,$A$8,Kit_BOM!$G$2:$G$204,"Bestücken")*$C$8+SUMIFS(Kit_BOM!$F$2:$F$204,Kit_BOM!$E$2:$E$204,$A24,Kit_BOM!$A$2:$A$204,$A$8,Kit_BOM!$G$2:$G$204,"Mechanical")*$C$8+IF($F$5="Ja",SUMIFS(Kit_BOM!$F$2:$F$204,Kit_BOM!$E$2:$E$204,$A24,Kit_BOM!$A$2:$A$204,$A$8,Kit_BOM!$G$2:$G$204,"Optional")*$C$8,0)+IF($F$6="Ja",SUMIFS(Kit_BOM!$F$2:$F$204,Kit_BOM!$E$2:$E$204,$A24,Kit_BOM!$A$2:$A$204,$A$8,Kit_BOM!$G$2:$G$204,"DNP")*$C$8,0)</x:f>
        <x:v>0</x:v>
      </x:c>
      <x:c r="F24" s="31" t="str">
        <x:f>IFERROR(IF(INDEX(Part_Suppliers!$G$2:$G$300,MATCH($A24&amp;"|"&amp;$C24,Part_Suppliers!$K$2:$K$300,0))=0,"",INDEX(Part_Suppliers!$G$2:$G$300,MATCH($A24&amp;"|"&amp;$C24,Part_Suppliers!$K$2:$K$300,0))),"")</x:f>
      </x:c>
      <x:c r="G24" s="31">
        <x:f t="shared" si="0"/>
        <x:v>0</x:v>
      </x:c>
      <x:c r="H24" s="49" t="n">
        <x:f>SUMIFS(Part_Suppliers!$E$2:$E$300,Part_Suppliers!$A$2:$A$300,$A24,Part_Suppliers!$B$2:$B$300,$C24)</x:f>
        <x:v>0.06</x:v>
      </x:c>
      <x:c r="I24" s="49">
        <x:f t="shared" si="1"/>
        <x:v>0</x:v>
      </x:c>
      <x:c r="J24" t="str">
        <x:f t="shared" si="2"/>
        <x:v>Nicht benötigt</x:v>
      </x:c>
      <x:c r="K24" s="29" t="str">
        <x:f>IFERROR(IF(INDEX(Part_Suppliers!$D$2:$D$300,MATCH($A24&amp;"|"&amp;$C24,Part_Suppliers!$K$2:$K$300,0))=0,"",INDEX(Part_Suppliers!$D$2:$D$300,MATCH($A24&amp;"|"&amp;$C24,Part_Suppliers!$K$2:$K$300,0))),"")</x:f>
        <x:v>https://www.reichelt.de/de/de/shop/produkt/buchsenleiste_2_54mm_1x4_gerade-266671</x:v>
      </x:c>
      <x:c r="L24" s="31" t="n">
        <x:f>IFERROR(VLOOKUP($A24,Stock!$A$5:$K$200,10,FALSE()),0)</x:f>
        <x:v>50</x:v>
      </x:c>
      <x:c r="M24" s="31" t="n">
        <x:f>IFERROR(VLOOKUP($A24,Stock!$A$5:$K$200,11,FALSE()),0)</x:f>
        <x:v>0</x:v>
      </x:c>
      <x:c r="N24" s="31">
        <x:f t="shared" si="3"/>
        <x:v>50</x:v>
      </x:c>
      <x:c r="O24" s="31">
        <x:f t="shared" si="4"/>
        <x:v>0</x:v>
      </x:c>
      <x:c r="P24" s="50">
        <x:v>0</x:v>
      </x:c>
    </x:row>
    <x:row r="25" ht="26.25" customHeight="1">
      <x:c r="A25" s="29" t="s">
        <x:v>148</x:v>
      </x:c>
      <x:c r="B25" s="48" t="str">
        <x:f>IFERROR(VLOOKUP($A25,Parts!$A$2:$M$200,3,FALSE()),"")</x:f>
        <x:v>SMD-Widerstand, 1206, 10 kOhm, 250 mW, 0,1%</x:v>
      </x:c>
      <x:c r="C25" s="29" t="str">
        <x:f>IFERROR(VLOOKUP($A25,Stock!$A$5:$I$200,8,FALSE()),"")</x:f>
        <x:v>Reichelt</x:v>
      </x:c>
      <x:c r="D25" s="29" t="str">
        <x:f>IFERROR(VLOOKUP($A25,Stock!$A$5:$I$200,9,FALSE()),"")</x:f>
        <x:v>BKL 10120946</x:v>
      </x:c>
      <x:c r="E25" s="31" t="n">
        <x:f>SUMIFS(Kit_BOM!$F$2:$F$204,Kit_BOM!$E$2:$E$204,$A25,Kit_BOM!$A$2:$A$204,$A$5,Kit_BOM!$G$2:$G$204,"Bestücken")*$C$5+SUMIFS(Kit_BOM!$F$2:$F$204,Kit_BOM!$E$2:$E$204,$A25,Kit_BOM!$A$2:$A$204,$A$5,Kit_BOM!$G$2:$G$204,"Mechanical")*$C$5+IF($F$5="Ja",SUMIFS(Kit_BOM!$F$2:$F$204,Kit_BOM!$E$2:$E$204,$A25,Kit_BOM!$A$2:$A$204,$A$5,Kit_BOM!$G$2:$G$204,"Optional")*$C$5,0)+IF($F$6="Ja",SUMIFS(Kit_BOM!$F$2:$F$204,Kit_BOM!$E$2:$E$204,$A25,Kit_BOM!$A$2:$A$204,$A$5,Kit_BOM!$G$2:$G$204,"DNP")*$C$5,0)+SUMIFS(Kit_BOM!$F$2:$F$204,Kit_BOM!$E$2:$E$204,$A25,Kit_BOM!$A$2:$A$204,$A$6,Kit_BOM!$G$2:$G$204,"Bestücken")*$C$6+SUMIFS(Kit_BOM!$F$2:$F$204,Kit_BOM!$E$2:$E$204,$A25,Kit_BOM!$A$2:$A$204,$A$6,Kit_BOM!$G$2:$G$204,"Mechanical")*$C$6+IF($F$5="Ja",SUMIFS(Kit_BOM!$F$2:$F$204,Kit_BOM!$E$2:$E$204,$A25,Kit_BOM!$A$2:$A$204,$A$6,Kit_BOM!$G$2:$G$204,"Optional")*$C$6,0)+IF($F$6="Ja",SUMIFS(Kit_BOM!$F$2:$F$204,Kit_BOM!$E$2:$E$204,$A25,Kit_BOM!$A$2:$A$204,$A$6,Kit_BOM!$G$2:$G$204,"DNP")*$C$6,0)+SUMIFS(Kit_BOM!$F$2:$F$204,Kit_BOM!$E$2:$E$204,$A25,Kit_BOM!$A$2:$A$204,$A$7,Kit_BOM!$G$2:$G$204,"Bestücken")*$C$7+SUMIFS(Kit_BOM!$F$2:$F$204,Kit_BOM!$E$2:$E$204,$A25,Kit_BOM!$A$2:$A$204,$A$7,Kit_BOM!$G$2:$G$204,"Mechanical")*$C$7+IF($F$5="Ja",SUMIFS(Kit_BOM!$F$2:$F$204,Kit_BOM!$E$2:$E$204,$A25,Kit_BOM!$A$2:$A$204,$A$7,Kit_BOM!$G$2:$G$204,"Optional")*$C$7,0)+IF($F$6="Ja",SUMIFS(Kit_BOM!$F$2:$F$204,Kit_BOM!$E$2:$E$204,$A25,Kit_BOM!$A$2:$A$204,$A$7,Kit_BOM!$G$2:$G$204,"DNP")*$C$7,0)+SUMIFS(Kit_BOM!$F$2:$F$204,Kit_BOM!$E$2:$E$204,$A25,Kit_BOM!$A$2:$A$204,$A$8,Kit_BOM!$G$2:$G$204,"Bestücken")*$C$8+SUMIFS(Kit_BOM!$F$2:$F$204,Kit_BOM!$E$2:$E$204,$A25,Kit_BOM!$A$2:$A$204,$A$8,Kit_BOM!$G$2:$G$204,"Mechanical")*$C$8+IF($F$5="Ja",SUMIFS(Kit_BOM!$F$2:$F$204,Kit_BOM!$E$2:$E$204,$A25,Kit_BOM!$A$2:$A$204,$A$8,Kit_BOM!$G$2:$G$204,"Optional")*$C$8,0)+IF($F$6="Ja",SUMIFS(Kit_BOM!$F$2:$F$204,Kit_BOM!$E$2:$E$204,$A25,Kit_BOM!$A$2:$A$204,$A$8,Kit_BOM!$G$2:$G$204,"DNP")*$C$8,0)</x:f>
        <x:v>0</x:v>
      </x:c>
      <x:c r="F25" s="31" t="str">
        <x:f>IFERROR(IF(INDEX(Part_Suppliers!$G$2:$G$300,MATCH($A25&amp;"|"&amp;$C25,Part_Suppliers!$K$2:$K$300,0))=0,"",INDEX(Part_Suppliers!$G$2:$G$300,MATCH($A25&amp;"|"&amp;$C25,Part_Suppliers!$K$2:$K$300,0))),"")</x:f>
      </x:c>
      <x:c r="G25" s="31">
        <x:f t="shared" si="0"/>
        <x:v>0</x:v>
      </x:c>
      <x:c r="H25" s="49" t="n">
        <x:f>SUMIFS(Part_Suppliers!$E$2:$E$300,Part_Suppliers!$A$2:$A$300,$A25,Part_Suppliers!$B$2:$B$300,$C25)</x:f>
        <x:v>0.75</x:v>
      </x:c>
      <x:c r="I25" s="49">
        <x:f t="shared" si="1"/>
        <x:v>0</x:v>
      </x:c>
      <x:c r="J25" t="str">
        <x:f t="shared" si="2"/>
        <x:v>Nicht benötigt</x:v>
      </x:c>
      <x:c r="K25" s="29" t="str">
        <x:f>IFERROR(IF(INDEX(Part_Suppliers!$D$2:$D$300,MATCH($A25&amp;"|"&amp;$C25,Part_Suppliers!$K$2:$K$300,0))=0,"",INDEX(Part_Suppliers!$D$2:$D$300,MATCH($A25&amp;"|"&amp;$C25,Part_Suppliers!$K$2:$K$300,0))),"")</x:f>
        <x:v>https://www.reichelt.de/de/de/shop/produkt/buchsenleiste_2_54mm_1x4_gerade-266671</x:v>
      </x:c>
      <x:c r="L25" s="31" t="n">
        <x:f>IFERROR(VLOOKUP($A25,Stock!$A$5:$K$200,10,FALSE()),0)</x:f>
        <x:v>9</x:v>
      </x:c>
      <x:c r="M25" s="31" t="n">
        <x:f>IFERROR(VLOOKUP($A25,Stock!$A$5:$K$200,11,FALSE()),0)</x:f>
        <x:v>0</x:v>
      </x:c>
      <x:c r="N25" s="31">
        <x:f t="shared" si="3"/>
        <x:v>9</x:v>
      </x:c>
      <x:c r="O25" s="31">
        <x:f t="shared" si="4"/>
        <x:v>0</x:v>
      </x:c>
      <x:c r="P25" s="50">
        <x:v>0</x:v>
      </x:c>
    </x:row>
    <x:row r="26" ht="14" customHeight="1">
      <x:c r="A26" s="29" t="s">
        <x:v>154</x:v>
      </x:c>
      <x:c r="B26" s="48" t="str">
        <x:f>IFERROR(VLOOKUP($A26,Parts!$A$2:$M$200,3,FALSE()),"")</x:f>
        <x:v>Stiftleiste, 8-polig, Raster 2,54mm</x:v>
      </x:c>
      <x:c r="C26" s="29" t="str">
        <x:f>IFERROR(VLOOKUP($A26,Stock!$A$5:$I$200,8,FALSE()),"")</x:f>
        <x:v>Reichelt</x:v>
      </x:c>
      <x:c r="D26" s="29" t="str">
        <x:f>IFERROR(VLOOKUP($A26,Stock!$A$5:$I$200,9,FALSE()),"")</x:f>
        <x:v>BKL 10120946</x:v>
      </x:c>
      <x:c r="E26" s="31" t="n">
        <x:f>SUMIFS(Kit_BOM!$F$2:$F$204,Kit_BOM!$E$2:$E$204,$A26,Kit_BOM!$A$2:$A$204,$A$5,Kit_BOM!$G$2:$G$204,"Bestücken")*$C$5+SUMIFS(Kit_BOM!$F$2:$F$204,Kit_BOM!$E$2:$E$204,$A26,Kit_BOM!$A$2:$A$204,$A$5,Kit_BOM!$G$2:$G$204,"Mechanical")*$C$5+IF($F$5="Ja",SUMIFS(Kit_BOM!$F$2:$F$204,Kit_BOM!$E$2:$E$204,$A26,Kit_BOM!$A$2:$A$204,$A$5,Kit_BOM!$G$2:$G$204,"Optional")*$C$5,0)+IF($F$6="Ja",SUMIFS(Kit_BOM!$F$2:$F$204,Kit_BOM!$E$2:$E$204,$A26,Kit_BOM!$A$2:$A$204,$A$5,Kit_BOM!$G$2:$G$204,"DNP")*$C$5,0)+SUMIFS(Kit_BOM!$F$2:$F$204,Kit_BOM!$E$2:$E$204,$A26,Kit_BOM!$A$2:$A$204,$A$6,Kit_BOM!$G$2:$G$204,"Bestücken")*$C$6+SUMIFS(Kit_BOM!$F$2:$F$204,Kit_BOM!$E$2:$E$204,$A26,Kit_BOM!$A$2:$A$204,$A$6,Kit_BOM!$G$2:$G$204,"Mechanical")*$C$6+IF($F$5="Ja",SUMIFS(Kit_BOM!$F$2:$F$204,Kit_BOM!$E$2:$E$204,$A26,Kit_BOM!$A$2:$A$204,$A$6,Kit_BOM!$G$2:$G$204,"Optional")*$C$6,0)+IF($F$6="Ja",SUMIFS(Kit_BOM!$F$2:$F$204,Kit_BOM!$E$2:$E$204,$A26,Kit_BOM!$A$2:$A$204,$A$6,Kit_BOM!$G$2:$G$204,"DNP")*$C$6,0)+SUMIFS(Kit_BOM!$F$2:$F$204,Kit_BOM!$E$2:$E$204,$A26,Kit_BOM!$A$2:$A$204,$A$7,Kit_BOM!$G$2:$G$204,"Bestücken")*$C$7+SUMIFS(Kit_BOM!$F$2:$F$204,Kit_BOM!$E$2:$E$204,$A26,Kit_BOM!$A$2:$A$204,$A$7,Kit_BOM!$G$2:$G$204,"Mechanical")*$C$7+IF($F$5="Ja",SUMIFS(Kit_BOM!$F$2:$F$204,Kit_BOM!$E$2:$E$204,$A26,Kit_BOM!$A$2:$A$204,$A$7,Kit_BOM!$G$2:$G$204,"Optional")*$C$7,0)+IF($F$6="Ja",SUMIFS(Kit_BOM!$F$2:$F$204,Kit_BOM!$E$2:$E$204,$A26,Kit_BOM!$A$2:$A$204,$A$7,Kit_BOM!$G$2:$G$204,"DNP")*$C$7,0)+SUMIFS(Kit_BOM!$F$2:$F$204,Kit_BOM!$E$2:$E$204,$A26,Kit_BOM!$A$2:$A$204,$A$8,Kit_BOM!$G$2:$G$204,"Bestücken")*$C$8+SUMIFS(Kit_BOM!$F$2:$F$204,Kit_BOM!$E$2:$E$204,$A26,Kit_BOM!$A$2:$A$204,$A$8,Kit_BOM!$G$2:$G$204,"Mechanical")*$C$8+IF($F$5="Ja",SUMIFS(Kit_BOM!$F$2:$F$204,Kit_BOM!$E$2:$E$204,$A26,Kit_BOM!$A$2:$A$204,$A$8,Kit_BOM!$G$2:$G$204,"Optional")*$C$8,0)+IF($F$6="Ja",SUMIFS(Kit_BOM!$F$2:$F$204,Kit_BOM!$E$2:$E$204,$A26,Kit_BOM!$A$2:$A$204,$A$8,Kit_BOM!$G$2:$G$204,"DNP")*$C$8,0)</x:f>
        <x:v>0</x:v>
      </x:c>
      <x:c r="F26" s="31" t="str">
        <x:f>IFERROR(IF(INDEX(Part_Suppliers!$G$2:$G$300,MATCH($A26&amp;"|"&amp;$C26,Part_Suppliers!$K$2:$K$300,0))=0,"",INDEX(Part_Suppliers!$G$2:$G$300,MATCH($A26&amp;"|"&amp;$C26,Part_Suppliers!$K$2:$K$300,0))),"")</x:f>
      </x:c>
      <x:c r="G26" s="31">
        <x:f t="shared" si="0"/>
        <x:v>0</x:v>
      </x:c>
      <x:c r="H26" s="49" t="n">
        <x:f>SUMIFS(Part_Suppliers!$E$2:$E$300,Part_Suppliers!$A$2:$A$300,$A26,Part_Suppliers!$B$2:$B$300,$C26)</x:f>
        <x:v>0.31</x:v>
      </x:c>
      <x:c r="I26" s="49">
        <x:f t="shared" si="1"/>
        <x:v>0</x:v>
      </x:c>
      <x:c r="J26" t="str">
        <x:f t="shared" si="2"/>
        <x:v>Nicht benötigt</x:v>
      </x:c>
      <x:c r="K26" s="29" t="str">
        <x:f>IFERROR(IF(INDEX(Part_Suppliers!$D$2:$D$300,MATCH($A26&amp;"|"&amp;$C26,Part_Suppliers!$K$2:$K$300,0))=0,"",INDEX(Part_Suppliers!$D$2:$D$300,MATCH($A26&amp;"|"&amp;$C26,Part_Suppliers!$K$2:$K$300,0))),"")</x:f>
        <x:v>https://www.reichelt.de/de/de/shop/produkt/buchsenleiste_2_54mm_1x4_gerade-266671</x:v>
      </x:c>
      <x:c r="L26" s="31" t="n">
        <x:f>IFERROR(VLOOKUP($A26,Stock!$A$5:$K$200,10,FALSE()),0)</x:f>
        <x:v>0</x:v>
      </x:c>
      <x:c r="M26" s="31" t="n">
        <x:f>IFERROR(VLOOKUP($A26,Stock!$A$5:$K$200,11,FALSE()),0)</x:f>
        <x:v>0</x:v>
      </x:c>
      <x:c r="N26" s="31">
        <x:f t="shared" si="3"/>
        <x:v>0</x:v>
      </x:c>
      <x:c r="O26" s="31">
        <x:f t="shared" si="4"/>
        <x:v>0</x:v>
      </x:c>
      <x:c r="P26" s="50">
        <x:v>0</x:v>
      </x:c>
    </x:row>
    <x:row r="27" ht="14" customHeight="1">
      <x:c r="A27" s="29" t="s">
        <x:v>161</x:v>
      </x:c>
      <x:c r="B27" s="48" t="str">
        <x:f>IFERROR(VLOOKUP($A27,Parts!$A$2:$M$200,3,FALSE()),"")</x:f>
        <x:v>Timer-IC, Typ 555, SO-8</x:v>
      </x:c>
      <x:c r="C27" s="29" t="str">
        <x:f>IFERROR(VLOOKUP($A27,Stock!$A$5:$I$200,8,FALSE()),"")</x:f>
        <x:v>Reichelt</x:v>
      </x:c>
      <x:c r="D27" s="29" t="str">
        <x:f>IFERROR(VLOOKUP($A27,Stock!$A$5:$I$200,9,FALSE()),"")</x:f>
        <x:v>BKL 10120946</x:v>
      </x:c>
      <x:c r="E27" s="31" t="n">
        <x:f>SUMIFS(Kit_BOM!$F$2:$F$204,Kit_BOM!$E$2:$E$204,$A27,Kit_BOM!$A$2:$A$204,$A$5,Kit_BOM!$G$2:$G$204,"Bestücken")*$C$5+SUMIFS(Kit_BOM!$F$2:$F$204,Kit_BOM!$E$2:$E$204,$A27,Kit_BOM!$A$2:$A$204,$A$5,Kit_BOM!$G$2:$G$204,"Mechanical")*$C$5+IF($F$5="Ja",SUMIFS(Kit_BOM!$F$2:$F$204,Kit_BOM!$E$2:$E$204,$A27,Kit_BOM!$A$2:$A$204,$A$5,Kit_BOM!$G$2:$G$204,"Optional")*$C$5,0)+IF($F$6="Ja",SUMIFS(Kit_BOM!$F$2:$F$204,Kit_BOM!$E$2:$E$204,$A27,Kit_BOM!$A$2:$A$204,$A$5,Kit_BOM!$G$2:$G$204,"DNP")*$C$5,0)+SUMIFS(Kit_BOM!$F$2:$F$204,Kit_BOM!$E$2:$E$204,$A27,Kit_BOM!$A$2:$A$204,$A$6,Kit_BOM!$G$2:$G$204,"Bestücken")*$C$6+SUMIFS(Kit_BOM!$F$2:$F$204,Kit_BOM!$E$2:$E$204,$A27,Kit_BOM!$A$2:$A$204,$A$6,Kit_BOM!$G$2:$G$204,"Mechanical")*$C$6+IF($F$5="Ja",SUMIFS(Kit_BOM!$F$2:$F$204,Kit_BOM!$E$2:$E$204,$A27,Kit_BOM!$A$2:$A$204,$A$6,Kit_BOM!$G$2:$G$204,"Optional")*$C$6,0)+IF($F$6="Ja",SUMIFS(Kit_BOM!$F$2:$F$204,Kit_BOM!$E$2:$E$204,$A27,Kit_BOM!$A$2:$A$204,$A$6,Kit_BOM!$G$2:$G$204,"DNP")*$C$6,0)+SUMIFS(Kit_BOM!$F$2:$F$204,Kit_BOM!$E$2:$E$204,$A27,Kit_BOM!$A$2:$A$204,$A$7,Kit_BOM!$G$2:$G$204,"Bestücken")*$C$7+SUMIFS(Kit_BOM!$F$2:$F$204,Kit_BOM!$E$2:$E$204,$A27,Kit_BOM!$A$2:$A$204,$A$7,Kit_BOM!$G$2:$G$204,"Mechanical")*$C$7+IF($F$5="Ja",SUMIFS(Kit_BOM!$F$2:$F$204,Kit_BOM!$E$2:$E$204,$A27,Kit_BOM!$A$2:$A$204,$A$7,Kit_BOM!$G$2:$G$204,"Optional")*$C$7,0)+IF($F$6="Ja",SUMIFS(Kit_BOM!$F$2:$F$204,Kit_BOM!$E$2:$E$204,$A27,Kit_BOM!$A$2:$A$204,$A$7,Kit_BOM!$G$2:$G$204,"DNP")*$C$7,0)+SUMIFS(Kit_BOM!$F$2:$F$204,Kit_BOM!$E$2:$E$204,$A27,Kit_BOM!$A$2:$A$204,$A$8,Kit_BOM!$G$2:$G$204,"Bestücken")*$C$8+SUMIFS(Kit_BOM!$F$2:$F$204,Kit_BOM!$E$2:$E$204,$A27,Kit_BOM!$A$2:$A$204,$A$8,Kit_BOM!$G$2:$G$204,"Mechanical")*$C$8+IF($F$5="Ja",SUMIFS(Kit_BOM!$F$2:$F$204,Kit_BOM!$E$2:$E$204,$A27,Kit_BOM!$A$2:$A$204,$A$8,Kit_BOM!$G$2:$G$204,"Optional")*$C$8,0)+IF($F$6="Ja",SUMIFS(Kit_BOM!$F$2:$F$204,Kit_BOM!$E$2:$E$204,$A27,Kit_BOM!$A$2:$A$204,$A$8,Kit_BOM!$G$2:$G$204,"DNP")*$C$8,0)</x:f>
        <x:v>0</x:v>
      </x:c>
      <x:c r="F27" s="31" t="str">
        <x:f>IFERROR(IF(INDEX(Part_Suppliers!$G$2:$G$300,MATCH($A27&amp;"|"&amp;$C27,Part_Suppliers!$K$2:$K$300,0))=0,"",INDEX(Part_Suppliers!$G$2:$G$300,MATCH($A27&amp;"|"&amp;$C27,Part_Suppliers!$K$2:$K$300,0))),"")</x:f>
      </x:c>
      <x:c r="G27" s="31">
        <x:f t="shared" si="0"/>
        <x:v>0</x:v>
      </x:c>
      <x:c r="H27" s="49" t="n">
        <x:f>SUMIFS(Part_Suppliers!$E$2:$E$300,Part_Suppliers!$A$2:$A$300,$A27,Part_Suppliers!$B$2:$B$300,$C27)</x:f>
        <x:v>1.1</x:v>
      </x:c>
      <x:c r="I27" s="49">
        <x:f t="shared" si="1"/>
        <x:v>0</x:v>
      </x:c>
      <x:c r="J27" t="str">
        <x:f t="shared" si="2"/>
        <x:v>Nicht benötigt</x:v>
      </x:c>
      <x:c r="K27" s="29" t="str">
        <x:f>IFERROR(IF(INDEX(Part_Suppliers!$D$2:$D$300,MATCH($A27&amp;"|"&amp;$C27,Part_Suppliers!$K$2:$K$300,0))=0,"",INDEX(Part_Suppliers!$D$2:$D$300,MATCH($A27&amp;"|"&amp;$C27,Part_Suppliers!$K$2:$K$300,0))),"")</x:f>
        <x:v>https://www.reichelt.de/de/de/shop/produkt/buchsenleiste_2_54mm_1x4_gerade-266671</x:v>
      </x:c>
      <x:c r="L27" s="31" t="n">
        <x:f>IFERROR(VLOOKUP($A27,Stock!$A$5:$K$200,10,FALSE()),0)</x:f>
        <x:v>3</x:v>
      </x:c>
      <x:c r="M27" s="31" t="n">
        <x:f>IFERROR(VLOOKUP($A27,Stock!$A$5:$K$200,11,FALSE()),0)</x:f>
        <x:v>0</x:v>
      </x:c>
      <x:c r="N27" s="31">
        <x:f t="shared" si="3"/>
        <x:v>3</x:v>
      </x:c>
      <x:c r="O27" s="31">
        <x:f t="shared" si="4"/>
        <x:v>0</x:v>
      </x:c>
      <x:c r="P27" s="50">
        <x:v>0</x:v>
      </x:c>
    </x:row>
    <x:row r="28" ht="14" customHeight="1">
      <x:c r="A28" s="29" t="s">
        <x:v>183</x:v>
      </x:c>
      <x:c r="B28" s="48" t="str">
        <x:f>IFERROR(VLOOKUP($A28,Parts!$A$2:$M$200,3,FALSE()),"")</x:f>
        <x:v>Steck-Printrelais, 1 CO, 6 A, 5 V DC sensitiv</x:v>
      </x:c>
      <x:c r="C28" s="29" t="str">
        <x:f>IFERROR(VLOOKUP($A28,Stock!$A$5:$I$200,8,FALSE()),"")</x:f>
        <x:v>Reichelt</x:v>
      </x:c>
      <x:c r="D28" s="29" t="str">
        <x:f>IFERROR(VLOOKUP($A28,Stock!$A$5:$I$200,9,FALSE()),"")</x:f>
        <x:v>BKL 10120946</x:v>
      </x:c>
      <x:c r="E28" s="31" t="n">
        <x:f>SUMIFS(Kit_BOM!$F$2:$F$204,Kit_BOM!$E$2:$E$204,$A28,Kit_BOM!$A$2:$A$204,$A$5,Kit_BOM!$G$2:$G$204,"Bestücken")*$C$5+SUMIFS(Kit_BOM!$F$2:$F$204,Kit_BOM!$E$2:$E$204,$A28,Kit_BOM!$A$2:$A$204,$A$5,Kit_BOM!$G$2:$G$204,"Mechanical")*$C$5+IF($F$5="Ja",SUMIFS(Kit_BOM!$F$2:$F$204,Kit_BOM!$E$2:$E$204,$A28,Kit_BOM!$A$2:$A$204,$A$5,Kit_BOM!$G$2:$G$204,"Optional")*$C$5,0)+IF($F$6="Ja",SUMIFS(Kit_BOM!$F$2:$F$204,Kit_BOM!$E$2:$E$204,$A28,Kit_BOM!$A$2:$A$204,$A$5,Kit_BOM!$G$2:$G$204,"DNP")*$C$5,0)+SUMIFS(Kit_BOM!$F$2:$F$204,Kit_BOM!$E$2:$E$204,$A28,Kit_BOM!$A$2:$A$204,$A$6,Kit_BOM!$G$2:$G$204,"Bestücken")*$C$6+SUMIFS(Kit_BOM!$F$2:$F$204,Kit_BOM!$E$2:$E$204,$A28,Kit_BOM!$A$2:$A$204,$A$6,Kit_BOM!$G$2:$G$204,"Mechanical")*$C$6+IF($F$5="Ja",SUMIFS(Kit_BOM!$F$2:$F$204,Kit_BOM!$E$2:$E$204,$A28,Kit_BOM!$A$2:$A$204,$A$6,Kit_BOM!$G$2:$G$204,"Optional")*$C$6,0)+IF($F$6="Ja",SUMIFS(Kit_BOM!$F$2:$F$204,Kit_BOM!$E$2:$E$204,$A28,Kit_BOM!$A$2:$A$204,$A$6,Kit_BOM!$G$2:$G$204,"DNP")*$C$6,0)+SUMIFS(Kit_BOM!$F$2:$F$204,Kit_BOM!$E$2:$E$204,$A28,Kit_BOM!$A$2:$A$204,$A$7,Kit_BOM!$G$2:$G$204,"Bestücken")*$C$7+SUMIFS(Kit_BOM!$F$2:$F$204,Kit_BOM!$E$2:$E$204,$A28,Kit_BOM!$A$2:$A$204,$A$7,Kit_BOM!$G$2:$G$204,"Mechanical")*$C$7+IF($F$5="Ja",SUMIFS(Kit_BOM!$F$2:$F$204,Kit_BOM!$E$2:$E$204,$A28,Kit_BOM!$A$2:$A$204,$A$7,Kit_BOM!$G$2:$G$204,"Optional")*$C$7,0)+IF($F$6="Ja",SUMIFS(Kit_BOM!$F$2:$F$204,Kit_BOM!$E$2:$E$204,$A28,Kit_BOM!$A$2:$A$204,$A$7,Kit_BOM!$G$2:$G$204,"DNP")*$C$7,0)+SUMIFS(Kit_BOM!$F$2:$F$204,Kit_BOM!$E$2:$E$204,$A28,Kit_BOM!$A$2:$A$204,$A$8,Kit_BOM!$G$2:$G$204,"Bestücken")*$C$8+SUMIFS(Kit_BOM!$F$2:$F$204,Kit_BOM!$E$2:$E$204,$A28,Kit_BOM!$A$2:$A$204,$A$8,Kit_BOM!$G$2:$G$204,"Mechanical")*$C$8+IF($F$5="Ja",SUMIFS(Kit_BOM!$F$2:$F$204,Kit_BOM!$E$2:$E$204,$A28,Kit_BOM!$A$2:$A$204,$A$8,Kit_BOM!$G$2:$G$204,"Optional")*$C$8,0)+IF($F$6="Ja",SUMIFS(Kit_BOM!$F$2:$F$204,Kit_BOM!$E$2:$E$204,$A28,Kit_BOM!$A$2:$A$204,$A$8,Kit_BOM!$G$2:$G$204,"DNP")*$C$8,0)</x:f>
        <x:v>0</x:v>
      </x:c>
      <x:c r="F28" s="31" t="str">
        <x:f>IFERROR(IF(INDEX(Part_Suppliers!$G$2:$G$300,MATCH($A28&amp;"|"&amp;$C28,Part_Suppliers!$K$2:$K$300,0))=0,"",INDEX(Part_Suppliers!$G$2:$G$300,MATCH($A28&amp;"|"&amp;$C28,Part_Suppliers!$K$2:$K$300,0))),"")</x:f>
      </x:c>
      <x:c r="G28" s="31">
        <x:f t="shared" si="0"/>
        <x:v>0</x:v>
      </x:c>
      <x:c r="H28" s="49" t="n">
        <x:f>SUMIFS(Part_Suppliers!$E$2:$E$300,Part_Suppliers!$A$2:$A$300,$A28,Part_Suppliers!$B$2:$B$300,$C28)</x:f>
        <x:v>5.8</x:v>
      </x:c>
      <x:c r="I28" s="49">
        <x:f t="shared" si="1"/>
        <x:v>0</x:v>
      </x:c>
      <x:c r="J28" t="str">
        <x:f t="shared" si="2"/>
        <x:v>Nicht benötigt</x:v>
      </x:c>
      <x:c r="K28" s="29" t="str">
        <x:f>IFERROR(IF(INDEX(Part_Suppliers!$D$2:$D$300,MATCH($A28&amp;"|"&amp;$C28,Part_Suppliers!$K$2:$K$300,0))=0,"",INDEX(Part_Suppliers!$D$2:$D$300,MATCH($A28&amp;"|"&amp;$C28,Part_Suppliers!$K$2:$K$300,0))),"")</x:f>
        <x:v>https://www.reichelt.de/de/de/shop/produkt/buchsenleiste_2_54mm_1x4_gerade-266671</x:v>
      </x:c>
      <x:c r="L28" s="31" t="n">
        <x:f>IFERROR(VLOOKUP($A28,Stock!$A$5:$K$200,10,FALSE()),0)</x:f>
        <x:v>0</x:v>
      </x:c>
      <x:c r="M28" s="31" t="n">
        <x:f>IFERROR(VLOOKUP($A28,Stock!$A$5:$K$200,11,FALSE()),0)</x:f>
        <x:v>0</x:v>
      </x:c>
      <x:c r="N28" s="31">
        <x:f t="shared" si="3"/>
        <x:v>0</x:v>
      </x:c>
      <x:c r="O28" s="31">
        <x:f t="shared" si="4"/>
        <x:v>0</x:v>
      </x:c>
      <x:c r="P28" s="50">
        <x:v>0</x:v>
      </x:c>
    </x:row>
    <x:row r="29" ht="26.25" customHeight="1">
      <x:c r="A29" s="29" t="s">
        <x:v>718</x:v>
      </x:c>
      <x:c r="B29" s="48" t="str">
        <x:f>IFERROR(VLOOKUP($A29,Parts!$A$2:$M$200,3,FALSE()),"")</x:f>
        <x:v>I²C-EEPROM 32 Kbit, SOIC-8</x:v>
      </x:c>
      <x:c r="C29" s="29" t="str">
        <x:v>Reichelt</x:v>
      </x:c>
      <x:c r="D29" s="29" t="str">
        <x:v>24LC32A-I/SN</x:v>
      </x:c>
      <x:c r="E29" s="31" t="n">
        <x:f>SUMIFS(Kit_BOM!$F$2:$F$204,Kit_BOM!$E$2:$E$204,$A29,Kit_BOM!$A$2:$A$204,$A$5,Kit_BOM!$G$2:$G$204,"Bestücken")*$C$5+SUMIFS(Kit_BOM!$F$2:$F$204,Kit_BOM!$E$2:$E$204,$A29,Kit_BOM!$A$2:$A$204,$A$5,Kit_BOM!$G$2:$G$204,"Mechanical")*$C$5+IF($F$5="Ja",SUMIFS(Kit_BOM!$F$2:$F$204,Kit_BOM!$E$2:$E$204,$A29,Kit_BOM!$A$2:$A$204,$A$5,Kit_BOM!$G$2:$G$204,"Optional")*$C$5,0)+IF($F$6="Ja",SUMIFS(Kit_BOM!$F$2:$F$204,Kit_BOM!$E$2:$E$204,$A29,Kit_BOM!$A$2:$A$204,$A$5,Kit_BOM!$G$2:$G$204,"DNP")*$C$5,0)+SUMIFS(Kit_BOM!$F$2:$F$204,Kit_BOM!$E$2:$E$204,$A29,Kit_BOM!$A$2:$A$204,$A$6,Kit_BOM!$G$2:$G$204,"Bestücken")*$C$6+SUMIFS(Kit_BOM!$F$2:$F$204,Kit_BOM!$E$2:$E$204,$A29,Kit_BOM!$A$2:$A$204,$A$6,Kit_BOM!$G$2:$G$204,"Mechanical")*$C$6+IF($F$5="Ja",SUMIFS(Kit_BOM!$F$2:$F$204,Kit_BOM!$E$2:$E$204,$A29,Kit_BOM!$A$2:$A$204,$A$6,Kit_BOM!$G$2:$G$204,"Optional")*$C$6,0)+IF($F$6="Ja",SUMIFS(Kit_BOM!$F$2:$F$204,Kit_BOM!$E$2:$E$204,$A29,Kit_BOM!$A$2:$A$204,$A$6,Kit_BOM!$G$2:$G$204,"DNP")*$C$6,0)+SUMIFS(Kit_BOM!$F$2:$F$204,Kit_BOM!$E$2:$E$204,$A29,Kit_BOM!$A$2:$A$204,$A$7,Kit_BOM!$G$2:$G$204,"Bestücken")*$C$7+SUMIFS(Kit_BOM!$F$2:$F$204,Kit_BOM!$E$2:$E$204,$A29,Kit_BOM!$A$2:$A$204,$A$7,Kit_BOM!$G$2:$G$204,"Mechanical")*$C$7+IF($F$5="Ja",SUMIFS(Kit_BOM!$F$2:$F$204,Kit_BOM!$E$2:$E$204,$A29,Kit_BOM!$A$2:$A$204,$A$7,Kit_BOM!$G$2:$G$204,"Optional")*$C$7,0)+IF($F$6="Ja",SUMIFS(Kit_BOM!$F$2:$F$204,Kit_BOM!$E$2:$E$204,$A29,Kit_BOM!$A$2:$A$204,$A$7,Kit_BOM!$G$2:$G$204,"DNP")*$C$7,0)+SUMIFS(Kit_BOM!$F$2:$F$204,Kit_BOM!$E$2:$E$204,$A29,Kit_BOM!$A$2:$A$204,$A$8,Kit_BOM!$G$2:$G$204,"Bestücken")*$C$8+SUMIFS(Kit_BOM!$F$2:$F$204,Kit_BOM!$E$2:$E$204,$A29,Kit_BOM!$A$2:$A$204,$A$8,Kit_BOM!$G$2:$G$204,"Mechanical")*$C$8+IF($F$5="Ja",SUMIFS(Kit_BOM!$F$2:$F$204,Kit_BOM!$E$2:$E$204,$A29,Kit_BOM!$A$2:$A$204,$A$8,Kit_BOM!$G$2:$G$204,"Optional")*$C$8,0)+IF($F$6="Ja",SUMIFS(Kit_BOM!$F$2:$F$204,Kit_BOM!$E$2:$E$204,$A29,Kit_BOM!$A$2:$A$204,$A$8,Kit_BOM!$G$2:$G$204,"DNP")*$C$8,0)</x:f>
        <x:v>1</x:v>
      </x:c>
      <x:c r="F29" s="31" t="str">
        <x:f>IFERROR(IF(INDEX(Part_Suppliers!$G$2:$G$300,MATCH($A29&amp;"|"&amp;$C29,Part_Suppliers!$K$2:$K$300,0))=0,"",INDEX(Part_Suppliers!$G$2:$G$300,MATCH($A29&amp;"|"&amp;$C29,Part_Suppliers!$K$2:$K$300,0))),"")</x:f>
      </x:c>
      <x:c r="G29" s="31">
        <x:f t="shared" si="0"/>
        <x:v>1</x:v>
      </x:c>
      <x:c r="H29" s="49" t="n">
        <x:f>SUMIFS(Part_Suppliers!$E$2:$E$300,Part_Suppliers!$A$2:$A$300,$A29,Part_Suppliers!$B$2:$B$300,$C29)</x:f>
        <x:v>0.39</x:v>
      </x:c>
      <x:c r="I29" s="49">
        <x:f t="shared" si="1"/>
        <x:v>0</x:v>
      </x:c>
      <x:c r="J29" t="str">
        <x:f t="shared" si="2"/>
        <x:v>Reichelt bereit</x:v>
      </x:c>
      <x:c r="K29" s="29" t="str">
        <x:v>https://www.reichelt.com/de/en/eeprom-serial-32kb-so-8-24lc32a-i-sn-p96551.html</x:v>
      </x:c>
      <x:c r="L29" s="31" t="n">
        <x:f>IFERROR(VLOOKUP($A29,Stock!$A$5:$K$200,10,FALSE()),0)</x:f>
        <x:v>0</x:v>
      </x:c>
      <x:c r="M29" s="31" t="n">
        <x:f>IFERROR(VLOOKUP($A29,Stock!$A$5:$K$200,11,FALSE()),0)</x:f>
        <x:v>0</x:v>
      </x:c>
      <x:c r="N29" s="31">
        <x:f t="shared" si="3"/>
        <x:v>-1</x:v>
      </x:c>
      <x:c r="O29" s="31">
        <x:f t="shared" si="4"/>
        <x:v>1</x:v>
      </x:c>
      <x:c r="P29" s="50">
        <x:v>0</x:v>
      </x:c>
    </x:row>
    <x:row r="30" ht="14" customHeight="1">
      <x:c r="A30" s="29" t="s">
        <x:v>210</x:v>
      </x:c>
      <x:c r="B30" s="48" t="str">
        <x:f>IFERROR(VLOOKUP($A30,Parts!$A$2:$M$200,3,FALSE()),"")</x:f>
        <x:v>JST-SH Stiftleiste, 4-polig, horizontal</x:v>
      </x:c>
      <x:c r="C30" s="29" t="str">
        <x:f>IFERROR(VLOOKUP($A30,Stock!$A$5:$I$200,8,FALSE()),"")</x:f>
        <x:v>RS</x:v>
      </x:c>
      <x:c r="D30" s="29" t="str">
        <x:f>IFERROR(VLOOKUP($A30,Stock!$A$5:$I$200,9,FALSE()),"")</x:f>
        <x:v>515-1513</x:v>
      </x:c>
      <x:c r="E30" s="31" t="n">
        <x:f>SUMIFS(Kit_BOM!$F$2:$F$204,Kit_BOM!$E$2:$E$204,$A30,Kit_BOM!$A$2:$A$204,$A$5,Kit_BOM!$G$2:$G$204,"Bestücken")*$C$5+SUMIFS(Kit_BOM!$F$2:$F$204,Kit_BOM!$E$2:$E$204,$A30,Kit_BOM!$A$2:$A$204,$A$5,Kit_BOM!$G$2:$G$204,"Mechanical")*$C$5+IF($F$5="Ja",SUMIFS(Kit_BOM!$F$2:$F$204,Kit_BOM!$E$2:$E$204,$A30,Kit_BOM!$A$2:$A$204,$A$5,Kit_BOM!$G$2:$G$204,"Optional")*$C$5,0)+IF($F$6="Ja",SUMIFS(Kit_BOM!$F$2:$F$204,Kit_BOM!$E$2:$E$204,$A30,Kit_BOM!$A$2:$A$204,$A$5,Kit_BOM!$G$2:$G$204,"DNP")*$C$5,0)+SUMIFS(Kit_BOM!$F$2:$F$204,Kit_BOM!$E$2:$E$204,$A30,Kit_BOM!$A$2:$A$204,$A$6,Kit_BOM!$G$2:$G$204,"Bestücken")*$C$6+SUMIFS(Kit_BOM!$F$2:$F$204,Kit_BOM!$E$2:$E$204,$A30,Kit_BOM!$A$2:$A$204,$A$6,Kit_BOM!$G$2:$G$204,"Mechanical")*$C$6+IF($F$5="Ja",SUMIFS(Kit_BOM!$F$2:$F$204,Kit_BOM!$E$2:$E$204,$A30,Kit_BOM!$A$2:$A$204,$A$6,Kit_BOM!$G$2:$G$204,"Optional")*$C$6,0)+IF($F$6="Ja",SUMIFS(Kit_BOM!$F$2:$F$204,Kit_BOM!$E$2:$E$204,$A30,Kit_BOM!$A$2:$A$204,$A$6,Kit_BOM!$G$2:$G$204,"DNP")*$C$6,0)+SUMIFS(Kit_BOM!$F$2:$F$204,Kit_BOM!$E$2:$E$204,$A30,Kit_BOM!$A$2:$A$204,$A$7,Kit_BOM!$G$2:$G$204,"Bestücken")*$C$7+SUMIFS(Kit_BOM!$F$2:$F$204,Kit_BOM!$E$2:$E$204,$A30,Kit_BOM!$A$2:$A$204,$A$7,Kit_BOM!$G$2:$G$204,"Mechanical")*$C$7+IF($F$5="Ja",SUMIFS(Kit_BOM!$F$2:$F$204,Kit_BOM!$E$2:$E$204,$A30,Kit_BOM!$A$2:$A$204,$A$7,Kit_BOM!$G$2:$G$204,"Optional")*$C$7,0)+IF($F$6="Ja",SUMIFS(Kit_BOM!$F$2:$F$204,Kit_BOM!$E$2:$E$204,$A30,Kit_BOM!$A$2:$A$204,$A$7,Kit_BOM!$G$2:$G$204,"DNP")*$C$7,0)+SUMIFS(Kit_BOM!$F$2:$F$204,Kit_BOM!$E$2:$E$204,$A30,Kit_BOM!$A$2:$A$204,$A$8,Kit_BOM!$G$2:$G$204,"Bestücken")*$C$8+SUMIFS(Kit_BOM!$F$2:$F$204,Kit_BOM!$E$2:$E$204,$A30,Kit_BOM!$A$2:$A$204,$A$8,Kit_BOM!$G$2:$G$204,"Mechanical")*$C$8+IF($F$5="Ja",SUMIFS(Kit_BOM!$F$2:$F$204,Kit_BOM!$E$2:$E$204,$A30,Kit_BOM!$A$2:$A$204,$A$8,Kit_BOM!$G$2:$G$204,"Optional")*$C$8,0)+IF($F$6="Ja",SUMIFS(Kit_BOM!$F$2:$F$204,Kit_BOM!$E$2:$E$204,$A30,Kit_BOM!$A$2:$A$204,$A$8,Kit_BOM!$G$2:$G$204,"DNP")*$C$8,0)</x:f>
        <x:v>2</x:v>
      </x:c>
      <x:c r="F30" s="31" t="n">
        <x:f>IFERROR(IF(INDEX(Part_Suppliers!$G$2:$G$300,MATCH($A30&amp;"|"&amp;$C30,Part_Suppliers!$K$2:$K$300,0))=0,"",INDEX(Part_Suppliers!$G$2:$G$300,MATCH($A30&amp;"|"&amp;$C30,Part_Suppliers!$K$2:$K$300,0))),"")</x:f>
        <x:v>10</x:v>
      </x:c>
      <x:c r="G30" s="31">
        <x:f t="shared" si="0"/>
        <x:v>10</x:v>
      </x:c>
      <x:c r="H30" s="49" t="n">
        <x:f>SUMIFS(Part_Suppliers!$E$2:$E$300,Part_Suppliers!$A$2:$A$300,$A30,Part_Suppliers!$B$2:$B$300,$C30)</x:f>
        <x:v>0.58</x:v>
      </x:c>
      <x:c r="I30" s="49">
        <x:f t="shared" si="1"/>
        <x:v>5.8</x:v>
      </x:c>
      <x:c r="J30" t="str">
        <x:f t="shared" si="2"/>
        <x:v>Anderer Lieferant</x:v>
      </x:c>
      <x:c r="K30" s="29" t="str">
        <x:f>IFERROR(IF(INDEX(Part_Suppliers!$D$2:$D$300,MATCH($A30&amp;"|"&amp;$C30,Part_Suppliers!$K$2:$K$300,0))=0,"",INDEX(Part_Suppliers!$D$2:$D$300,MATCH($A30&amp;"|"&amp;$C30,Part_Suppliers!$K$2:$K$300,0))),"")</x:f>
        <x:v>https://de.rs-online.com/web/p/leiterplatten-header/5151513?cm_mmc=DE-PLA-DS3A-_-google-_-CSS_DE_DE_PMAX_Catch+All-_--_-5151513&amp;matchtype=&amp;&amp;gclsrc=aw.ds&amp;gad_source=1&amp;gad_campaignid=20579356490&amp;gbraid=0AAAAADkeWNMTclazDyI9zcjcIGwAjXoW9&amp;gclid=Cj0KCQjwnbrUBhDOARIsAKKhPpdLcMySAoEWll9Yd6dc_BCjxUsLFQOO7peTYM0DUy9ctvB7N_5s3bUaAoLZEALw_wcB</x:v>
      </x:c>
      <x:c r="L30" s="31" t="n">
        <x:f>IFERROR(VLOOKUP($A30,Stock!$A$5:$K$200,10,FALSE()),0)</x:f>
        <x:v>0</x:v>
      </x:c>
      <x:c r="M30" s="31" t="n">
        <x:f>IFERROR(VLOOKUP($A30,Stock!$A$5:$K$200,11,FALSE()),0)</x:f>
        <x:v>0</x:v>
      </x:c>
      <x:c r="N30" s="31">
        <x:f t="shared" si="3"/>
        <x:v>-2</x:v>
      </x:c>
      <x:c r="O30" s="31">
        <x:f t="shared" si="4"/>
        <x:v>10</x:v>
      </x:c>
      <x:c r="P30" s="50">
        <x:v>0</x:v>
      </x:c>
    </x:row>
    <x:row r="31" ht="14" customHeight="1">
      <x:c r="A31" s="29" t="s">
        <x:v>218</x:v>
      </x:c>
      <x:c r="B31" s="48" t="str">
        <x:f>IFERROR(VLOOKUP($A31,Parts!$A$2:$M$200,3,FALSE()),"")</x:f>
        <x:v>16-Bit ADC mit I²C</x:v>
      </x:c>
      <x:c r="C31" s="29" t="str">
        <x:f>IFERROR(VLOOKUP($A31,Stock!$A$5:$I$200,8,FALSE()),"")</x:f>
        <x:v>Noch festlegen</x:v>
      </x:c>
      <x:c r="D31" s="29" t="str">
        <x:f>IFERROR(VLOOKUP($A31,Stock!$A$5:$I$200,9,FALSE()),"")</x:f>
      </x:c>
      <x:c r="E31" s="31" t="n">
        <x:f>SUMIFS(Kit_BOM!$F$2:$F$204,Kit_BOM!$E$2:$E$204,$A31,Kit_BOM!$A$2:$A$204,$A$5,Kit_BOM!$G$2:$G$204,"Bestücken")*$C$5+SUMIFS(Kit_BOM!$F$2:$F$204,Kit_BOM!$E$2:$E$204,$A31,Kit_BOM!$A$2:$A$204,$A$5,Kit_BOM!$G$2:$G$204,"Mechanical")*$C$5+IF($F$5="Ja",SUMIFS(Kit_BOM!$F$2:$F$204,Kit_BOM!$E$2:$E$204,$A31,Kit_BOM!$A$2:$A$204,$A$5,Kit_BOM!$G$2:$G$204,"Optional")*$C$5,0)+IF($F$6="Ja",SUMIFS(Kit_BOM!$F$2:$F$204,Kit_BOM!$E$2:$E$204,$A31,Kit_BOM!$A$2:$A$204,$A$5,Kit_BOM!$G$2:$G$204,"DNP")*$C$5,0)+SUMIFS(Kit_BOM!$F$2:$F$204,Kit_BOM!$E$2:$E$204,$A31,Kit_BOM!$A$2:$A$204,$A$6,Kit_BOM!$G$2:$G$204,"Bestücken")*$C$6+SUMIFS(Kit_BOM!$F$2:$F$204,Kit_BOM!$E$2:$E$204,$A31,Kit_BOM!$A$2:$A$204,$A$6,Kit_BOM!$G$2:$G$204,"Mechanical")*$C$6+IF($F$5="Ja",SUMIFS(Kit_BOM!$F$2:$F$204,Kit_BOM!$E$2:$E$204,$A31,Kit_BOM!$A$2:$A$204,$A$6,Kit_BOM!$G$2:$G$204,"Optional")*$C$6,0)+IF($F$6="Ja",SUMIFS(Kit_BOM!$F$2:$F$204,Kit_BOM!$E$2:$E$204,$A31,Kit_BOM!$A$2:$A$204,$A$6,Kit_BOM!$G$2:$G$204,"DNP")*$C$6,0)+SUMIFS(Kit_BOM!$F$2:$F$204,Kit_BOM!$E$2:$E$204,$A31,Kit_BOM!$A$2:$A$204,$A$7,Kit_BOM!$G$2:$G$204,"Bestücken")*$C$7+SUMIFS(Kit_BOM!$F$2:$F$204,Kit_BOM!$E$2:$E$204,$A31,Kit_BOM!$A$2:$A$204,$A$7,Kit_BOM!$G$2:$G$204,"Mechanical")*$C$7+IF($F$5="Ja",SUMIFS(Kit_BOM!$F$2:$F$204,Kit_BOM!$E$2:$E$204,$A31,Kit_BOM!$A$2:$A$204,$A$7,Kit_BOM!$G$2:$G$204,"Optional")*$C$7,0)+IF($F$6="Ja",SUMIFS(Kit_BOM!$F$2:$F$204,Kit_BOM!$E$2:$E$204,$A31,Kit_BOM!$A$2:$A$204,$A$7,Kit_BOM!$G$2:$G$204,"DNP")*$C$7,0)+SUMIFS(Kit_BOM!$F$2:$F$204,Kit_BOM!$E$2:$E$204,$A31,Kit_BOM!$A$2:$A$204,$A$8,Kit_BOM!$G$2:$G$204,"Bestücken")*$C$8+SUMIFS(Kit_BOM!$F$2:$F$204,Kit_BOM!$E$2:$E$204,$A31,Kit_BOM!$A$2:$A$204,$A$8,Kit_BOM!$G$2:$G$204,"Mechanical")*$C$8+IF($F$5="Ja",SUMIFS(Kit_BOM!$F$2:$F$204,Kit_BOM!$E$2:$E$204,$A31,Kit_BOM!$A$2:$A$204,$A$8,Kit_BOM!$G$2:$G$204,"Optional")*$C$8,0)+IF($F$6="Ja",SUMIFS(Kit_BOM!$F$2:$F$204,Kit_BOM!$E$2:$E$204,$A31,Kit_BOM!$A$2:$A$204,$A$8,Kit_BOM!$G$2:$G$204,"DNP")*$C$8,0)</x:f>
        <x:v>0</x:v>
      </x:c>
      <x:c r="F31" s="31" t="n">
        <x:f>IFERROR(IF(INDEX(Part_Suppliers!$G$2:$G$300,MATCH($A31&amp;"|"&amp;$C31,Part_Suppliers!$K$2:$K$300,0))=0,"",INDEX(Part_Suppliers!$G$2:$G$300,MATCH($A31&amp;"|"&amp;$C31,Part_Suppliers!$K$2:$K$300,0))),"")</x:f>
        <x:v>3</x:v>
      </x:c>
      <x:c r="G31" s="31">
        <x:f t="shared" si="0"/>
        <x:v>0</x:v>
      </x:c>
      <x:c r="H31" s="49" t="n">
        <x:f>SUMIFS(Part_Suppliers!$E$2:$E$300,Part_Suppliers!$A$2:$A$300,$A31,Part_Suppliers!$B$2:$B$300,$C31)</x:f>
        <x:v>0</x:v>
      </x:c>
      <x:c r="I31" s="49">
        <x:f t="shared" si="1"/>
        <x:v>0</x:v>
      </x:c>
      <x:c r="J31" t="str">
        <x:f t="shared" si="2"/>
        <x:v>Nicht benötigt</x:v>
      </x:c>
      <x:c r="K31" s="29" t="str">
        <x:f>IFERROR(IF(INDEX(Part_Suppliers!$D$2:$D$300,MATCH($A31&amp;"|"&amp;$C31,Part_Suppliers!$K$2:$K$300,0))=0,"",INDEX(Part_Suppliers!$D$2:$D$300,MATCH($A31&amp;"|"&amp;$C31,Part_Suppliers!$K$2:$K$300,0))),"")</x:f>
      </x:c>
      <x:c r="L31" s="31" t="n">
        <x:f>IFERROR(VLOOKUP($A31,Stock!$A$5:$K$200,10,FALSE()),0)</x:f>
        <x:v>0</x:v>
      </x:c>
      <x:c r="M31" s="31" t="n">
        <x:f>IFERROR(VLOOKUP($A31,Stock!$A$5:$K$200,11,FALSE()),0)</x:f>
        <x:v>0</x:v>
      </x:c>
      <x:c r="N31" s="31">
        <x:f t="shared" si="3"/>
        <x:v>0</x:v>
      </x:c>
      <x:c r="O31" s="31">
        <x:f t="shared" si="4"/>
        <x:v>0</x:v>
      </x:c>
      <x:c r="P31" s="50">
        <x:v>0</x:v>
      </x:c>
    </x:row>
    <x:row r="32" ht="14" customHeight="1">
      <x:c r="A32" s="29" t="s">
        <x:v>225</x:v>
      </x:c>
      <x:c r="B32" s="48" t="str">
        <x:f>IFERROR(VLOOKUP($A32,Parts!$A$2:$M$200,3,FALSE()),"")</x:f>
        <x:v>Keramikkondensator 1 µF SMD</x:v>
      </x:c>
      <x:c r="C32" s="29" t="str">
        <x:f>IFERROR(VLOOKUP($A32,Stock!$A$5:$I$200,8,FALSE()),"")</x:f>
        <x:v>Reichelt</x:v>
      </x:c>
      <x:c r="D32" s="29" t="str">
        <x:f>IFERROR(VLOOKUP($A32,Stock!$A$5:$I$200,9,FALSE()),"")</x:f>
        <x:v>BKL 10120946</x:v>
      </x:c>
      <x:c r="E32" s="31" t="n">
        <x:f>SUMIFS(Kit_BOM!$F$2:$F$204,Kit_BOM!$E$2:$E$204,$A32,Kit_BOM!$A$2:$A$204,$A$5,Kit_BOM!$G$2:$G$204,"Bestücken")*$C$5+SUMIFS(Kit_BOM!$F$2:$F$204,Kit_BOM!$E$2:$E$204,$A32,Kit_BOM!$A$2:$A$204,$A$5,Kit_BOM!$G$2:$G$204,"Mechanical")*$C$5+IF($F$5="Ja",SUMIFS(Kit_BOM!$F$2:$F$204,Kit_BOM!$E$2:$E$204,$A32,Kit_BOM!$A$2:$A$204,$A$5,Kit_BOM!$G$2:$G$204,"Optional")*$C$5,0)+IF($F$6="Ja",SUMIFS(Kit_BOM!$F$2:$F$204,Kit_BOM!$E$2:$E$204,$A32,Kit_BOM!$A$2:$A$204,$A$5,Kit_BOM!$G$2:$G$204,"DNP")*$C$5,0)+SUMIFS(Kit_BOM!$F$2:$F$204,Kit_BOM!$E$2:$E$204,$A32,Kit_BOM!$A$2:$A$204,$A$6,Kit_BOM!$G$2:$G$204,"Bestücken")*$C$6+SUMIFS(Kit_BOM!$F$2:$F$204,Kit_BOM!$E$2:$E$204,$A32,Kit_BOM!$A$2:$A$204,$A$6,Kit_BOM!$G$2:$G$204,"Mechanical")*$C$6+IF($F$5="Ja",SUMIFS(Kit_BOM!$F$2:$F$204,Kit_BOM!$E$2:$E$204,$A32,Kit_BOM!$A$2:$A$204,$A$6,Kit_BOM!$G$2:$G$204,"Optional")*$C$6,0)+IF($F$6="Ja",SUMIFS(Kit_BOM!$F$2:$F$204,Kit_BOM!$E$2:$E$204,$A32,Kit_BOM!$A$2:$A$204,$A$6,Kit_BOM!$G$2:$G$204,"DNP")*$C$6,0)+SUMIFS(Kit_BOM!$F$2:$F$204,Kit_BOM!$E$2:$E$204,$A32,Kit_BOM!$A$2:$A$204,$A$7,Kit_BOM!$G$2:$G$204,"Bestücken")*$C$7+SUMIFS(Kit_BOM!$F$2:$F$204,Kit_BOM!$E$2:$E$204,$A32,Kit_BOM!$A$2:$A$204,$A$7,Kit_BOM!$G$2:$G$204,"Mechanical")*$C$7+IF($F$5="Ja",SUMIFS(Kit_BOM!$F$2:$F$204,Kit_BOM!$E$2:$E$204,$A32,Kit_BOM!$A$2:$A$204,$A$7,Kit_BOM!$G$2:$G$204,"Optional")*$C$7,0)+IF($F$6="Ja",SUMIFS(Kit_BOM!$F$2:$F$204,Kit_BOM!$E$2:$E$204,$A32,Kit_BOM!$A$2:$A$204,$A$7,Kit_BOM!$G$2:$G$204,"DNP")*$C$7,0)+SUMIFS(Kit_BOM!$F$2:$F$204,Kit_BOM!$E$2:$E$204,$A32,Kit_BOM!$A$2:$A$204,$A$8,Kit_BOM!$G$2:$G$204,"Bestücken")*$C$8+SUMIFS(Kit_BOM!$F$2:$F$204,Kit_BOM!$E$2:$E$204,$A32,Kit_BOM!$A$2:$A$204,$A$8,Kit_BOM!$G$2:$G$204,"Mechanical")*$C$8+IF($F$5="Ja",SUMIFS(Kit_BOM!$F$2:$F$204,Kit_BOM!$E$2:$E$204,$A32,Kit_BOM!$A$2:$A$204,$A$8,Kit_BOM!$G$2:$G$204,"Optional")*$C$8,0)+IF($F$6="Ja",SUMIFS(Kit_BOM!$F$2:$F$204,Kit_BOM!$E$2:$E$204,$A32,Kit_BOM!$A$2:$A$204,$A$8,Kit_BOM!$G$2:$G$204,"DNP")*$C$8,0)</x:f>
        <x:v>0</x:v>
      </x:c>
      <x:c r="F32" s="31" t="str">
        <x:f>IFERROR(IF(INDEX(Part_Suppliers!$G$2:$G$300,MATCH($A32&amp;"|"&amp;$C32,Part_Suppliers!$K$2:$K$300,0))=0,"",INDEX(Part_Suppliers!$G$2:$G$300,MATCH($A32&amp;"|"&amp;$C32,Part_Suppliers!$K$2:$K$300,0))),"")</x:f>
      </x:c>
      <x:c r="G32" s="31">
        <x:f t="shared" si="0"/>
        <x:v>0</x:v>
      </x:c>
      <x:c r="H32" s="49" t="n">
        <x:f>SUMIFS(Part_Suppliers!$E$2:$E$300,Part_Suppliers!$A$2:$A$300,$A32,Part_Suppliers!$B$2:$B$300,$C32)</x:f>
        <x:v>0.16</x:v>
      </x:c>
      <x:c r="I32" s="49">
        <x:f t="shared" si="1"/>
        <x:v>0</x:v>
      </x:c>
      <x:c r="J32" t="str">
        <x:f t="shared" si="2"/>
        <x:v>Nicht benötigt</x:v>
      </x:c>
      <x:c r="K32" s="29" t="str">
        <x:f>IFERROR(IF(INDEX(Part_Suppliers!$D$2:$D$300,MATCH($A32&amp;"|"&amp;$C32,Part_Suppliers!$K$2:$K$300,0))=0,"",INDEX(Part_Suppliers!$D$2:$D$300,MATCH($A32&amp;"|"&amp;$C32,Part_Suppliers!$K$2:$K$300,0))),"")</x:f>
        <x:v>https://www.reichelt.de/de/de/shop/produkt/buchsenleiste_2_54mm_1x4_gerade-266671</x:v>
      </x:c>
      <x:c r="L32" s="31" t="n">
        <x:f>IFERROR(VLOOKUP($A32,Stock!$A$5:$K$200,10,FALSE()),0)</x:f>
        <x:v>0</x:v>
      </x:c>
      <x:c r="M32" s="31" t="n">
        <x:f>IFERROR(VLOOKUP($A32,Stock!$A$5:$K$200,11,FALSE()),0)</x:f>
        <x:v>0</x:v>
      </x:c>
      <x:c r="N32" s="31">
        <x:f t="shared" si="3"/>
        <x:v>0</x:v>
      </x:c>
      <x:c r="O32" s="31">
        <x:f t="shared" si="4"/>
        <x:v>0</x:v>
      </x:c>
      <x:c r="P32" s="50">
        <x:v>0</x:v>
      </x:c>
    </x:row>
    <x:row r="33" ht="14" customHeight="1">
      <x:c r="A33" s="29" t="s">
        <x:v>231</x:v>
      </x:c>
      <x:c r="B33" s="48" t="str">
        <x:f>IFERROR(VLOOKUP($A33,Parts!$A$2:$M$200,3,FALSE()),"")</x:f>
        <x:v>Dual-Schottky-Diode BAT54S</x:v>
      </x:c>
      <x:c r="C33" s="29" t="str">
        <x:f>IFERROR(VLOOKUP($A33,Stock!$A$5:$I$200,8,FALSE()),"")</x:f>
        <x:v>Reichelt</x:v>
      </x:c>
      <x:c r="D33" s="29" t="str">
        <x:f>IFERROR(VLOOKUP($A33,Stock!$A$5:$I$200,9,FALSE()),"")</x:f>
        <x:v>BKL 10120946</x:v>
      </x:c>
      <x:c r="E33" s="31" t="n">
        <x:f>SUMIFS(Kit_BOM!$F$2:$F$204,Kit_BOM!$E$2:$E$204,$A33,Kit_BOM!$A$2:$A$204,$A$5,Kit_BOM!$G$2:$G$204,"Bestücken")*$C$5+SUMIFS(Kit_BOM!$F$2:$F$204,Kit_BOM!$E$2:$E$204,$A33,Kit_BOM!$A$2:$A$204,$A$5,Kit_BOM!$G$2:$G$204,"Mechanical")*$C$5+IF($F$5="Ja",SUMIFS(Kit_BOM!$F$2:$F$204,Kit_BOM!$E$2:$E$204,$A33,Kit_BOM!$A$2:$A$204,$A$5,Kit_BOM!$G$2:$G$204,"Optional")*$C$5,0)+IF($F$6="Ja",SUMIFS(Kit_BOM!$F$2:$F$204,Kit_BOM!$E$2:$E$204,$A33,Kit_BOM!$A$2:$A$204,$A$5,Kit_BOM!$G$2:$G$204,"DNP")*$C$5,0)+SUMIFS(Kit_BOM!$F$2:$F$204,Kit_BOM!$E$2:$E$204,$A33,Kit_BOM!$A$2:$A$204,$A$6,Kit_BOM!$G$2:$G$204,"Bestücken")*$C$6+SUMIFS(Kit_BOM!$F$2:$F$204,Kit_BOM!$E$2:$E$204,$A33,Kit_BOM!$A$2:$A$204,$A$6,Kit_BOM!$G$2:$G$204,"Mechanical")*$C$6+IF($F$5="Ja",SUMIFS(Kit_BOM!$F$2:$F$204,Kit_BOM!$E$2:$E$204,$A33,Kit_BOM!$A$2:$A$204,$A$6,Kit_BOM!$G$2:$G$204,"Optional")*$C$6,0)+IF($F$6="Ja",SUMIFS(Kit_BOM!$F$2:$F$204,Kit_BOM!$E$2:$E$204,$A33,Kit_BOM!$A$2:$A$204,$A$6,Kit_BOM!$G$2:$G$204,"DNP")*$C$6,0)+SUMIFS(Kit_BOM!$F$2:$F$204,Kit_BOM!$E$2:$E$204,$A33,Kit_BOM!$A$2:$A$204,$A$7,Kit_BOM!$G$2:$G$204,"Bestücken")*$C$7+SUMIFS(Kit_BOM!$F$2:$F$204,Kit_BOM!$E$2:$E$204,$A33,Kit_BOM!$A$2:$A$204,$A$7,Kit_BOM!$G$2:$G$204,"Mechanical")*$C$7+IF($F$5="Ja",SUMIFS(Kit_BOM!$F$2:$F$204,Kit_BOM!$E$2:$E$204,$A33,Kit_BOM!$A$2:$A$204,$A$7,Kit_BOM!$G$2:$G$204,"Optional")*$C$7,0)+IF($F$6="Ja",SUMIFS(Kit_BOM!$F$2:$F$204,Kit_BOM!$E$2:$E$204,$A33,Kit_BOM!$A$2:$A$204,$A$7,Kit_BOM!$G$2:$G$204,"DNP")*$C$7,0)+SUMIFS(Kit_BOM!$F$2:$F$204,Kit_BOM!$E$2:$E$204,$A33,Kit_BOM!$A$2:$A$204,$A$8,Kit_BOM!$G$2:$G$204,"Bestücken")*$C$8+SUMIFS(Kit_BOM!$F$2:$F$204,Kit_BOM!$E$2:$E$204,$A33,Kit_BOM!$A$2:$A$204,$A$8,Kit_BOM!$G$2:$G$204,"Mechanical")*$C$8+IF($F$5="Ja",SUMIFS(Kit_BOM!$F$2:$F$204,Kit_BOM!$E$2:$E$204,$A33,Kit_BOM!$A$2:$A$204,$A$8,Kit_BOM!$G$2:$G$204,"Optional")*$C$8,0)+IF($F$6="Ja",SUMIFS(Kit_BOM!$F$2:$F$204,Kit_BOM!$E$2:$E$204,$A33,Kit_BOM!$A$2:$A$204,$A$8,Kit_BOM!$G$2:$G$204,"DNP")*$C$8,0)</x:f>
        <x:v>0</x:v>
      </x:c>
      <x:c r="F33" s="31" t="str">
        <x:f>IFERROR(IF(INDEX(Part_Suppliers!$G$2:$G$300,MATCH($A33&amp;"|"&amp;$C33,Part_Suppliers!$K$2:$K$300,0))=0,"",INDEX(Part_Suppliers!$G$2:$G$300,MATCH($A33&amp;"|"&amp;$C33,Part_Suppliers!$K$2:$K$300,0))),"")</x:f>
      </x:c>
      <x:c r="G33" s="31">
        <x:f t="shared" si="0"/>
        <x:v>0</x:v>
      </x:c>
      <x:c r="H33" s="49" t="n">
        <x:f>SUMIFS(Part_Suppliers!$E$2:$E$300,Part_Suppliers!$A$2:$A$300,$A33,Part_Suppliers!$B$2:$B$300,$C33)</x:f>
        <x:v>0.04</x:v>
      </x:c>
      <x:c r="I33" s="49">
        <x:f t="shared" si="1"/>
        <x:v>0</x:v>
      </x:c>
      <x:c r="J33" t="str">
        <x:f t="shared" si="2"/>
        <x:v>Nicht benötigt</x:v>
      </x:c>
      <x:c r="K33" s="29" t="str">
        <x:f>IFERROR(IF(INDEX(Part_Suppliers!$D$2:$D$300,MATCH($A33&amp;"|"&amp;$C33,Part_Suppliers!$K$2:$K$300,0))=0,"",INDEX(Part_Suppliers!$D$2:$D$300,MATCH($A33&amp;"|"&amp;$C33,Part_Suppliers!$K$2:$K$300,0))),"")</x:f>
        <x:v>https://www.reichelt.de/de/de/shop/produkt/buchsenleiste_2_54mm_1x4_gerade-266671</x:v>
      </x:c>
      <x:c r="L33" s="31" t="n">
        <x:f>IFERROR(VLOOKUP($A33,Stock!$A$5:$K$200,10,FALSE()),0)</x:f>
        <x:v>0</x:v>
      </x:c>
      <x:c r="M33" s="31" t="n">
        <x:f>IFERROR(VLOOKUP($A33,Stock!$A$5:$K$200,11,FALSE()),0)</x:f>
        <x:v>0</x:v>
      </x:c>
      <x:c r="N33" s="31">
        <x:f t="shared" si="3"/>
        <x:v>0</x:v>
      </x:c>
      <x:c r="O33" s="31">
        <x:f t="shared" si="4"/>
        <x:v>0</x:v>
      </x:c>
      <x:c r="P33" s="50">
        <x:v>0</x:v>
      </x:c>
    </x:row>
    <x:row r="34" ht="14" customHeight="1">
      <x:c r="A34" s="29" t="s">
        <x:v>247</x:v>
      </x:c>
      <x:c r="B34" s="48" t="str">
        <x:f>IFERROR(VLOOKUP($A34,Parts!$A$2:$M$200,3,FALSE()),"")</x:f>
        <x:v>Buchsenleiste 1x2, vertikal</x:v>
      </x:c>
      <x:c r="C34" s="29" t="str">
        <x:f>IFERROR(VLOOKUP($A34,Stock!$A$5:$I$200,8,FALSE()),"")</x:f>
        <x:v>Noch festlegen</x:v>
      </x:c>
      <x:c r="D34" s="29" t="str">
        <x:f>IFERROR(VLOOKUP($A34,Stock!$A$5:$I$200,9,FALSE()),"")</x:f>
      </x:c>
      <x:c r="E34" s="31" t="n">
        <x:f>SUMIFS(Kit_BOM!$F$2:$F$204,Kit_BOM!$E$2:$E$204,$A34,Kit_BOM!$A$2:$A$204,$A$5,Kit_BOM!$G$2:$G$204,"Bestücken")*$C$5+SUMIFS(Kit_BOM!$F$2:$F$204,Kit_BOM!$E$2:$E$204,$A34,Kit_BOM!$A$2:$A$204,$A$5,Kit_BOM!$G$2:$G$204,"Mechanical")*$C$5+IF($F$5="Ja",SUMIFS(Kit_BOM!$F$2:$F$204,Kit_BOM!$E$2:$E$204,$A34,Kit_BOM!$A$2:$A$204,$A$5,Kit_BOM!$G$2:$G$204,"Optional")*$C$5,0)+IF($F$6="Ja",SUMIFS(Kit_BOM!$F$2:$F$204,Kit_BOM!$E$2:$E$204,$A34,Kit_BOM!$A$2:$A$204,$A$5,Kit_BOM!$G$2:$G$204,"DNP")*$C$5,0)+SUMIFS(Kit_BOM!$F$2:$F$204,Kit_BOM!$E$2:$E$204,$A34,Kit_BOM!$A$2:$A$204,$A$6,Kit_BOM!$G$2:$G$204,"Bestücken")*$C$6+SUMIFS(Kit_BOM!$F$2:$F$204,Kit_BOM!$E$2:$E$204,$A34,Kit_BOM!$A$2:$A$204,$A$6,Kit_BOM!$G$2:$G$204,"Mechanical")*$C$6+IF($F$5="Ja",SUMIFS(Kit_BOM!$F$2:$F$204,Kit_BOM!$E$2:$E$204,$A34,Kit_BOM!$A$2:$A$204,$A$6,Kit_BOM!$G$2:$G$204,"Optional")*$C$6,0)+IF($F$6="Ja",SUMIFS(Kit_BOM!$F$2:$F$204,Kit_BOM!$E$2:$E$204,$A34,Kit_BOM!$A$2:$A$204,$A$6,Kit_BOM!$G$2:$G$204,"DNP")*$C$6,0)+SUMIFS(Kit_BOM!$F$2:$F$204,Kit_BOM!$E$2:$E$204,$A34,Kit_BOM!$A$2:$A$204,$A$7,Kit_BOM!$G$2:$G$204,"Bestücken")*$C$7+SUMIFS(Kit_BOM!$F$2:$F$204,Kit_BOM!$E$2:$E$204,$A34,Kit_BOM!$A$2:$A$204,$A$7,Kit_BOM!$G$2:$G$204,"Mechanical")*$C$7+IF($F$5="Ja",SUMIFS(Kit_BOM!$F$2:$F$204,Kit_BOM!$E$2:$E$204,$A34,Kit_BOM!$A$2:$A$204,$A$7,Kit_BOM!$G$2:$G$204,"Optional")*$C$7,0)+IF($F$6="Ja",SUMIFS(Kit_BOM!$F$2:$F$204,Kit_BOM!$E$2:$E$204,$A34,Kit_BOM!$A$2:$A$204,$A$7,Kit_BOM!$G$2:$G$204,"DNP")*$C$7,0)+SUMIFS(Kit_BOM!$F$2:$F$204,Kit_BOM!$E$2:$E$204,$A34,Kit_BOM!$A$2:$A$204,$A$8,Kit_BOM!$G$2:$G$204,"Bestücken")*$C$8+SUMIFS(Kit_BOM!$F$2:$F$204,Kit_BOM!$E$2:$E$204,$A34,Kit_BOM!$A$2:$A$204,$A$8,Kit_BOM!$G$2:$G$204,"Mechanical")*$C$8+IF($F$5="Ja",SUMIFS(Kit_BOM!$F$2:$F$204,Kit_BOM!$E$2:$E$204,$A34,Kit_BOM!$A$2:$A$204,$A$8,Kit_BOM!$G$2:$G$204,"Optional")*$C$8,0)+IF($F$6="Ja",SUMIFS(Kit_BOM!$F$2:$F$204,Kit_BOM!$E$2:$E$204,$A34,Kit_BOM!$A$2:$A$204,$A$8,Kit_BOM!$G$2:$G$204,"DNP")*$C$8,0)</x:f>
        <x:v>0</x:v>
      </x:c>
      <x:c r="F34" s="31" t="n">
        <x:f>IFERROR(IF(INDEX(Part_Suppliers!$G$2:$G$300,MATCH($A34&amp;"|"&amp;$C34,Part_Suppliers!$K$2:$K$300,0))=0,"",INDEX(Part_Suppliers!$G$2:$G$300,MATCH($A34&amp;"|"&amp;$C34,Part_Suppliers!$K$2:$K$300,0))),"")</x:f>
        <x:v>3</x:v>
      </x:c>
      <x:c r="G34" s="31">
        <x:f t="shared" si="0"/>
        <x:v>0</x:v>
      </x:c>
      <x:c r="H34" s="49" t="n">
        <x:f>SUMIFS(Part_Suppliers!$E$2:$E$300,Part_Suppliers!$A$2:$A$300,$A34,Part_Suppliers!$B$2:$B$300,$C34)</x:f>
        <x:v>0</x:v>
      </x:c>
      <x:c r="I34" s="49">
        <x:f t="shared" si="1"/>
        <x:v>0</x:v>
      </x:c>
      <x:c r="J34" t="str">
        <x:f t="shared" si="2"/>
        <x:v>Nicht benötigt</x:v>
      </x:c>
      <x:c r="K34" s="29" t="str">
        <x:f>IFERROR(IF(INDEX(Part_Suppliers!$D$2:$D$300,MATCH($A34&amp;"|"&amp;$C34,Part_Suppliers!$K$2:$K$300,0))=0,"",INDEX(Part_Suppliers!$D$2:$D$300,MATCH($A34&amp;"|"&amp;$C34,Part_Suppliers!$K$2:$K$300,0))),"")</x:f>
      </x:c>
      <x:c r="L34" s="31" t="n">
        <x:f>IFERROR(VLOOKUP($A34,Stock!$A$5:$K$200,10,FALSE()),0)</x:f>
        <x:v>0</x:v>
      </x:c>
      <x:c r="M34" s="31" t="n">
        <x:f>IFERROR(VLOOKUP($A34,Stock!$A$5:$K$200,11,FALSE()),0)</x:f>
        <x:v>0</x:v>
      </x:c>
      <x:c r="N34" s="31">
        <x:f t="shared" si="3"/>
        <x:v>0</x:v>
      </x:c>
      <x:c r="O34" s="31">
        <x:f t="shared" si="4"/>
        <x:v>0</x:v>
      </x:c>
      <x:c r="P34" s="50">
        <x:v>0</x:v>
      </x:c>
    </x:row>
    <x:row r="35" ht="26.25" customHeight="1">
      <x:c r="A35" s="29" t="s">
        <x:v>253</x:v>
      </x:c>
      <x:c r="B35" s="48" t="str">
        <x:f>IFERROR(VLOOKUP($A35,Parts!$A$2:$M$200,3,FALSE()),"")</x:f>
        <x:v>Widerstand, Metallschicht, 150 Ohm, 0207, 250 mW, 0,1%</x:v>
      </x:c>
      <x:c r="C35" s="29" t="str">
        <x:f>IFERROR(VLOOKUP($A35,Stock!$A$5:$I$200,8,FALSE()),"")</x:f>
        <x:v>Reichelt</x:v>
      </x:c>
      <x:c r="D35" s="29" t="str">
        <x:f>IFERROR(VLOOKUP($A35,Stock!$A$5:$I$200,9,FALSE()),"")</x:f>
        <x:v>BKL 10120946</x:v>
      </x:c>
      <x:c r="E35" s="31" t="n">
        <x:f>SUMIFS(Kit_BOM!$F$2:$F$204,Kit_BOM!$E$2:$E$204,$A35,Kit_BOM!$A$2:$A$204,$A$5,Kit_BOM!$G$2:$G$204,"Bestücken")*$C$5+SUMIFS(Kit_BOM!$F$2:$F$204,Kit_BOM!$E$2:$E$204,$A35,Kit_BOM!$A$2:$A$204,$A$5,Kit_BOM!$G$2:$G$204,"Mechanical")*$C$5+IF($F$5="Ja",SUMIFS(Kit_BOM!$F$2:$F$204,Kit_BOM!$E$2:$E$204,$A35,Kit_BOM!$A$2:$A$204,$A$5,Kit_BOM!$G$2:$G$204,"Optional")*$C$5,0)+IF($F$6="Ja",SUMIFS(Kit_BOM!$F$2:$F$204,Kit_BOM!$E$2:$E$204,$A35,Kit_BOM!$A$2:$A$204,$A$5,Kit_BOM!$G$2:$G$204,"DNP")*$C$5,0)+SUMIFS(Kit_BOM!$F$2:$F$204,Kit_BOM!$E$2:$E$204,$A35,Kit_BOM!$A$2:$A$204,$A$6,Kit_BOM!$G$2:$G$204,"Bestücken")*$C$6+SUMIFS(Kit_BOM!$F$2:$F$204,Kit_BOM!$E$2:$E$204,$A35,Kit_BOM!$A$2:$A$204,$A$6,Kit_BOM!$G$2:$G$204,"Mechanical")*$C$6+IF($F$5="Ja",SUMIFS(Kit_BOM!$F$2:$F$204,Kit_BOM!$E$2:$E$204,$A35,Kit_BOM!$A$2:$A$204,$A$6,Kit_BOM!$G$2:$G$204,"Optional")*$C$6,0)+IF($F$6="Ja",SUMIFS(Kit_BOM!$F$2:$F$204,Kit_BOM!$E$2:$E$204,$A35,Kit_BOM!$A$2:$A$204,$A$6,Kit_BOM!$G$2:$G$204,"DNP")*$C$6,0)+SUMIFS(Kit_BOM!$F$2:$F$204,Kit_BOM!$E$2:$E$204,$A35,Kit_BOM!$A$2:$A$204,$A$7,Kit_BOM!$G$2:$G$204,"Bestücken")*$C$7+SUMIFS(Kit_BOM!$F$2:$F$204,Kit_BOM!$E$2:$E$204,$A35,Kit_BOM!$A$2:$A$204,$A$7,Kit_BOM!$G$2:$G$204,"Mechanical")*$C$7+IF($F$5="Ja",SUMIFS(Kit_BOM!$F$2:$F$204,Kit_BOM!$E$2:$E$204,$A35,Kit_BOM!$A$2:$A$204,$A$7,Kit_BOM!$G$2:$G$204,"Optional")*$C$7,0)+IF($F$6="Ja",SUMIFS(Kit_BOM!$F$2:$F$204,Kit_BOM!$E$2:$E$204,$A35,Kit_BOM!$A$2:$A$204,$A$7,Kit_BOM!$G$2:$G$204,"DNP")*$C$7,0)+SUMIFS(Kit_BOM!$F$2:$F$204,Kit_BOM!$E$2:$E$204,$A35,Kit_BOM!$A$2:$A$204,$A$8,Kit_BOM!$G$2:$G$204,"Bestücken")*$C$8+SUMIFS(Kit_BOM!$F$2:$F$204,Kit_BOM!$E$2:$E$204,$A35,Kit_BOM!$A$2:$A$204,$A$8,Kit_BOM!$G$2:$G$204,"Mechanical")*$C$8+IF($F$5="Ja",SUMIFS(Kit_BOM!$F$2:$F$204,Kit_BOM!$E$2:$E$204,$A35,Kit_BOM!$A$2:$A$204,$A$8,Kit_BOM!$G$2:$G$204,"Optional")*$C$8,0)+IF($F$6="Ja",SUMIFS(Kit_BOM!$F$2:$F$204,Kit_BOM!$E$2:$E$204,$A35,Kit_BOM!$A$2:$A$204,$A$8,Kit_BOM!$G$2:$G$204,"DNP")*$C$8,0)</x:f>
        <x:v>0</x:v>
      </x:c>
      <x:c r="F35" s="31" t="str">
        <x:f>IFERROR(IF(INDEX(Part_Suppliers!$G$2:$G$300,MATCH($A35&amp;"|"&amp;$C35,Part_Suppliers!$K$2:$K$300,0))=0,"",INDEX(Part_Suppliers!$G$2:$G$300,MATCH($A35&amp;"|"&amp;$C35,Part_Suppliers!$K$2:$K$300,0))),"")</x:f>
      </x:c>
      <x:c r="G35" s="31">
        <x:f t="shared" si="0"/>
        <x:v>0</x:v>
      </x:c>
      <x:c r="H35" s="49" t="n">
        <x:f>SUMIFS(Part_Suppliers!$E$2:$E$300,Part_Suppliers!$A$2:$A$300,$A35,Part_Suppliers!$B$2:$B$300,$C35)</x:f>
        <x:v>1.3</x:v>
      </x:c>
      <x:c r="I35" s="49">
        <x:f t="shared" si="1"/>
        <x:v>0</x:v>
      </x:c>
      <x:c r="J35" t="str">
        <x:f t="shared" si="2"/>
        <x:v>Nicht benötigt</x:v>
      </x:c>
      <x:c r="K35" s="29" t="str">
        <x:f>IFERROR(IF(INDEX(Part_Suppliers!$D$2:$D$300,MATCH($A35&amp;"|"&amp;$C35,Part_Suppliers!$K$2:$K$300,0))=0,"",INDEX(Part_Suppliers!$D$2:$D$300,MATCH($A35&amp;"|"&amp;$C35,Part_Suppliers!$K$2:$K$300,0))),"")</x:f>
        <x:v>https://www.reichelt.de/de/de/shop/produkt/buchsenleiste_2_54mm_1x4_gerade-266671</x:v>
      </x:c>
      <x:c r="L35" s="31" t="n">
        <x:f>IFERROR(VLOOKUP($A35,Stock!$A$5:$K$200,10,FALSE()),0)</x:f>
        <x:v>0</x:v>
      </x:c>
      <x:c r="M35" s="31" t="n">
        <x:f>IFERROR(VLOOKUP($A35,Stock!$A$5:$K$200,11,FALSE()),0)</x:f>
        <x:v>0</x:v>
      </x:c>
      <x:c r="N35" s="31">
        <x:f t="shared" si="3"/>
        <x:v>0</x:v>
      </x:c>
      <x:c r="O35" s="31">
        <x:f t="shared" si="4"/>
        <x:v>0</x:v>
      </x:c>
      <x:c r="P35" s="50">
        <x:v>0</x:v>
      </x:c>
    </x:row>
    <x:row r="36" ht="14" customHeight="1">
      <x:c r="A36" s="29" t="s">
        <x:v>260</x:v>
      </x:c>
      <x:c r="B36" s="48" t="str">
        <x:f>IFERROR(VLOOKUP($A36,Parts!$A$2:$M$200,3,FALSE()),"")</x:f>
        <x:v>Schnelle Schaltdiode 1N4148W</x:v>
      </x:c>
      <x:c r="C36" s="29" t="str">
        <x:f>IFERROR(VLOOKUP($A36,Stock!$A$5:$I$200,8,FALSE()),"")</x:f>
        <x:v>Reichelt</x:v>
      </x:c>
      <x:c r="D36" s="29" t="str">
        <x:f>IFERROR(VLOOKUP($A36,Stock!$A$5:$I$200,9,FALSE()),"")</x:f>
        <x:v>BKL 10120946</x:v>
      </x:c>
      <x:c r="E36" s="31" t="n">
        <x:f>SUMIFS(Kit_BOM!$F$2:$F$204,Kit_BOM!$E$2:$E$204,$A36,Kit_BOM!$A$2:$A$204,$A$5,Kit_BOM!$G$2:$G$204,"Bestücken")*$C$5+SUMIFS(Kit_BOM!$F$2:$F$204,Kit_BOM!$E$2:$E$204,$A36,Kit_BOM!$A$2:$A$204,$A$5,Kit_BOM!$G$2:$G$204,"Mechanical")*$C$5+IF($F$5="Ja",SUMIFS(Kit_BOM!$F$2:$F$204,Kit_BOM!$E$2:$E$204,$A36,Kit_BOM!$A$2:$A$204,$A$5,Kit_BOM!$G$2:$G$204,"Optional")*$C$5,0)+IF($F$6="Ja",SUMIFS(Kit_BOM!$F$2:$F$204,Kit_BOM!$E$2:$E$204,$A36,Kit_BOM!$A$2:$A$204,$A$5,Kit_BOM!$G$2:$G$204,"DNP")*$C$5,0)+SUMIFS(Kit_BOM!$F$2:$F$204,Kit_BOM!$E$2:$E$204,$A36,Kit_BOM!$A$2:$A$204,$A$6,Kit_BOM!$G$2:$G$204,"Bestücken")*$C$6+SUMIFS(Kit_BOM!$F$2:$F$204,Kit_BOM!$E$2:$E$204,$A36,Kit_BOM!$A$2:$A$204,$A$6,Kit_BOM!$G$2:$G$204,"Mechanical")*$C$6+IF($F$5="Ja",SUMIFS(Kit_BOM!$F$2:$F$204,Kit_BOM!$E$2:$E$204,$A36,Kit_BOM!$A$2:$A$204,$A$6,Kit_BOM!$G$2:$G$204,"Optional")*$C$6,0)+IF($F$6="Ja",SUMIFS(Kit_BOM!$F$2:$F$204,Kit_BOM!$E$2:$E$204,$A36,Kit_BOM!$A$2:$A$204,$A$6,Kit_BOM!$G$2:$G$204,"DNP")*$C$6,0)+SUMIFS(Kit_BOM!$F$2:$F$204,Kit_BOM!$E$2:$E$204,$A36,Kit_BOM!$A$2:$A$204,$A$7,Kit_BOM!$G$2:$G$204,"Bestücken")*$C$7+SUMIFS(Kit_BOM!$F$2:$F$204,Kit_BOM!$E$2:$E$204,$A36,Kit_BOM!$A$2:$A$204,$A$7,Kit_BOM!$G$2:$G$204,"Mechanical")*$C$7+IF($F$5="Ja",SUMIFS(Kit_BOM!$F$2:$F$204,Kit_BOM!$E$2:$E$204,$A36,Kit_BOM!$A$2:$A$204,$A$7,Kit_BOM!$G$2:$G$204,"Optional")*$C$7,0)+IF($F$6="Ja",SUMIFS(Kit_BOM!$F$2:$F$204,Kit_BOM!$E$2:$E$204,$A36,Kit_BOM!$A$2:$A$204,$A$7,Kit_BOM!$G$2:$G$204,"DNP")*$C$7,0)+SUMIFS(Kit_BOM!$F$2:$F$204,Kit_BOM!$E$2:$E$204,$A36,Kit_BOM!$A$2:$A$204,$A$8,Kit_BOM!$G$2:$G$204,"Bestücken")*$C$8+SUMIFS(Kit_BOM!$F$2:$F$204,Kit_BOM!$E$2:$E$204,$A36,Kit_BOM!$A$2:$A$204,$A$8,Kit_BOM!$G$2:$G$204,"Mechanical")*$C$8+IF($F$5="Ja",SUMIFS(Kit_BOM!$F$2:$F$204,Kit_BOM!$E$2:$E$204,$A36,Kit_BOM!$A$2:$A$204,$A$8,Kit_BOM!$G$2:$G$204,"Optional")*$C$8,0)+IF($F$6="Ja",SUMIFS(Kit_BOM!$F$2:$F$204,Kit_BOM!$E$2:$E$204,$A36,Kit_BOM!$A$2:$A$204,$A$8,Kit_BOM!$G$2:$G$204,"DNP")*$C$8,0)</x:f>
        <x:v>0</x:v>
      </x:c>
      <x:c r="F36" s="31" t="str">
        <x:f>IFERROR(IF(INDEX(Part_Suppliers!$G$2:$G$300,MATCH($A36&amp;"|"&amp;$C36,Part_Suppliers!$K$2:$K$300,0))=0,"",INDEX(Part_Suppliers!$G$2:$G$300,MATCH($A36&amp;"|"&amp;$C36,Part_Suppliers!$K$2:$K$300,0))),"")</x:f>
      </x:c>
      <x:c r="G36" s="31">
        <x:f t="shared" si="0"/>
        <x:v>0</x:v>
      </x:c>
      <x:c r="H36" s="49" t="n">
        <x:f>SUMIFS(Part_Suppliers!$E$2:$E$300,Part_Suppliers!$A$2:$A$300,$A36,Part_Suppliers!$B$2:$B$300,$C36)</x:f>
        <x:v>0.02</x:v>
      </x:c>
      <x:c r="I36" s="49">
        <x:f t="shared" si="1"/>
        <x:v>0</x:v>
      </x:c>
      <x:c r="J36" t="str">
        <x:f t="shared" si="2"/>
        <x:v>Nicht benötigt</x:v>
      </x:c>
      <x:c r="K36" s="29" t="str">
        <x:f>IFERROR(IF(INDEX(Part_Suppliers!$D$2:$D$300,MATCH($A36&amp;"|"&amp;$C36,Part_Suppliers!$K$2:$K$300,0))=0,"",INDEX(Part_Suppliers!$D$2:$D$300,MATCH($A36&amp;"|"&amp;$C36,Part_Suppliers!$K$2:$K$300,0))),"")</x:f>
        <x:v>https://www.reichelt.de/de/de/shop/produkt/buchsenleiste_2_54mm_1x4_gerade-266671</x:v>
      </x:c>
      <x:c r="L36" s="31" t="n">
        <x:f>IFERROR(VLOOKUP($A36,Stock!$A$5:$K$200,10,FALSE()),0)</x:f>
        <x:v>0</x:v>
      </x:c>
      <x:c r="M36" s="31" t="n">
        <x:f>IFERROR(VLOOKUP($A36,Stock!$A$5:$K$200,11,FALSE()),0)</x:f>
        <x:v>0</x:v>
      </x:c>
      <x:c r="N36" s="31">
        <x:f t="shared" si="3"/>
        <x:v>0</x:v>
      </x:c>
      <x:c r="O36" s="31">
        <x:f t="shared" si="4"/>
        <x:v>0</x:v>
      </x:c>
      <x:c r="P36" s="50">
        <x:v>0</x:v>
      </x:c>
    </x:row>
    <x:row r="37" ht="14" customHeight="1">
      <x:c r="A37" s="29" t="s">
        <x:v>265</x:v>
      </x:c>
      <x:c r="B37" s="48" t="str">
        <x:f>IFERROR(VLOOKUP($A37,Parts!$A$2:$M$200,3,FALSE()),"")</x:f>
        <x:v>Schraubklemme 1x3, horizontal</x:v>
      </x:c>
      <x:c r="C37" s="29" t="str">
        <x:f>IFERROR(VLOOKUP($A37,Stock!$A$5:$I$200,8,FALSE()),"")</x:f>
        <x:v>Noch festlegen</x:v>
      </x:c>
      <x:c r="D37" s="29" t="str">
        <x:f>IFERROR(VLOOKUP($A37,Stock!$A$5:$I$200,9,FALSE()),"")</x:f>
      </x:c>
      <x:c r="E37" s="31" t="n">
        <x:f>SUMIFS(Kit_BOM!$F$2:$F$204,Kit_BOM!$E$2:$E$204,$A37,Kit_BOM!$A$2:$A$204,$A$5,Kit_BOM!$G$2:$G$204,"Bestücken")*$C$5+SUMIFS(Kit_BOM!$F$2:$F$204,Kit_BOM!$E$2:$E$204,$A37,Kit_BOM!$A$2:$A$204,$A$5,Kit_BOM!$G$2:$G$204,"Mechanical")*$C$5+IF($F$5="Ja",SUMIFS(Kit_BOM!$F$2:$F$204,Kit_BOM!$E$2:$E$204,$A37,Kit_BOM!$A$2:$A$204,$A$5,Kit_BOM!$G$2:$G$204,"Optional")*$C$5,0)+IF($F$6="Ja",SUMIFS(Kit_BOM!$F$2:$F$204,Kit_BOM!$E$2:$E$204,$A37,Kit_BOM!$A$2:$A$204,$A$5,Kit_BOM!$G$2:$G$204,"DNP")*$C$5,0)+SUMIFS(Kit_BOM!$F$2:$F$204,Kit_BOM!$E$2:$E$204,$A37,Kit_BOM!$A$2:$A$204,$A$6,Kit_BOM!$G$2:$G$204,"Bestücken")*$C$6+SUMIFS(Kit_BOM!$F$2:$F$204,Kit_BOM!$E$2:$E$204,$A37,Kit_BOM!$A$2:$A$204,$A$6,Kit_BOM!$G$2:$G$204,"Mechanical")*$C$6+IF($F$5="Ja",SUMIFS(Kit_BOM!$F$2:$F$204,Kit_BOM!$E$2:$E$204,$A37,Kit_BOM!$A$2:$A$204,$A$6,Kit_BOM!$G$2:$G$204,"Optional")*$C$6,0)+IF($F$6="Ja",SUMIFS(Kit_BOM!$F$2:$F$204,Kit_BOM!$E$2:$E$204,$A37,Kit_BOM!$A$2:$A$204,$A$6,Kit_BOM!$G$2:$G$204,"DNP")*$C$6,0)+SUMIFS(Kit_BOM!$F$2:$F$204,Kit_BOM!$E$2:$E$204,$A37,Kit_BOM!$A$2:$A$204,$A$7,Kit_BOM!$G$2:$G$204,"Bestücken")*$C$7+SUMIFS(Kit_BOM!$F$2:$F$204,Kit_BOM!$E$2:$E$204,$A37,Kit_BOM!$A$2:$A$204,$A$7,Kit_BOM!$G$2:$G$204,"Mechanical")*$C$7+IF($F$5="Ja",SUMIFS(Kit_BOM!$F$2:$F$204,Kit_BOM!$E$2:$E$204,$A37,Kit_BOM!$A$2:$A$204,$A$7,Kit_BOM!$G$2:$G$204,"Optional")*$C$7,0)+IF($F$6="Ja",SUMIFS(Kit_BOM!$F$2:$F$204,Kit_BOM!$E$2:$E$204,$A37,Kit_BOM!$A$2:$A$204,$A$7,Kit_BOM!$G$2:$G$204,"DNP")*$C$7,0)+SUMIFS(Kit_BOM!$F$2:$F$204,Kit_BOM!$E$2:$E$204,$A37,Kit_BOM!$A$2:$A$204,$A$8,Kit_BOM!$G$2:$G$204,"Bestücken")*$C$8+SUMIFS(Kit_BOM!$F$2:$F$204,Kit_BOM!$E$2:$E$204,$A37,Kit_BOM!$A$2:$A$204,$A$8,Kit_BOM!$G$2:$G$204,"Mechanical")*$C$8+IF($F$5="Ja",SUMIFS(Kit_BOM!$F$2:$F$204,Kit_BOM!$E$2:$E$204,$A37,Kit_BOM!$A$2:$A$204,$A$8,Kit_BOM!$G$2:$G$204,"Optional")*$C$8,0)+IF($F$6="Ja",SUMIFS(Kit_BOM!$F$2:$F$204,Kit_BOM!$E$2:$E$204,$A37,Kit_BOM!$A$2:$A$204,$A$8,Kit_BOM!$G$2:$G$204,"DNP")*$C$8,0)</x:f>
        <x:v>0</x:v>
      </x:c>
      <x:c r="F37" s="31" t="n">
        <x:f>IFERROR(IF(INDEX(Part_Suppliers!$G$2:$G$300,MATCH($A37&amp;"|"&amp;$C37,Part_Suppliers!$K$2:$K$300,0))=0,"",INDEX(Part_Suppliers!$G$2:$G$300,MATCH($A37&amp;"|"&amp;$C37,Part_Suppliers!$K$2:$K$300,0))),"")</x:f>
        <x:v>3</x:v>
      </x:c>
      <x:c r="G37" s="31">
        <x:f t="shared" si="0"/>
        <x:v>0</x:v>
      </x:c>
      <x:c r="H37" s="49" t="n">
        <x:f>SUMIFS(Part_Suppliers!$E$2:$E$300,Part_Suppliers!$A$2:$A$300,$A37,Part_Suppliers!$B$2:$B$300,$C37)</x:f>
        <x:v>0</x:v>
      </x:c>
      <x:c r="I37" s="49">
        <x:f t="shared" si="1"/>
        <x:v>0</x:v>
      </x:c>
      <x:c r="J37" t="str">
        <x:f t="shared" si="2"/>
        <x:v>Nicht benötigt</x:v>
      </x:c>
      <x:c r="K37" s="29" t="str">
        <x:f>IFERROR(IF(INDEX(Part_Suppliers!$D$2:$D$300,MATCH($A37&amp;"|"&amp;$C37,Part_Suppliers!$K$2:$K$300,0))=0,"",INDEX(Part_Suppliers!$D$2:$D$300,MATCH($A37&amp;"|"&amp;$C37,Part_Suppliers!$K$2:$K$300,0))),"")</x:f>
      </x:c>
      <x:c r="L37" s="31" t="n">
        <x:f>IFERROR(VLOOKUP($A37,Stock!$A$5:$K$200,10,FALSE()),0)</x:f>
        <x:v>0</x:v>
      </x:c>
      <x:c r="M37" s="31" t="n">
        <x:f>IFERROR(VLOOKUP($A37,Stock!$A$5:$K$200,11,FALSE()),0)</x:f>
        <x:v>0</x:v>
      </x:c>
      <x:c r="N37" s="31">
        <x:f t="shared" si="3"/>
        <x:v>0</x:v>
      </x:c>
      <x:c r="O37" s="31">
        <x:f t="shared" si="4"/>
        <x:v>0</x:v>
      </x:c>
      <x:c r="P37" s="50">
        <x:v>0</x:v>
      </x:c>
    </x:row>
    <x:row r="38" ht="14" customHeight="1">
      <x:c r="A38" s="29" t="s">
        <x:v>273</x:v>
      </x:c>
      <x:c r="B38" s="48" t="str">
        <x:f>IFERROR(VLOOKUP($A38,Parts!$A$2:$M$200,3,FALSE()),"")</x:f>
        <x:v>NPN-Transistor BC817</x:v>
      </x:c>
      <x:c r="C38" s="29" t="str">
        <x:f>IFERROR(VLOOKUP($A38,Stock!$A$5:$I$200,8,FALSE()),"")</x:f>
        <x:v>Reichelt</x:v>
      </x:c>
      <x:c r="D38" s="29" t="str">
        <x:f>IFERROR(VLOOKUP($A38,Stock!$A$5:$I$200,9,FALSE()),"")</x:f>
        <x:v>BKL 10120946</x:v>
      </x:c>
      <x:c r="E38" s="31" t="n">
        <x:f>SUMIFS(Kit_BOM!$F$2:$F$204,Kit_BOM!$E$2:$E$204,$A38,Kit_BOM!$A$2:$A$204,$A$5,Kit_BOM!$G$2:$G$204,"Bestücken")*$C$5+SUMIFS(Kit_BOM!$F$2:$F$204,Kit_BOM!$E$2:$E$204,$A38,Kit_BOM!$A$2:$A$204,$A$5,Kit_BOM!$G$2:$G$204,"Mechanical")*$C$5+IF($F$5="Ja",SUMIFS(Kit_BOM!$F$2:$F$204,Kit_BOM!$E$2:$E$204,$A38,Kit_BOM!$A$2:$A$204,$A$5,Kit_BOM!$G$2:$G$204,"Optional")*$C$5,0)+IF($F$6="Ja",SUMIFS(Kit_BOM!$F$2:$F$204,Kit_BOM!$E$2:$E$204,$A38,Kit_BOM!$A$2:$A$204,$A$5,Kit_BOM!$G$2:$G$204,"DNP")*$C$5,0)+SUMIFS(Kit_BOM!$F$2:$F$204,Kit_BOM!$E$2:$E$204,$A38,Kit_BOM!$A$2:$A$204,$A$6,Kit_BOM!$G$2:$G$204,"Bestücken")*$C$6+SUMIFS(Kit_BOM!$F$2:$F$204,Kit_BOM!$E$2:$E$204,$A38,Kit_BOM!$A$2:$A$204,$A$6,Kit_BOM!$G$2:$G$204,"Mechanical")*$C$6+IF($F$5="Ja",SUMIFS(Kit_BOM!$F$2:$F$204,Kit_BOM!$E$2:$E$204,$A38,Kit_BOM!$A$2:$A$204,$A$6,Kit_BOM!$G$2:$G$204,"Optional")*$C$6,0)+IF($F$6="Ja",SUMIFS(Kit_BOM!$F$2:$F$204,Kit_BOM!$E$2:$E$204,$A38,Kit_BOM!$A$2:$A$204,$A$6,Kit_BOM!$G$2:$G$204,"DNP")*$C$6,0)+SUMIFS(Kit_BOM!$F$2:$F$204,Kit_BOM!$E$2:$E$204,$A38,Kit_BOM!$A$2:$A$204,$A$7,Kit_BOM!$G$2:$G$204,"Bestücken")*$C$7+SUMIFS(Kit_BOM!$F$2:$F$204,Kit_BOM!$E$2:$E$204,$A38,Kit_BOM!$A$2:$A$204,$A$7,Kit_BOM!$G$2:$G$204,"Mechanical")*$C$7+IF($F$5="Ja",SUMIFS(Kit_BOM!$F$2:$F$204,Kit_BOM!$E$2:$E$204,$A38,Kit_BOM!$A$2:$A$204,$A$7,Kit_BOM!$G$2:$G$204,"Optional")*$C$7,0)+IF($F$6="Ja",SUMIFS(Kit_BOM!$F$2:$F$204,Kit_BOM!$E$2:$E$204,$A38,Kit_BOM!$A$2:$A$204,$A$7,Kit_BOM!$G$2:$G$204,"DNP")*$C$7,0)+SUMIFS(Kit_BOM!$F$2:$F$204,Kit_BOM!$E$2:$E$204,$A38,Kit_BOM!$A$2:$A$204,$A$8,Kit_BOM!$G$2:$G$204,"Bestücken")*$C$8+SUMIFS(Kit_BOM!$F$2:$F$204,Kit_BOM!$E$2:$E$204,$A38,Kit_BOM!$A$2:$A$204,$A$8,Kit_BOM!$G$2:$G$204,"Mechanical")*$C$8+IF($F$5="Ja",SUMIFS(Kit_BOM!$F$2:$F$204,Kit_BOM!$E$2:$E$204,$A38,Kit_BOM!$A$2:$A$204,$A$8,Kit_BOM!$G$2:$G$204,"Optional")*$C$8,0)+IF($F$6="Ja",SUMIFS(Kit_BOM!$F$2:$F$204,Kit_BOM!$E$2:$E$204,$A38,Kit_BOM!$A$2:$A$204,$A$8,Kit_BOM!$G$2:$G$204,"DNP")*$C$8,0)</x:f>
        <x:v>0</x:v>
      </x:c>
      <x:c r="F38" s="31" t="str">
        <x:f>IFERROR(IF(INDEX(Part_Suppliers!$G$2:$G$300,MATCH($A38&amp;"|"&amp;$C38,Part_Suppliers!$K$2:$K$300,0))=0,"",INDEX(Part_Suppliers!$G$2:$G$300,MATCH($A38&amp;"|"&amp;$C38,Part_Suppliers!$K$2:$K$300,0))),"")</x:f>
      </x:c>
      <x:c r="G38" s="31">
        <x:f t="shared" si="0"/>
        <x:v>0</x:v>
      </x:c>
      <x:c r="H38" s="49" t="n">
        <x:f>SUMIFS(Part_Suppliers!$E$2:$E$300,Part_Suppliers!$A$2:$A$300,$A38,Part_Suppliers!$B$2:$B$300,$C38)</x:f>
        <x:v>0.02</x:v>
      </x:c>
      <x:c r="I38" s="49">
        <x:f t="shared" si="1"/>
        <x:v>0</x:v>
      </x:c>
      <x:c r="J38" t="str">
        <x:f t="shared" si="2"/>
        <x:v>Nicht benötigt</x:v>
      </x:c>
      <x:c r="K38" s="29" t="str">
        <x:f>IFERROR(IF(INDEX(Part_Suppliers!$D$2:$D$300,MATCH($A38&amp;"|"&amp;$C38,Part_Suppliers!$K$2:$K$300,0))=0,"",INDEX(Part_Suppliers!$D$2:$D$300,MATCH($A38&amp;"|"&amp;$C38,Part_Suppliers!$K$2:$K$300,0))),"")</x:f>
        <x:v>https://www.reichelt.de/de/de/shop/produkt/buchsenleiste_2_54mm_1x4_gerade-266671</x:v>
      </x:c>
      <x:c r="L38" s="31" t="n">
        <x:f>IFERROR(VLOOKUP($A38,Stock!$A$5:$K$200,10,FALSE()),0)</x:f>
        <x:v>0</x:v>
      </x:c>
      <x:c r="M38" s="31" t="n">
        <x:f>IFERROR(VLOOKUP($A38,Stock!$A$5:$K$200,11,FALSE()),0)</x:f>
        <x:v>0</x:v>
      </x:c>
      <x:c r="N38" s="31">
        <x:f t="shared" si="3"/>
        <x:v>0</x:v>
      </x:c>
      <x:c r="O38" s="31">
        <x:f t="shared" si="4"/>
        <x:v>0</x:v>
      </x:c>
      <x:c r="P38" s="50">
        <x:v>0</x:v>
      </x:c>
    </x:row>
    <x:row r="39" ht="14" customHeight="1">
      <x:c r="A39" s="29" t="s">
        <x:v>279</x:v>
      </x:c>
      <x:c r="B39" s="48" t="str">
        <x:f>IFERROR(VLOOKUP($A39,Parts!$A$2:$M$200,3,FALSE()),"")</x:f>
        <x:v>Widerstand 1 kΩ SMD</x:v>
      </x:c>
      <x:c r="C39" s="29" t="str">
        <x:f>IFERROR(VLOOKUP($A39,Stock!$A$5:$I$200,8,FALSE()),"")</x:f>
        <x:v>Reichelt</x:v>
      </x:c>
      <x:c r="D39" s="29" t="str">
        <x:f>IFERROR(VLOOKUP($A39,Stock!$A$5:$I$200,9,FALSE()),"")</x:f>
        <x:v>BKL 10120946</x:v>
      </x:c>
      <x:c r="E39" s="31" t="n">
        <x:f>SUMIFS(Kit_BOM!$F$2:$F$204,Kit_BOM!$E$2:$E$204,$A39,Kit_BOM!$A$2:$A$204,$A$5,Kit_BOM!$G$2:$G$204,"Bestücken")*$C$5+SUMIFS(Kit_BOM!$F$2:$F$204,Kit_BOM!$E$2:$E$204,$A39,Kit_BOM!$A$2:$A$204,$A$5,Kit_BOM!$G$2:$G$204,"Mechanical")*$C$5+IF($F$5="Ja",SUMIFS(Kit_BOM!$F$2:$F$204,Kit_BOM!$E$2:$E$204,$A39,Kit_BOM!$A$2:$A$204,$A$5,Kit_BOM!$G$2:$G$204,"Optional")*$C$5,0)+IF($F$6="Ja",SUMIFS(Kit_BOM!$F$2:$F$204,Kit_BOM!$E$2:$E$204,$A39,Kit_BOM!$A$2:$A$204,$A$5,Kit_BOM!$G$2:$G$204,"DNP")*$C$5,0)+SUMIFS(Kit_BOM!$F$2:$F$204,Kit_BOM!$E$2:$E$204,$A39,Kit_BOM!$A$2:$A$204,$A$6,Kit_BOM!$G$2:$G$204,"Bestücken")*$C$6+SUMIFS(Kit_BOM!$F$2:$F$204,Kit_BOM!$E$2:$E$204,$A39,Kit_BOM!$A$2:$A$204,$A$6,Kit_BOM!$G$2:$G$204,"Mechanical")*$C$6+IF($F$5="Ja",SUMIFS(Kit_BOM!$F$2:$F$204,Kit_BOM!$E$2:$E$204,$A39,Kit_BOM!$A$2:$A$204,$A$6,Kit_BOM!$G$2:$G$204,"Optional")*$C$6,0)+IF($F$6="Ja",SUMIFS(Kit_BOM!$F$2:$F$204,Kit_BOM!$E$2:$E$204,$A39,Kit_BOM!$A$2:$A$204,$A$6,Kit_BOM!$G$2:$G$204,"DNP")*$C$6,0)+SUMIFS(Kit_BOM!$F$2:$F$204,Kit_BOM!$E$2:$E$204,$A39,Kit_BOM!$A$2:$A$204,$A$7,Kit_BOM!$G$2:$G$204,"Bestücken")*$C$7+SUMIFS(Kit_BOM!$F$2:$F$204,Kit_BOM!$E$2:$E$204,$A39,Kit_BOM!$A$2:$A$204,$A$7,Kit_BOM!$G$2:$G$204,"Mechanical")*$C$7+IF($F$5="Ja",SUMIFS(Kit_BOM!$F$2:$F$204,Kit_BOM!$E$2:$E$204,$A39,Kit_BOM!$A$2:$A$204,$A$7,Kit_BOM!$G$2:$G$204,"Optional")*$C$7,0)+IF($F$6="Ja",SUMIFS(Kit_BOM!$F$2:$F$204,Kit_BOM!$E$2:$E$204,$A39,Kit_BOM!$A$2:$A$204,$A$7,Kit_BOM!$G$2:$G$204,"DNP")*$C$7,0)+SUMIFS(Kit_BOM!$F$2:$F$204,Kit_BOM!$E$2:$E$204,$A39,Kit_BOM!$A$2:$A$204,$A$8,Kit_BOM!$G$2:$G$204,"Bestücken")*$C$8+SUMIFS(Kit_BOM!$F$2:$F$204,Kit_BOM!$E$2:$E$204,$A39,Kit_BOM!$A$2:$A$204,$A$8,Kit_BOM!$G$2:$G$204,"Mechanical")*$C$8+IF($F$5="Ja",SUMIFS(Kit_BOM!$F$2:$F$204,Kit_BOM!$E$2:$E$204,$A39,Kit_BOM!$A$2:$A$204,$A$8,Kit_BOM!$G$2:$G$204,"Optional")*$C$8,0)+IF($F$6="Ja",SUMIFS(Kit_BOM!$F$2:$F$204,Kit_BOM!$E$2:$E$204,$A39,Kit_BOM!$A$2:$A$204,$A$8,Kit_BOM!$G$2:$G$204,"DNP")*$C$8,0)</x:f>
        <x:v>0</x:v>
      </x:c>
      <x:c r="F39" s="31" t="str">
        <x:f>IFERROR(IF(INDEX(Part_Suppliers!$G$2:$G$300,MATCH($A39&amp;"|"&amp;$C39,Part_Suppliers!$K$2:$K$300,0))=0,"",INDEX(Part_Suppliers!$G$2:$G$300,MATCH($A39&amp;"|"&amp;$C39,Part_Suppliers!$K$2:$K$300,0))),"")</x:f>
      </x:c>
      <x:c r="G39" s="31">
        <x:f t="shared" si="0"/>
        <x:v>0</x:v>
      </x:c>
      <x:c r="H39" s="49" t="n">
        <x:f>SUMIFS(Part_Suppliers!$E$2:$E$300,Part_Suppliers!$A$2:$A$300,$A39,Part_Suppliers!$B$2:$B$300,$C39)</x:f>
        <x:v>0.14</x:v>
      </x:c>
      <x:c r="I39" s="49">
        <x:f t="shared" si="1"/>
        <x:v>0</x:v>
      </x:c>
      <x:c r="J39" t="str">
        <x:f t="shared" si="2"/>
        <x:v>Nicht benötigt</x:v>
      </x:c>
      <x:c r="K39" s="29" t="str">
        <x:f>IFERROR(IF(INDEX(Part_Suppliers!$D$2:$D$300,MATCH($A39&amp;"|"&amp;$C39,Part_Suppliers!$K$2:$K$300,0))=0,"",INDEX(Part_Suppliers!$D$2:$D$300,MATCH($A39&amp;"|"&amp;$C39,Part_Suppliers!$K$2:$K$300,0))),"")</x:f>
        <x:v>https://www.reichelt.de/de/de/shop/produkt/buchsenleiste_2_54mm_1x4_gerade-266671</x:v>
      </x:c>
      <x:c r="L39" s="31" t="n">
        <x:f>IFERROR(VLOOKUP($A39,Stock!$A$5:$K$200,10,FALSE()),0)</x:f>
        <x:v>0</x:v>
      </x:c>
      <x:c r="M39" s="31" t="n">
        <x:f>IFERROR(VLOOKUP($A39,Stock!$A$5:$K$200,11,FALSE()),0)</x:f>
        <x:v>0</x:v>
      </x:c>
      <x:c r="N39" s="31">
        <x:f t="shared" si="3"/>
        <x:v>0</x:v>
      </x:c>
      <x:c r="O39" s="31">
        <x:f t="shared" si="4"/>
        <x:v>0</x:v>
      </x:c>
      <x:c r="P39" s="50">
        <x:v>0</x:v>
      </x:c>
    </x:row>
    <x:row r="40" ht="14" customHeight="1">
      <x:c r="A40" s="29" t="s">
        <x:v>385</x:v>
      </x:c>
      <x:c r="B40" s="48" t="str">
        <x:f>IFERROR(VLOOKUP($A40,Parts!$A$2:$M$200,3,FALSE()),"")</x:f>
        <x:v>RainDetector PCB</x:v>
      </x:c>
      <x:c r="C40" s="29" t="str">
        <x:f>IFERROR(VLOOKUP($A40,Stock!$A$5:$I$200,8,FALSE()),"")</x:f>
        <x:v>JLCPCB</x:v>
      </x:c>
      <x:c r="D40" s="29" t="str">
        <x:f>IFERROR(VLOOKUP($A40,Stock!$A$5:$I$200,9,FALSE()),"")</x:f>
      </x:c>
      <x:c r="E40" s="31" t="n">
        <x:f>SUMIFS(Kit_BOM!$F$2:$F$204,Kit_BOM!$E$2:$E$204,$A40,Kit_BOM!$A$2:$A$204,$A$5,Kit_BOM!$G$2:$G$204,"Bestücken")*$C$5+SUMIFS(Kit_BOM!$F$2:$F$204,Kit_BOM!$E$2:$E$204,$A40,Kit_BOM!$A$2:$A$204,$A$5,Kit_BOM!$G$2:$G$204,"Mechanical")*$C$5+IF($F$5="Ja",SUMIFS(Kit_BOM!$F$2:$F$204,Kit_BOM!$E$2:$E$204,$A40,Kit_BOM!$A$2:$A$204,$A$5,Kit_BOM!$G$2:$G$204,"Optional")*$C$5,0)+IF($F$6="Ja",SUMIFS(Kit_BOM!$F$2:$F$204,Kit_BOM!$E$2:$E$204,$A40,Kit_BOM!$A$2:$A$204,$A$5,Kit_BOM!$G$2:$G$204,"DNP")*$C$5,0)+SUMIFS(Kit_BOM!$F$2:$F$204,Kit_BOM!$E$2:$E$204,$A40,Kit_BOM!$A$2:$A$204,$A$6,Kit_BOM!$G$2:$G$204,"Bestücken")*$C$6+SUMIFS(Kit_BOM!$F$2:$F$204,Kit_BOM!$E$2:$E$204,$A40,Kit_BOM!$A$2:$A$204,$A$6,Kit_BOM!$G$2:$G$204,"Mechanical")*$C$6+IF($F$5="Ja",SUMIFS(Kit_BOM!$F$2:$F$204,Kit_BOM!$E$2:$E$204,$A40,Kit_BOM!$A$2:$A$204,$A$6,Kit_BOM!$G$2:$G$204,"Optional")*$C$6,0)+IF($F$6="Ja",SUMIFS(Kit_BOM!$F$2:$F$204,Kit_BOM!$E$2:$E$204,$A40,Kit_BOM!$A$2:$A$204,$A$6,Kit_BOM!$G$2:$G$204,"DNP")*$C$6,0)+SUMIFS(Kit_BOM!$F$2:$F$204,Kit_BOM!$E$2:$E$204,$A40,Kit_BOM!$A$2:$A$204,$A$7,Kit_BOM!$G$2:$G$204,"Bestücken")*$C$7+SUMIFS(Kit_BOM!$F$2:$F$204,Kit_BOM!$E$2:$E$204,$A40,Kit_BOM!$A$2:$A$204,$A$7,Kit_BOM!$G$2:$G$204,"Mechanical")*$C$7+IF($F$5="Ja",SUMIFS(Kit_BOM!$F$2:$F$204,Kit_BOM!$E$2:$E$204,$A40,Kit_BOM!$A$2:$A$204,$A$7,Kit_BOM!$G$2:$G$204,"Optional")*$C$7,0)+IF($F$6="Ja",SUMIFS(Kit_BOM!$F$2:$F$204,Kit_BOM!$E$2:$E$204,$A40,Kit_BOM!$A$2:$A$204,$A$7,Kit_BOM!$G$2:$G$204,"DNP")*$C$7,0)+SUMIFS(Kit_BOM!$F$2:$F$204,Kit_BOM!$E$2:$E$204,$A40,Kit_BOM!$A$2:$A$204,$A$8,Kit_BOM!$G$2:$G$204,"Bestücken")*$C$8+SUMIFS(Kit_BOM!$F$2:$F$204,Kit_BOM!$E$2:$E$204,$A40,Kit_BOM!$A$2:$A$204,$A$8,Kit_BOM!$G$2:$G$204,"Mechanical")*$C$8+IF($F$5="Ja",SUMIFS(Kit_BOM!$F$2:$F$204,Kit_BOM!$E$2:$E$204,$A40,Kit_BOM!$A$2:$A$204,$A$8,Kit_BOM!$G$2:$G$204,"Optional")*$C$8,0)+IF($F$6="Ja",SUMIFS(Kit_BOM!$F$2:$F$204,Kit_BOM!$E$2:$E$204,$A40,Kit_BOM!$A$2:$A$204,$A$8,Kit_BOM!$G$2:$G$204,"DNP")*$C$8,0)</x:f>
        <x:v>0</x:v>
      </x:c>
      <x:c r="F40" s="31" t="n">
        <x:f>IFERROR(IF(INDEX(Part_Suppliers!$G$2:$G$300,MATCH($A40&amp;"|"&amp;$C40,Part_Suppliers!$K$2:$K$300,0))=0,"",INDEX(Part_Suppliers!$G$2:$G$300,MATCH($A40&amp;"|"&amp;$C40,Part_Suppliers!$K$2:$K$300,0))),"")</x:f>
        <x:v>5</x:v>
      </x:c>
      <x:c r="G40" s="31">
        <x:f t="shared" si="0"/>
        <x:v>0</x:v>
      </x:c>
      <x:c r="H40" s="49" t="n">
        <x:f>SUMIFS(Part_Suppliers!$E$2:$E$300,Part_Suppliers!$A$2:$A$300,$A40,Part_Suppliers!$B$2:$B$300,$C40)</x:f>
        <x:v>0</x:v>
      </x:c>
      <x:c r="I40" s="49">
        <x:f t="shared" si="1"/>
        <x:v>0</x:v>
      </x:c>
      <x:c r="J40" t="str">
        <x:f t="shared" si="2"/>
        <x:v>Nicht benötigt</x:v>
      </x:c>
      <x:c r="K40" s="29" t="str">
        <x:f>IFERROR(IF(INDEX(Part_Suppliers!$D$2:$D$300,MATCH($A40&amp;"|"&amp;$C40,Part_Suppliers!$K$2:$K$300,0))=0,"",INDEX(Part_Suppliers!$D$2:$D$300,MATCH($A40&amp;"|"&amp;$C40,Part_Suppliers!$K$2:$K$300,0))),"")</x:f>
        <x:v>https://jlcpcb.com/file/download?uuid=eef69d2d694441c8ab71168d8447cb4c&amp;businessType=example</x:v>
      </x:c>
      <x:c r="L40" s="31" t="n">
        <x:f>IFERROR(VLOOKUP($A40,Stock!$A$5:$K$200,10,FALSE()),0)</x:f>
        <x:v>5</x:v>
      </x:c>
      <x:c r="M40" s="31" t="n">
        <x:f>IFERROR(VLOOKUP($A40,Stock!$A$5:$K$200,11,FALSE()),0)</x:f>
        <x:v>0</x:v>
      </x:c>
      <x:c r="N40" s="31">
        <x:f t="shared" si="3"/>
        <x:v>5</x:v>
      </x:c>
      <x:c r="O40" s="31">
        <x:f t="shared" si="4"/>
        <x:v>0</x:v>
      </x:c>
      <x:c r="P40" s="50">
        <x:v>0</x:v>
      </x:c>
    </x:row>
    <x:row r="41" ht="14" customHeight="1">
      <x:c r="A41" s="29" t="s">
        <x:v>390</x:v>
      </x:c>
      <x:c r="B41" s="48" t="str">
        <x:f>IFERROR(VLOOKUP($A41,Parts!$A$2:$M$200,3,FALSE()),"")</x:f>
        <x:v>Buchsenleiste 2x7, 2,54 mm, vertikal</x:v>
      </x:c>
      <x:c r="C41" s="29" t="str">
        <x:f>IFERROR(VLOOKUP($A41,Stock!$A$5:$I$200,8,FALSE()),"")</x:f>
        <x:v>DigiKey</x:v>
      </x:c>
      <x:c r="D41" s="29" t="str">
        <x:f>IFERROR(VLOOKUP($A41,Stock!$A$5:$I$200,9,FALSE()),"")</x:f>
        <x:v>24AA025E64T-I/OTCT-ND</x:v>
      </x:c>
      <x:c r="E41" s="31" t="n">
        <x:f>SUMIFS(Kit_BOM!$F$2:$F$204,Kit_BOM!$E$2:$E$204,$A41,Kit_BOM!$A$2:$A$204,$A$5,Kit_BOM!$G$2:$G$204,"Bestücken")*$C$5+SUMIFS(Kit_BOM!$F$2:$F$204,Kit_BOM!$E$2:$E$204,$A41,Kit_BOM!$A$2:$A$204,$A$5,Kit_BOM!$G$2:$G$204,"Mechanical")*$C$5+IF($F$5="Ja",SUMIFS(Kit_BOM!$F$2:$F$204,Kit_BOM!$E$2:$E$204,$A41,Kit_BOM!$A$2:$A$204,$A$5,Kit_BOM!$G$2:$G$204,"Optional")*$C$5,0)+IF($F$6="Ja",SUMIFS(Kit_BOM!$F$2:$F$204,Kit_BOM!$E$2:$E$204,$A41,Kit_BOM!$A$2:$A$204,$A$5,Kit_BOM!$G$2:$G$204,"DNP")*$C$5,0)+SUMIFS(Kit_BOM!$F$2:$F$204,Kit_BOM!$E$2:$E$204,$A41,Kit_BOM!$A$2:$A$204,$A$6,Kit_BOM!$G$2:$G$204,"Bestücken")*$C$6+SUMIFS(Kit_BOM!$F$2:$F$204,Kit_BOM!$E$2:$E$204,$A41,Kit_BOM!$A$2:$A$204,$A$6,Kit_BOM!$G$2:$G$204,"Mechanical")*$C$6+IF($F$5="Ja",SUMIFS(Kit_BOM!$F$2:$F$204,Kit_BOM!$E$2:$E$204,$A41,Kit_BOM!$A$2:$A$204,$A$6,Kit_BOM!$G$2:$G$204,"Optional")*$C$6,0)+IF($F$6="Ja",SUMIFS(Kit_BOM!$F$2:$F$204,Kit_BOM!$E$2:$E$204,$A41,Kit_BOM!$A$2:$A$204,$A$6,Kit_BOM!$G$2:$G$204,"DNP")*$C$6,0)+SUMIFS(Kit_BOM!$F$2:$F$204,Kit_BOM!$E$2:$E$204,$A41,Kit_BOM!$A$2:$A$204,$A$7,Kit_BOM!$G$2:$G$204,"Bestücken")*$C$7+SUMIFS(Kit_BOM!$F$2:$F$204,Kit_BOM!$E$2:$E$204,$A41,Kit_BOM!$A$2:$A$204,$A$7,Kit_BOM!$G$2:$G$204,"Mechanical")*$C$7+IF($F$5="Ja",SUMIFS(Kit_BOM!$F$2:$F$204,Kit_BOM!$E$2:$E$204,$A41,Kit_BOM!$A$2:$A$204,$A$7,Kit_BOM!$G$2:$G$204,"Optional")*$C$7,0)+IF($F$6="Ja",SUMIFS(Kit_BOM!$F$2:$F$204,Kit_BOM!$E$2:$E$204,$A41,Kit_BOM!$A$2:$A$204,$A$7,Kit_BOM!$G$2:$G$204,"DNP")*$C$7,0)+SUMIFS(Kit_BOM!$F$2:$F$204,Kit_BOM!$E$2:$E$204,$A41,Kit_BOM!$A$2:$A$204,$A$8,Kit_BOM!$G$2:$G$204,"Bestücken")*$C$8+SUMIFS(Kit_BOM!$F$2:$F$204,Kit_BOM!$E$2:$E$204,$A41,Kit_BOM!$A$2:$A$204,$A$8,Kit_BOM!$G$2:$G$204,"Mechanical")*$C$8+IF($F$5="Ja",SUMIFS(Kit_BOM!$F$2:$F$204,Kit_BOM!$E$2:$E$204,$A41,Kit_BOM!$A$2:$A$204,$A$8,Kit_BOM!$G$2:$G$204,"Optional")*$C$8,0)+IF($F$6="Ja",SUMIFS(Kit_BOM!$F$2:$F$204,Kit_BOM!$E$2:$E$204,$A41,Kit_BOM!$A$2:$A$204,$A$8,Kit_BOM!$G$2:$G$204,"DNP")*$C$8,0)</x:f>
        <x:v>2</x:v>
      </x:c>
      <x:c r="F41" s="31" t="n">
        <x:f>IFERROR(IF(INDEX(Part_Suppliers!$G$2:$G$300,MATCH($A41&amp;"|"&amp;$C41,Part_Suppliers!$K$2:$K$300,0))=0,"",INDEX(Part_Suppliers!$G$2:$G$300,MATCH($A41&amp;"|"&amp;$C41,Part_Suppliers!$K$2:$K$300,0))),"")</x:f>
        <x:v>1</x:v>
      </x:c>
      <x:c r="G41" s="31">
        <x:f t="shared" si="0"/>
        <x:v>2</x:v>
      </x:c>
      <x:c r="H41" s="49" t="n">
        <x:f>SUMIFS(Part_Suppliers!$E$2:$E$300,Part_Suppliers!$A$2:$A$300,$A41,Part_Suppliers!$B$2:$B$300,$C41)</x:f>
        <x:v>0.56</x:v>
      </x:c>
      <x:c r="I41" s="49">
        <x:f t="shared" si="1"/>
        <x:v>1.1200000000000001</x:v>
      </x:c>
      <x:c r="J41" t="str">
        <x:f t="shared" si="2"/>
        <x:v>Anderer Lieferant</x:v>
      </x:c>
      <x:c r="K41" s="29" t="str">
        <x:f>IFERROR(IF(INDEX(Part_Suppliers!$D$2:$D$300,MATCH($A41&amp;"|"&amp;$C41,Part_Suppliers!$K$2:$K$300,0))=0,"",INDEX(Part_Suppliers!$D$2:$D$300,MATCH($A41&amp;"|"&amp;$C41,Part_Suppliers!$K$2:$K$300,0))),"")</x:f>
        <x:v>https://www.digikey.de/de/products/detail/microchip-technology/24AA025E64T-I-OT/3908633</x:v>
      </x:c>
      <x:c r="L41" s="31" t="n">
        <x:f>IFERROR(VLOOKUP($A41,Stock!$A$5:$K$200,10,FALSE()),0)</x:f>
        <x:v>0</x:v>
      </x:c>
      <x:c r="M41" s="31" t="n">
        <x:f>IFERROR(VLOOKUP($A41,Stock!$A$5:$K$200,11,FALSE()),0)</x:f>
        <x:v>0</x:v>
      </x:c>
      <x:c r="N41" s="31">
        <x:f t="shared" si="3"/>
        <x:v>-2</x:v>
      </x:c>
      <x:c r="O41" s="31">
        <x:f t="shared" si="4"/>
        <x:v>2</x:v>
      </x:c>
      <x:c r="P41" s="50">
        <x:v>0</x:v>
      </x:c>
    </x:row>
    <x:row r="42" ht="14" customHeight="1">
      <x:c r="A42" s="29" t="s">
        <x:v>401</x:v>
      </x:c>
      <x:c r="B42" s="48" t="str">
        <x:f>IFERROR(VLOOKUP($A42,Parts!$A$2:$M$200,3,FALSE()),"")</x:f>
        <x:v>Schottky-Diode SS14, SMA</x:v>
      </x:c>
      <x:c r="C42" s="29" t="str">
        <x:f>IFERROR(VLOOKUP($A42,Stock!$A$5:$I$200,8,FALSE()),"")</x:f>
        <x:v>Reichelt</x:v>
      </x:c>
      <x:c r="D42" s="29" t="str">
        <x:f>IFERROR(VLOOKUP($A42,Stock!$A$5:$I$200,9,FALSE()),"")</x:f>
        <x:v>BKL 10120946</x:v>
      </x:c>
      <x:c r="E42" s="31" t="n">
        <x:f>SUMIFS(Kit_BOM!$F$2:$F$204,Kit_BOM!$E$2:$E$204,$A42,Kit_BOM!$A$2:$A$204,$A$5,Kit_BOM!$G$2:$G$204,"Bestücken")*$C$5+SUMIFS(Kit_BOM!$F$2:$F$204,Kit_BOM!$E$2:$E$204,$A42,Kit_BOM!$A$2:$A$204,$A$5,Kit_BOM!$G$2:$G$204,"Mechanical")*$C$5+IF($F$5="Ja",SUMIFS(Kit_BOM!$F$2:$F$204,Kit_BOM!$E$2:$E$204,$A42,Kit_BOM!$A$2:$A$204,$A$5,Kit_BOM!$G$2:$G$204,"Optional")*$C$5,0)+IF($F$6="Ja",SUMIFS(Kit_BOM!$F$2:$F$204,Kit_BOM!$E$2:$E$204,$A42,Kit_BOM!$A$2:$A$204,$A$5,Kit_BOM!$G$2:$G$204,"DNP")*$C$5,0)+SUMIFS(Kit_BOM!$F$2:$F$204,Kit_BOM!$E$2:$E$204,$A42,Kit_BOM!$A$2:$A$204,$A$6,Kit_BOM!$G$2:$G$204,"Bestücken")*$C$6+SUMIFS(Kit_BOM!$F$2:$F$204,Kit_BOM!$E$2:$E$204,$A42,Kit_BOM!$A$2:$A$204,$A$6,Kit_BOM!$G$2:$G$204,"Mechanical")*$C$6+IF($F$5="Ja",SUMIFS(Kit_BOM!$F$2:$F$204,Kit_BOM!$E$2:$E$204,$A42,Kit_BOM!$A$2:$A$204,$A$6,Kit_BOM!$G$2:$G$204,"Optional")*$C$6,0)+IF($F$6="Ja",SUMIFS(Kit_BOM!$F$2:$F$204,Kit_BOM!$E$2:$E$204,$A42,Kit_BOM!$A$2:$A$204,$A$6,Kit_BOM!$G$2:$G$204,"DNP")*$C$6,0)+SUMIFS(Kit_BOM!$F$2:$F$204,Kit_BOM!$E$2:$E$204,$A42,Kit_BOM!$A$2:$A$204,$A$7,Kit_BOM!$G$2:$G$204,"Bestücken")*$C$7+SUMIFS(Kit_BOM!$F$2:$F$204,Kit_BOM!$E$2:$E$204,$A42,Kit_BOM!$A$2:$A$204,$A$7,Kit_BOM!$G$2:$G$204,"Mechanical")*$C$7+IF($F$5="Ja",SUMIFS(Kit_BOM!$F$2:$F$204,Kit_BOM!$E$2:$E$204,$A42,Kit_BOM!$A$2:$A$204,$A$7,Kit_BOM!$G$2:$G$204,"Optional")*$C$7,0)+IF($F$6="Ja",SUMIFS(Kit_BOM!$F$2:$F$204,Kit_BOM!$E$2:$E$204,$A42,Kit_BOM!$A$2:$A$204,$A$7,Kit_BOM!$G$2:$G$204,"DNP")*$C$7,0)+SUMIFS(Kit_BOM!$F$2:$F$204,Kit_BOM!$E$2:$E$204,$A42,Kit_BOM!$A$2:$A$204,$A$8,Kit_BOM!$G$2:$G$204,"Bestücken")*$C$8+SUMIFS(Kit_BOM!$F$2:$F$204,Kit_BOM!$E$2:$E$204,$A42,Kit_BOM!$A$2:$A$204,$A$8,Kit_BOM!$G$2:$G$204,"Mechanical")*$C$8+IF($F$5="Ja",SUMIFS(Kit_BOM!$F$2:$F$204,Kit_BOM!$E$2:$E$204,$A42,Kit_BOM!$A$2:$A$204,$A$8,Kit_BOM!$G$2:$G$204,"Optional")*$C$8,0)+IF($F$6="Ja",SUMIFS(Kit_BOM!$F$2:$F$204,Kit_BOM!$E$2:$E$204,$A42,Kit_BOM!$A$2:$A$204,$A$8,Kit_BOM!$G$2:$G$204,"DNP")*$C$8,0)</x:f>
        <x:v>2</x:v>
      </x:c>
      <x:c r="F42" s="31" t="str">
        <x:f>IFERROR(IF(INDEX(Part_Suppliers!$G$2:$G$300,MATCH($A42&amp;"|"&amp;$C42,Part_Suppliers!$K$2:$K$300,0))=0,"",INDEX(Part_Suppliers!$G$2:$G$300,MATCH($A42&amp;"|"&amp;$C42,Part_Suppliers!$K$2:$K$300,0))),"")</x:f>
      </x:c>
      <x:c r="G42" s="31">
        <x:f t="shared" si="0"/>
        <x:v>2</x:v>
      </x:c>
      <x:c r="H42" s="49" t="n">
        <x:f>SUMIFS(Part_Suppliers!$E$2:$E$300,Part_Suppliers!$A$2:$A$300,$A42,Part_Suppliers!$B$2:$B$300,$C42)</x:f>
        <x:v>0.18</x:v>
      </x:c>
      <x:c r="I42" s="49">
        <x:f t="shared" si="1"/>
        <x:v>0.36</x:v>
      </x:c>
      <x:c r="J42" t="str">
        <x:f t="shared" si="2"/>
        <x:v>Reichelt bereit</x:v>
      </x:c>
      <x:c r="K42" s="29" t="str">
        <x:f>IFERROR(IF(INDEX(Part_Suppliers!$D$2:$D$300,MATCH($A42&amp;"|"&amp;$C42,Part_Suppliers!$K$2:$K$300,0))=0,"",INDEX(Part_Suppliers!$D$2:$D$300,MATCH($A42&amp;"|"&amp;$C42,Part_Suppliers!$K$2:$K$300,0))),"")</x:f>
        <x:v>https://www.reichelt.de/de/de/shop/produkt/buchsenleiste_2_54mm_1x4_gerade-266671</x:v>
      </x:c>
      <x:c r="L42" s="31" t="n">
        <x:f>IFERROR(VLOOKUP($A42,Stock!$A$5:$K$200,10,FALSE()),0)</x:f>
        <x:v>0</x:v>
      </x:c>
      <x:c r="M42" s="31" t="n">
        <x:f>IFERROR(VLOOKUP($A42,Stock!$A$5:$K$200,11,FALSE()),0)</x:f>
        <x:v>0</x:v>
      </x:c>
      <x:c r="N42" s="31">
        <x:f t="shared" si="3"/>
        <x:v>-2</x:v>
      </x:c>
      <x:c r="O42" s="31">
        <x:f t="shared" si="4"/>
        <x:v>2</x:v>
      </x:c>
      <x:c r="P42" s="50">
        <x:v>0</x:v>
      </x:c>
    </x:row>
    <x:row r="43" ht="14" customHeight="1">
      <x:c r="A43" s="29" t="s">
        <x:v>408</x:v>
      </x:c>
      <x:c r="B43" s="48" t="str">
        <x:f>IFERROR(VLOOKUP($A43,Parts!$A$2:$M$200,3,FALSE()),"")</x:f>
        <x:v>Elektrolytkondensator 10 µF SMD</x:v>
      </x:c>
      <x:c r="C43" s="29" t="str">
        <x:f>IFERROR(VLOOKUP($A43,Stock!$A$5:$I$200,8,FALSE()),"")</x:f>
        <x:v>Reichelt</x:v>
      </x:c>
      <x:c r="D43" s="29" t="str">
        <x:f>IFERROR(VLOOKUP($A43,Stock!$A$5:$I$200,9,FALSE()),"")</x:f>
        <x:v>BKL 10120946</x:v>
      </x:c>
      <x:c r="E43" s="31" t="n">
        <x:f>SUMIFS(Kit_BOM!$F$2:$F$204,Kit_BOM!$E$2:$E$204,$A43,Kit_BOM!$A$2:$A$204,$A$5,Kit_BOM!$G$2:$G$204,"Bestücken")*$C$5+SUMIFS(Kit_BOM!$F$2:$F$204,Kit_BOM!$E$2:$E$204,$A43,Kit_BOM!$A$2:$A$204,$A$5,Kit_BOM!$G$2:$G$204,"Mechanical")*$C$5+IF($F$5="Ja",SUMIFS(Kit_BOM!$F$2:$F$204,Kit_BOM!$E$2:$E$204,$A43,Kit_BOM!$A$2:$A$204,$A$5,Kit_BOM!$G$2:$G$204,"Optional")*$C$5,0)+IF($F$6="Ja",SUMIFS(Kit_BOM!$F$2:$F$204,Kit_BOM!$E$2:$E$204,$A43,Kit_BOM!$A$2:$A$204,$A$5,Kit_BOM!$G$2:$G$204,"DNP")*$C$5,0)+SUMIFS(Kit_BOM!$F$2:$F$204,Kit_BOM!$E$2:$E$204,$A43,Kit_BOM!$A$2:$A$204,$A$6,Kit_BOM!$G$2:$G$204,"Bestücken")*$C$6+SUMIFS(Kit_BOM!$F$2:$F$204,Kit_BOM!$E$2:$E$204,$A43,Kit_BOM!$A$2:$A$204,$A$6,Kit_BOM!$G$2:$G$204,"Mechanical")*$C$6+IF($F$5="Ja",SUMIFS(Kit_BOM!$F$2:$F$204,Kit_BOM!$E$2:$E$204,$A43,Kit_BOM!$A$2:$A$204,$A$6,Kit_BOM!$G$2:$G$204,"Optional")*$C$6,0)+IF($F$6="Ja",SUMIFS(Kit_BOM!$F$2:$F$204,Kit_BOM!$E$2:$E$204,$A43,Kit_BOM!$A$2:$A$204,$A$6,Kit_BOM!$G$2:$G$204,"DNP")*$C$6,0)+SUMIFS(Kit_BOM!$F$2:$F$204,Kit_BOM!$E$2:$E$204,$A43,Kit_BOM!$A$2:$A$204,$A$7,Kit_BOM!$G$2:$G$204,"Bestücken")*$C$7+SUMIFS(Kit_BOM!$F$2:$F$204,Kit_BOM!$E$2:$E$204,$A43,Kit_BOM!$A$2:$A$204,$A$7,Kit_BOM!$G$2:$G$204,"Mechanical")*$C$7+IF($F$5="Ja",SUMIFS(Kit_BOM!$F$2:$F$204,Kit_BOM!$E$2:$E$204,$A43,Kit_BOM!$A$2:$A$204,$A$7,Kit_BOM!$G$2:$G$204,"Optional")*$C$7,0)+IF($F$6="Ja",SUMIFS(Kit_BOM!$F$2:$F$204,Kit_BOM!$E$2:$E$204,$A43,Kit_BOM!$A$2:$A$204,$A$7,Kit_BOM!$G$2:$G$204,"DNP")*$C$7,0)+SUMIFS(Kit_BOM!$F$2:$F$204,Kit_BOM!$E$2:$E$204,$A43,Kit_BOM!$A$2:$A$204,$A$8,Kit_BOM!$G$2:$G$204,"Bestücken")*$C$8+SUMIFS(Kit_BOM!$F$2:$F$204,Kit_BOM!$E$2:$E$204,$A43,Kit_BOM!$A$2:$A$204,$A$8,Kit_BOM!$G$2:$G$204,"Mechanical")*$C$8+IF($F$5="Ja",SUMIFS(Kit_BOM!$F$2:$F$204,Kit_BOM!$E$2:$E$204,$A43,Kit_BOM!$A$2:$A$204,$A$8,Kit_BOM!$G$2:$G$204,"Optional")*$C$8,0)+IF($F$6="Ja",SUMIFS(Kit_BOM!$F$2:$F$204,Kit_BOM!$E$2:$E$204,$A43,Kit_BOM!$A$2:$A$204,$A$8,Kit_BOM!$G$2:$G$204,"DNP")*$C$8,0)</x:f>
        <x:v>1</x:v>
      </x:c>
      <x:c r="F43" s="31" t="str">
        <x:f>IFERROR(IF(INDEX(Part_Suppliers!$G$2:$G$300,MATCH($A43&amp;"|"&amp;$C43,Part_Suppliers!$K$2:$K$300,0))=0,"",INDEX(Part_Suppliers!$G$2:$G$300,MATCH($A43&amp;"|"&amp;$C43,Part_Suppliers!$K$2:$K$300,0))),"")</x:f>
      </x:c>
      <x:c r="G43" s="31">
        <x:f t="shared" si="0"/>
        <x:v>1</x:v>
      </x:c>
      <x:c r="H43" s="49" t="n">
        <x:f>SUMIFS(Part_Suppliers!$E$2:$E$300,Part_Suppliers!$A$2:$A$300,$A43,Part_Suppliers!$B$2:$B$300,$C43)</x:f>
        <x:v>0.18</x:v>
      </x:c>
      <x:c r="I43" s="49">
        <x:f t="shared" si="1"/>
        <x:v>0.18</x:v>
      </x:c>
      <x:c r="J43" t="str">
        <x:f t="shared" si="2"/>
        <x:v>Reichelt bereit</x:v>
      </x:c>
      <x:c r="K43" s="29" t="str">
        <x:f>IFERROR(IF(INDEX(Part_Suppliers!$D$2:$D$300,MATCH($A43&amp;"|"&amp;$C43,Part_Suppliers!$K$2:$K$300,0))=0,"",INDEX(Part_Suppliers!$D$2:$D$300,MATCH($A43&amp;"|"&amp;$C43,Part_Suppliers!$K$2:$K$300,0))),"")</x:f>
        <x:v>https://www.reichelt.de/de/de/shop/produkt/buchsenleiste_2_54mm_1x4_gerade-266671</x:v>
      </x:c>
      <x:c r="L43" s="31" t="n">
        <x:f>IFERROR(VLOOKUP($A43,Stock!$A$5:$K$200,10,FALSE()),0)</x:f>
        <x:v>0</x:v>
      </x:c>
      <x:c r="M43" s="31" t="n">
        <x:f>IFERROR(VLOOKUP($A43,Stock!$A$5:$K$200,11,FALSE()),0)</x:f>
        <x:v>0</x:v>
      </x:c>
      <x:c r="N43" s="31">
        <x:f t="shared" si="3"/>
        <x:v>-1</x:v>
      </x:c>
      <x:c r="O43" s="31">
        <x:f t="shared" si="4"/>
        <x:v>1</x:v>
      </x:c>
      <x:c r="P43" s="50">
        <x:v>0</x:v>
      </x:c>
    </x:row>
    <x:row r="44" ht="14" customHeight="1">
      <x:c r="A44" s="29" t="s">
        <x:v>416</x:v>
      </x:c>
      <x:c r="B44" s="48" t="str">
        <x:f>IFERROR(VLOOKUP($A44,Parts!$A$2:$M$200,3,FALSE()),"")</x:f>
        <x:v>EnvNode Mini PCB Rev 0.2</x:v>
      </x:c>
      <x:c r="C44" s="29" t="str">
        <x:f>IFERROR(VLOOKUP($A44,Stock!$A$5:$I$200,8,FALSE()),"")</x:f>
        <x:v>JLCPCB</x:v>
      </x:c>
      <x:c r="D44" s="29" t="str">
        <x:f>IFERROR(VLOOKUP($A44,Stock!$A$5:$I$200,9,FALSE()),"")</x:f>
      </x:c>
      <x:c r="E44" s="31" t="n">
        <x:f>SUMIFS(Kit_BOM!$F$2:$F$204,Kit_BOM!$E$2:$E$204,$A44,Kit_BOM!$A$2:$A$204,$A$5,Kit_BOM!$G$2:$G$204,"Bestücken")*$C$5+SUMIFS(Kit_BOM!$F$2:$F$204,Kit_BOM!$E$2:$E$204,$A44,Kit_BOM!$A$2:$A$204,$A$5,Kit_BOM!$G$2:$G$204,"Mechanical")*$C$5+IF($F$5="Ja",SUMIFS(Kit_BOM!$F$2:$F$204,Kit_BOM!$E$2:$E$204,$A44,Kit_BOM!$A$2:$A$204,$A$5,Kit_BOM!$G$2:$G$204,"Optional")*$C$5,0)+IF($F$6="Ja",SUMIFS(Kit_BOM!$F$2:$F$204,Kit_BOM!$E$2:$E$204,$A44,Kit_BOM!$A$2:$A$204,$A$5,Kit_BOM!$G$2:$G$204,"DNP")*$C$5,0)+SUMIFS(Kit_BOM!$F$2:$F$204,Kit_BOM!$E$2:$E$204,$A44,Kit_BOM!$A$2:$A$204,$A$6,Kit_BOM!$G$2:$G$204,"Bestücken")*$C$6+SUMIFS(Kit_BOM!$F$2:$F$204,Kit_BOM!$E$2:$E$204,$A44,Kit_BOM!$A$2:$A$204,$A$6,Kit_BOM!$G$2:$G$204,"Mechanical")*$C$6+IF($F$5="Ja",SUMIFS(Kit_BOM!$F$2:$F$204,Kit_BOM!$E$2:$E$204,$A44,Kit_BOM!$A$2:$A$204,$A$6,Kit_BOM!$G$2:$G$204,"Optional")*$C$6,0)+IF($F$6="Ja",SUMIFS(Kit_BOM!$F$2:$F$204,Kit_BOM!$E$2:$E$204,$A44,Kit_BOM!$A$2:$A$204,$A$6,Kit_BOM!$G$2:$G$204,"DNP")*$C$6,0)+SUMIFS(Kit_BOM!$F$2:$F$204,Kit_BOM!$E$2:$E$204,$A44,Kit_BOM!$A$2:$A$204,$A$7,Kit_BOM!$G$2:$G$204,"Bestücken")*$C$7+SUMIFS(Kit_BOM!$F$2:$F$204,Kit_BOM!$E$2:$E$204,$A44,Kit_BOM!$A$2:$A$204,$A$7,Kit_BOM!$G$2:$G$204,"Mechanical")*$C$7+IF($F$5="Ja",SUMIFS(Kit_BOM!$F$2:$F$204,Kit_BOM!$E$2:$E$204,$A44,Kit_BOM!$A$2:$A$204,$A$7,Kit_BOM!$G$2:$G$204,"Optional")*$C$7,0)+IF($F$6="Ja",SUMIFS(Kit_BOM!$F$2:$F$204,Kit_BOM!$E$2:$E$204,$A44,Kit_BOM!$A$2:$A$204,$A$7,Kit_BOM!$G$2:$G$204,"DNP")*$C$7,0)+SUMIFS(Kit_BOM!$F$2:$F$204,Kit_BOM!$E$2:$E$204,$A44,Kit_BOM!$A$2:$A$204,$A$8,Kit_BOM!$G$2:$G$204,"Bestücken")*$C$8+SUMIFS(Kit_BOM!$F$2:$F$204,Kit_BOM!$E$2:$E$204,$A44,Kit_BOM!$A$2:$A$204,$A$8,Kit_BOM!$G$2:$G$204,"Mechanical")*$C$8+IF($F$5="Ja",SUMIFS(Kit_BOM!$F$2:$F$204,Kit_BOM!$E$2:$E$204,$A44,Kit_BOM!$A$2:$A$204,$A$8,Kit_BOM!$G$2:$G$204,"Optional")*$C$8,0)+IF($F$6="Ja",SUMIFS(Kit_BOM!$F$2:$F$204,Kit_BOM!$E$2:$E$204,$A44,Kit_BOM!$A$2:$A$204,$A$8,Kit_BOM!$G$2:$G$204,"DNP")*$C$8,0)</x:f>
        <x:v>1</x:v>
      </x:c>
      <x:c r="F44" s="31" t="n">
        <x:f>IFERROR(IF(INDEX(Part_Suppliers!$G$2:$G$300,MATCH($A44&amp;"|"&amp;$C44,Part_Suppliers!$K$2:$K$300,0))=0,"",INDEX(Part_Suppliers!$G$2:$G$300,MATCH($A44&amp;"|"&amp;$C44,Part_Suppliers!$K$2:$K$300,0))),"")</x:f>
        <x:v>5</x:v>
      </x:c>
      <x:c r="G44" s="31">
        <x:f t="shared" si="0"/>
        <x:v>5</x:v>
      </x:c>
      <x:c r="H44" s="49" t="n">
        <x:f>SUMIFS(Part_Suppliers!$E$2:$E$300,Part_Suppliers!$A$2:$A$300,$A44,Part_Suppliers!$B$2:$B$300,$C44)</x:f>
        <x:v>0</x:v>
      </x:c>
      <x:c r="I44" s="49">
        <x:f t="shared" si="1"/>
        <x:v>0</x:v>
      </x:c>
      <x:c r="J44" t="str">
        <x:f t="shared" si="2"/>
        <x:v>Anderer Lieferant</x:v>
      </x:c>
      <x:c r="K44" s="29" t="str">
        <x:f>IFERROR(IF(INDEX(Part_Suppliers!$D$2:$D$300,MATCH($A44&amp;"|"&amp;$C44,Part_Suppliers!$K$2:$K$300,0))=0,"",INDEX(Part_Suppliers!$D$2:$D$300,MATCH($A44&amp;"|"&amp;$C44,Part_Suppliers!$K$2:$K$300,0))),"")</x:f>
        <x:v>https://jlcpcb.com/file/download?uuid=eef69d2d694441c8ab71168d8447cb4c&amp;businessType=example</x:v>
      </x:c>
      <x:c r="L44" s="31" t="n">
        <x:f>IFERROR(VLOOKUP($A44,Stock!$A$5:$K$200,10,FALSE()),0)</x:f>
        <x:v>0</x:v>
      </x:c>
      <x:c r="M44" s="31" t="n">
        <x:f>IFERROR(VLOOKUP($A44,Stock!$A$5:$K$200,11,FALSE()),0)</x:f>
        <x:v>0</x:v>
      </x:c>
      <x:c r="N44" s="31">
        <x:f t="shared" si="3"/>
        <x:v>-1</x:v>
      </x:c>
      <x:c r="O44" s="31">
        <x:f t="shared" si="4"/>
        <x:v>5</x:v>
      </x:c>
      <x:c r="P44" s="50">
        <x:v>0</x:v>
      </x:c>
    </x:row>
    <x:row r="45" ht="26.25" customHeight="1">
      <x:c r="A45" s="29" t="s">
        <x:v>429</x:v>
      </x:c>
      <x:c r="B45" s="48" t="str">
        <x:f>IFERROR(VLOOKUP($A45,Parts!$A$2:$M$200,3,FALSE()),"")</x:f>
        <x:v>Stiftleiste 2x7, 2,54 mm, vertikal, Bottom-Mount</x:v>
      </x:c>
      <x:c r="C45" s="29" t="str">
        <x:f>IFERROR(VLOOKUP($A45,Stock!$A$5:$I$200,8,FALSE()),"")</x:f>
        <x:v>Reichelt</x:v>
      </x:c>
      <x:c r="D45" s="29" t="str">
        <x:f>IFERROR(VLOOKUP($A45,Stock!$A$5:$I$200,9,FALSE()),"")</x:f>
        <x:v>BKL 10120946</x:v>
      </x:c>
      <x:c r="E45" s="31" t="n">
        <x:f>SUMIFS(Kit_BOM!$F$2:$F$204,Kit_BOM!$E$2:$E$204,$A45,Kit_BOM!$A$2:$A$204,$A$5,Kit_BOM!$G$2:$G$204,"Bestücken")*$C$5+SUMIFS(Kit_BOM!$F$2:$F$204,Kit_BOM!$E$2:$E$204,$A45,Kit_BOM!$A$2:$A$204,$A$5,Kit_BOM!$G$2:$G$204,"Mechanical")*$C$5+IF($F$5="Ja",SUMIFS(Kit_BOM!$F$2:$F$204,Kit_BOM!$E$2:$E$204,$A45,Kit_BOM!$A$2:$A$204,$A$5,Kit_BOM!$G$2:$G$204,"Optional")*$C$5,0)+IF($F$6="Ja",SUMIFS(Kit_BOM!$F$2:$F$204,Kit_BOM!$E$2:$E$204,$A45,Kit_BOM!$A$2:$A$204,$A$5,Kit_BOM!$G$2:$G$204,"DNP")*$C$5,0)+SUMIFS(Kit_BOM!$F$2:$F$204,Kit_BOM!$E$2:$E$204,$A45,Kit_BOM!$A$2:$A$204,$A$6,Kit_BOM!$G$2:$G$204,"Bestücken")*$C$6+SUMIFS(Kit_BOM!$F$2:$F$204,Kit_BOM!$E$2:$E$204,$A45,Kit_BOM!$A$2:$A$204,$A$6,Kit_BOM!$G$2:$G$204,"Mechanical")*$C$6+IF($F$5="Ja",SUMIFS(Kit_BOM!$F$2:$F$204,Kit_BOM!$E$2:$E$204,$A45,Kit_BOM!$A$2:$A$204,$A$6,Kit_BOM!$G$2:$G$204,"Optional")*$C$6,0)+IF($F$6="Ja",SUMIFS(Kit_BOM!$F$2:$F$204,Kit_BOM!$E$2:$E$204,$A45,Kit_BOM!$A$2:$A$204,$A$6,Kit_BOM!$G$2:$G$204,"DNP")*$C$6,0)+SUMIFS(Kit_BOM!$F$2:$F$204,Kit_BOM!$E$2:$E$204,$A45,Kit_BOM!$A$2:$A$204,$A$7,Kit_BOM!$G$2:$G$204,"Bestücken")*$C$7+SUMIFS(Kit_BOM!$F$2:$F$204,Kit_BOM!$E$2:$E$204,$A45,Kit_BOM!$A$2:$A$204,$A$7,Kit_BOM!$G$2:$G$204,"Mechanical")*$C$7+IF($F$5="Ja",SUMIFS(Kit_BOM!$F$2:$F$204,Kit_BOM!$E$2:$E$204,$A45,Kit_BOM!$A$2:$A$204,$A$7,Kit_BOM!$G$2:$G$204,"Optional")*$C$7,0)+IF($F$6="Ja",SUMIFS(Kit_BOM!$F$2:$F$204,Kit_BOM!$E$2:$E$204,$A45,Kit_BOM!$A$2:$A$204,$A$7,Kit_BOM!$G$2:$G$204,"DNP")*$C$7,0)+SUMIFS(Kit_BOM!$F$2:$F$204,Kit_BOM!$E$2:$E$204,$A45,Kit_BOM!$A$2:$A$204,$A$8,Kit_BOM!$G$2:$G$204,"Bestücken")*$C$8+SUMIFS(Kit_BOM!$F$2:$F$204,Kit_BOM!$E$2:$E$204,$A45,Kit_BOM!$A$2:$A$204,$A$8,Kit_BOM!$G$2:$G$204,"Mechanical")*$C$8+IF($F$5="Ja",SUMIFS(Kit_BOM!$F$2:$F$204,Kit_BOM!$E$2:$E$204,$A45,Kit_BOM!$A$2:$A$204,$A$8,Kit_BOM!$G$2:$G$204,"Optional")*$C$8,0)+IF($F$6="Ja",SUMIFS(Kit_BOM!$F$2:$F$204,Kit_BOM!$E$2:$E$204,$A45,Kit_BOM!$A$2:$A$204,$A$8,Kit_BOM!$G$2:$G$204,"DNP")*$C$8,0)</x:f>
        <x:v>0</x:v>
      </x:c>
      <x:c r="F45" s="31" t="str">
        <x:f>IFERROR(IF(INDEX(Part_Suppliers!$G$2:$G$300,MATCH($A45&amp;"|"&amp;$C45,Part_Suppliers!$K$2:$K$300,0))=0,"",INDEX(Part_Suppliers!$G$2:$G$300,MATCH($A45&amp;"|"&amp;$C45,Part_Suppliers!$K$2:$K$300,0))),"")</x:f>
      </x:c>
      <x:c r="G45" s="31">
        <x:f t="shared" si="0"/>
        <x:v>0</x:v>
      </x:c>
      <x:c r="H45" s="49" t="n">
        <x:f>SUMIFS(Part_Suppliers!$E$2:$E$300,Part_Suppliers!$A$2:$A$300,$A45,Part_Suppliers!$B$2:$B$300,$C45)</x:f>
        <x:v>0.3</x:v>
      </x:c>
      <x:c r="I45" s="49">
        <x:f t="shared" si="1"/>
        <x:v>0</x:v>
      </x:c>
      <x:c r="J45" t="str">
        <x:f t="shared" si="2"/>
        <x:v>Nicht benötigt</x:v>
      </x:c>
      <x:c r="K45" s="29" t="str">
        <x:f>IFERROR(IF(INDEX(Part_Suppliers!$D$2:$D$300,MATCH($A45&amp;"|"&amp;$C45,Part_Suppliers!$K$2:$K$300,0))=0,"",INDEX(Part_Suppliers!$D$2:$D$300,MATCH($A45&amp;"|"&amp;$C45,Part_Suppliers!$K$2:$K$300,0))),"")</x:f>
        <x:v>https://www.reichelt.de/de/de/shop/produkt/buchsenleiste_2_54mm_1x4_gerade-266671</x:v>
      </x:c>
      <x:c r="L45" s="31" t="n">
        <x:f>IFERROR(VLOOKUP($A45,Stock!$A$5:$K$200,10,FALSE()),0)</x:f>
        <x:v>0</x:v>
      </x:c>
      <x:c r="M45" s="31" t="n">
        <x:f>IFERROR(VLOOKUP($A45,Stock!$A$5:$K$200,11,FALSE()),0)</x:f>
        <x:v>0</x:v>
      </x:c>
      <x:c r="N45" s="31">
        <x:f t="shared" si="3"/>
        <x:v>0</x:v>
      </x:c>
      <x:c r="O45" s="31">
        <x:f t="shared" si="4"/>
        <x:v>0</x:v>
      </x:c>
      <x:c r="P45" s="50">
        <x:v>0</x:v>
      </x:c>
    </x:row>
    <x:row r="46" ht="14" customHeight="1">
      <x:c r="A46" s="29" t="s">
        <x:v>462</x:v>
      </x:c>
      <x:c r="B46" s="48" t="str">
        <x:f>IFERROR(VLOOKUP($A46,Parts!$A$2:$M$200,3,FALSE()),"")</x:f>
        <x:v>LED SMD 1206, rot</x:v>
      </x:c>
      <x:c r="C46" s="29" t="str">
        <x:f>IFERROR(VLOOKUP($A46,Stock!$A$5:$I$200,8,FALSE()),"")</x:f>
        <x:v>Reichelt</x:v>
      </x:c>
      <x:c r="D46" s="29" t="str">
        <x:f>IFERROR(VLOOKUP($A46,Stock!$A$5:$I$200,9,FALSE()),"")</x:f>
        <x:v>BKL 10120946</x:v>
      </x:c>
      <x:c r="E46" s="31" t="n">
        <x:f>SUMIFS(Kit_BOM!$F$2:$F$204,Kit_BOM!$E$2:$E$204,$A46,Kit_BOM!$A$2:$A$204,$A$5,Kit_BOM!$G$2:$G$204,"Bestücken")*$C$5+SUMIFS(Kit_BOM!$F$2:$F$204,Kit_BOM!$E$2:$E$204,$A46,Kit_BOM!$A$2:$A$204,$A$5,Kit_BOM!$G$2:$G$204,"Mechanical")*$C$5+IF($F$5="Ja",SUMIFS(Kit_BOM!$F$2:$F$204,Kit_BOM!$E$2:$E$204,$A46,Kit_BOM!$A$2:$A$204,$A$5,Kit_BOM!$G$2:$G$204,"Optional")*$C$5,0)+IF($F$6="Ja",SUMIFS(Kit_BOM!$F$2:$F$204,Kit_BOM!$E$2:$E$204,$A46,Kit_BOM!$A$2:$A$204,$A$5,Kit_BOM!$G$2:$G$204,"DNP")*$C$5,0)+SUMIFS(Kit_BOM!$F$2:$F$204,Kit_BOM!$E$2:$E$204,$A46,Kit_BOM!$A$2:$A$204,$A$6,Kit_BOM!$G$2:$G$204,"Bestücken")*$C$6+SUMIFS(Kit_BOM!$F$2:$F$204,Kit_BOM!$E$2:$E$204,$A46,Kit_BOM!$A$2:$A$204,$A$6,Kit_BOM!$G$2:$G$204,"Mechanical")*$C$6+IF($F$5="Ja",SUMIFS(Kit_BOM!$F$2:$F$204,Kit_BOM!$E$2:$E$204,$A46,Kit_BOM!$A$2:$A$204,$A$6,Kit_BOM!$G$2:$G$204,"Optional")*$C$6,0)+IF($F$6="Ja",SUMIFS(Kit_BOM!$F$2:$F$204,Kit_BOM!$E$2:$E$204,$A46,Kit_BOM!$A$2:$A$204,$A$6,Kit_BOM!$G$2:$G$204,"DNP")*$C$6,0)+SUMIFS(Kit_BOM!$F$2:$F$204,Kit_BOM!$E$2:$E$204,$A46,Kit_BOM!$A$2:$A$204,$A$7,Kit_BOM!$G$2:$G$204,"Bestücken")*$C$7+SUMIFS(Kit_BOM!$F$2:$F$204,Kit_BOM!$E$2:$E$204,$A46,Kit_BOM!$A$2:$A$204,$A$7,Kit_BOM!$G$2:$G$204,"Mechanical")*$C$7+IF($F$5="Ja",SUMIFS(Kit_BOM!$F$2:$F$204,Kit_BOM!$E$2:$E$204,$A46,Kit_BOM!$A$2:$A$204,$A$7,Kit_BOM!$G$2:$G$204,"Optional")*$C$7,0)+IF($F$6="Ja",SUMIFS(Kit_BOM!$F$2:$F$204,Kit_BOM!$E$2:$E$204,$A46,Kit_BOM!$A$2:$A$204,$A$7,Kit_BOM!$G$2:$G$204,"DNP")*$C$7,0)+SUMIFS(Kit_BOM!$F$2:$F$204,Kit_BOM!$E$2:$E$204,$A46,Kit_BOM!$A$2:$A$204,$A$8,Kit_BOM!$G$2:$G$204,"Bestücken")*$C$8+SUMIFS(Kit_BOM!$F$2:$F$204,Kit_BOM!$E$2:$E$204,$A46,Kit_BOM!$A$2:$A$204,$A$8,Kit_BOM!$G$2:$G$204,"Mechanical")*$C$8+IF($F$5="Ja",SUMIFS(Kit_BOM!$F$2:$F$204,Kit_BOM!$E$2:$E$204,$A46,Kit_BOM!$A$2:$A$204,$A$8,Kit_BOM!$G$2:$G$204,"Optional")*$C$8,0)+IF($F$6="Ja",SUMIFS(Kit_BOM!$F$2:$F$204,Kit_BOM!$E$2:$E$204,$A46,Kit_BOM!$A$2:$A$204,$A$8,Kit_BOM!$G$2:$G$204,"DNP")*$C$8,0)</x:f>
        <x:v>0</x:v>
      </x:c>
      <x:c r="F46" s="31" t="str">
        <x:f>IFERROR(IF(INDEX(Part_Suppliers!$G$2:$G$300,MATCH($A46&amp;"|"&amp;$C46,Part_Suppliers!$K$2:$K$300,0))=0,"",INDEX(Part_Suppliers!$G$2:$G$300,MATCH($A46&amp;"|"&amp;$C46,Part_Suppliers!$K$2:$K$300,0))),"")</x:f>
      </x:c>
      <x:c r="G46" s="31" t="n">
        <x:f t="shared" ref="G46:G65" si="5">IF($E46=0,0,IF(OR($F46="",$F46=0),$E46,CEILING($E46,$F46)))</x:f>
        <x:v>0</x:v>
      </x:c>
      <x:c r="H46" s="49" t="n">
        <x:f>SUMIFS(Part_Suppliers!$E$2:$E$300,Part_Suppliers!$A$2:$A$300,$A46,Part_Suppliers!$B$2:$B$300,$C46)</x:f>
        <x:v>0.11</x:v>
      </x:c>
      <x:c r="I46" s="49" t="n">
        <x:f t="shared" ref="I46:I65" si="6">$G46*$H46</x:f>
        <x:v>0</x:v>
      </x:c>
      <x:c r="J46" t="str">
        <x:f t="shared" ref="J46:J65" si="7">IF($E46=0,"Nicht benötigt",IF(LOWER($C46)&lt;&gt;"reichelt","Anderer Lieferant",IF($D46="","Supplier-PN fehlt","Reichelt bereit")))</x:f>
        <x:v>Nicht benötigt</x:v>
      </x:c>
      <x:c r="K46" s="29" t="str">
        <x:f>IFERROR(IF(INDEX(Part_Suppliers!$D$2:$D$300,MATCH($A46&amp;"|"&amp;$C46,Part_Suppliers!$K$2:$K$300,0))=0,"",INDEX(Part_Suppliers!$D$2:$D$300,MATCH($A46&amp;"|"&amp;$C46,Part_Suppliers!$K$2:$K$300,0))),"")</x:f>
        <x:v>https://www.reichelt.de/de/de/shop/produkt/buchsenleiste_2_54mm_1x4_gerade-266671</x:v>
      </x:c>
      <x:c r="L46" s="31" t="n">
        <x:f>IFERROR(VLOOKUP($A46,Stock!$A$5:$K$200,10,FALSE()),0)</x:f>
        <x:v>0</x:v>
      </x:c>
      <x:c r="M46" s="31" t="n">
        <x:f>IFERROR(VLOOKUP($A46,Stock!$A$5:$K$200,11,FALSE()),0)</x:f>
        <x:v>0</x:v>
      </x:c>
      <x:c r="N46" s="31" t="n">
        <x:f t="shared" ref="N46:N65" si="8">$L46+$M46-$E46</x:f>
        <x:v>0</x:v>
      </x:c>
      <x:c r="O46" s="31" t="n">
        <x:f t="shared" ref="O46:O65" si="9">IF($N46&gt;=0,0,IF(OR($F46="",$F46=0),-$N46,CEILING(-$N46,$F46)))</x:f>
        <x:v>0</x:v>
      </x:c>
      <x:c r="P46" s="50">
        <x:v>0</x:v>
      </x:c>
    </x:row>
    <x:row r="47" ht="14" customHeight="1">
      <x:c r="A47" s="29" t="s">
        <x:v>473</x:v>
      </x:c>
      <x:c r="B47" s="48" t="str">
        <x:f>IFERROR(VLOOKUP($A47,Parts!$A$2:$M$200,3,FALSE()),"")</x:f>
        <x:v>Widerstand 1,5 kΩ SMD</x:v>
      </x:c>
      <x:c r="C47" s="29" t="str">
        <x:f>IFERROR(VLOOKUP($A47,Stock!$A$5:$I$200,8,FALSE()),"")</x:f>
        <x:v>Reichelt</x:v>
      </x:c>
      <x:c r="D47" s="29" t="str">
        <x:f>IFERROR(VLOOKUP($A47,Stock!$A$5:$I$200,9,FALSE()),"")</x:f>
        <x:v>BKL 10120946</x:v>
      </x:c>
      <x:c r="E47" s="31" t="n">
        <x:f>SUMIFS(Kit_BOM!$F$2:$F$204,Kit_BOM!$E$2:$E$204,$A47,Kit_BOM!$A$2:$A$204,$A$5,Kit_BOM!$G$2:$G$204,"Bestücken")*$C$5+SUMIFS(Kit_BOM!$F$2:$F$204,Kit_BOM!$E$2:$E$204,$A47,Kit_BOM!$A$2:$A$204,$A$5,Kit_BOM!$G$2:$G$204,"Mechanical")*$C$5+IF($F$5="Ja",SUMIFS(Kit_BOM!$F$2:$F$204,Kit_BOM!$E$2:$E$204,$A47,Kit_BOM!$A$2:$A$204,$A$5,Kit_BOM!$G$2:$G$204,"Optional")*$C$5,0)+IF($F$6="Ja",SUMIFS(Kit_BOM!$F$2:$F$204,Kit_BOM!$E$2:$E$204,$A47,Kit_BOM!$A$2:$A$204,$A$5,Kit_BOM!$G$2:$G$204,"DNP")*$C$5,0)+SUMIFS(Kit_BOM!$F$2:$F$204,Kit_BOM!$E$2:$E$204,$A47,Kit_BOM!$A$2:$A$204,$A$6,Kit_BOM!$G$2:$G$204,"Bestücken")*$C$6+SUMIFS(Kit_BOM!$F$2:$F$204,Kit_BOM!$E$2:$E$204,$A47,Kit_BOM!$A$2:$A$204,$A$6,Kit_BOM!$G$2:$G$204,"Mechanical")*$C$6+IF($F$5="Ja",SUMIFS(Kit_BOM!$F$2:$F$204,Kit_BOM!$E$2:$E$204,$A47,Kit_BOM!$A$2:$A$204,$A$6,Kit_BOM!$G$2:$G$204,"Optional")*$C$6,0)+IF($F$6="Ja",SUMIFS(Kit_BOM!$F$2:$F$204,Kit_BOM!$E$2:$E$204,$A47,Kit_BOM!$A$2:$A$204,$A$6,Kit_BOM!$G$2:$G$204,"DNP")*$C$6,0)+SUMIFS(Kit_BOM!$F$2:$F$204,Kit_BOM!$E$2:$E$204,$A47,Kit_BOM!$A$2:$A$204,$A$7,Kit_BOM!$G$2:$G$204,"Bestücken")*$C$7+SUMIFS(Kit_BOM!$F$2:$F$204,Kit_BOM!$E$2:$E$204,$A47,Kit_BOM!$A$2:$A$204,$A$7,Kit_BOM!$G$2:$G$204,"Mechanical")*$C$7+IF($F$5="Ja",SUMIFS(Kit_BOM!$F$2:$F$204,Kit_BOM!$E$2:$E$204,$A47,Kit_BOM!$A$2:$A$204,$A$7,Kit_BOM!$G$2:$G$204,"Optional")*$C$7,0)+IF($F$6="Ja",SUMIFS(Kit_BOM!$F$2:$F$204,Kit_BOM!$E$2:$E$204,$A47,Kit_BOM!$A$2:$A$204,$A$7,Kit_BOM!$G$2:$G$204,"DNP")*$C$7,0)+SUMIFS(Kit_BOM!$F$2:$F$204,Kit_BOM!$E$2:$E$204,$A47,Kit_BOM!$A$2:$A$204,$A$8,Kit_BOM!$G$2:$G$204,"Bestücken")*$C$8+SUMIFS(Kit_BOM!$F$2:$F$204,Kit_BOM!$E$2:$E$204,$A47,Kit_BOM!$A$2:$A$204,$A$8,Kit_BOM!$G$2:$G$204,"Mechanical")*$C$8+IF($F$5="Ja",SUMIFS(Kit_BOM!$F$2:$F$204,Kit_BOM!$E$2:$E$204,$A47,Kit_BOM!$A$2:$A$204,$A$8,Kit_BOM!$G$2:$G$204,"Optional")*$C$8,0)+IF($F$6="Ja",SUMIFS(Kit_BOM!$F$2:$F$204,Kit_BOM!$E$2:$E$204,$A47,Kit_BOM!$A$2:$A$204,$A$8,Kit_BOM!$G$2:$G$204,"DNP")*$C$8,0)</x:f>
        <x:v>0</x:v>
      </x:c>
      <x:c r="F47" s="31" t="str">
        <x:f>IFERROR(IF(INDEX(Part_Suppliers!$G$2:$G$300,MATCH($A47&amp;"|"&amp;$C47,Part_Suppliers!$K$2:$K$300,0))=0,"",INDEX(Part_Suppliers!$G$2:$G$300,MATCH($A47&amp;"|"&amp;$C47,Part_Suppliers!$K$2:$K$300,0))),"")</x:f>
      </x:c>
      <x:c r="G47" s="31">
        <x:f t="shared" si="5"/>
        <x:v>0</x:v>
      </x:c>
      <x:c r="H47" s="49" t="n">
        <x:f>SUMIFS(Part_Suppliers!$E$2:$E$300,Part_Suppliers!$A$2:$A$300,$A47,Part_Suppliers!$B$2:$B$300,$C47)</x:f>
        <x:v>0.14</x:v>
      </x:c>
      <x:c r="I47" s="49">
        <x:f t="shared" si="6"/>
        <x:v>0</x:v>
      </x:c>
      <x:c r="J47" t="str">
        <x:f t="shared" si="7"/>
        <x:v>Nicht benötigt</x:v>
      </x:c>
      <x:c r="K47" s="29" t="str">
        <x:f>IFERROR(IF(INDEX(Part_Suppliers!$D$2:$D$300,MATCH($A47&amp;"|"&amp;$C47,Part_Suppliers!$K$2:$K$300,0))=0,"",INDEX(Part_Suppliers!$D$2:$D$300,MATCH($A47&amp;"|"&amp;$C47,Part_Suppliers!$K$2:$K$300,0))),"")</x:f>
        <x:v>https://www.reichelt.de/de/de/shop/produkt/buchsenleiste_2_54mm_1x4_gerade-266671</x:v>
      </x:c>
      <x:c r="L47" s="31" t="n">
        <x:f>IFERROR(VLOOKUP($A47,Stock!$A$5:$K$200,10,FALSE()),0)</x:f>
        <x:v>0</x:v>
      </x:c>
      <x:c r="M47" s="31" t="n">
        <x:f>IFERROR(VLOOKUP($A47,Stock!$A$5:$K$200,11,FALSE()),0)</x:f>
        <x:v>0</x:v>
      </x:c>
      <x:c r="N47" s="31">
        <x:f t="shared" si="8"/>
        <x:v>0</x:v>
      </x:c>
      <x:c r="O47" s="31">
        <x:f t="shared" si="9"/>
        <x:v>0</x:v>
      </x:c>
      <x:c r="P47" s="50">
        <x:v>0</x:v>
      </x:c>
    </x:row>
    <x:row r="48" ht="14" customHeight="1">
      <x:c r="A48" s="29" t="s">
        <x:v>481</x:v>
      </x:c>
      <x:c r="B48" s="48" t="str">
        <x:f>IFERROR(VLOOKUP($A48,Parts!$A$2:$M$200,3,FALSE()),"")</x:f>
        <x:v>DuoRelay FullSize PCB Rev 0.2</x:v>
      </x:c>
      <x:c r="C48" s="29" t="str">
        <x:f>IFERROR(VLOOKUP($A48,Stock!$A$5:$I$200,8,FALSE()),"")</x:f>
        <x:v>JLCPCB</x:v>
      </x:c>
      <x:c r="D48" s="29" t="str">
        <x:f>IFERROR(VLOOKUP($A48,Stock!$A$5:$I$200,9,FALSE()),"")</x:f>
      </x:c>
      <x:c r="E48" s="31" t="n">
        <x:f>SUMIFS(Kit_BOM!$F$2:$F$204,Kit_BOM!$E$2:$E$204,$A48,Kit_BOM!$A$2:$A$204,$A$5,Kit_BOM!$G$2:$G$204,"Bestücken")*$C$5+SUMIFS(Kit_BOM!$F$2:$F$204,Kit_BOM!$E$2:$E$204,$A48,Kit_BOM!$A$2:$A$204,$A$5,Kit_BOM!$G$2:$G$204,"Mechanical")*$C$5+IF($F$5="Ja",SUMIFS(Kit_BOM!$F$2:$F$204,Kit_BOM!$E$2:$E$204,$A48,Kit_BOM!$A$2:$A$204,$A$5,Kit_BOM!$G$2:$G$204,"Optional")*$C$5,0)+IF($F$6="Ja",SUMIFS(Kit_BOM!$F$2:$F$204,Kit_BOM!$E$2:$E$204,$A48,Kit_BOM!$A$2:$A$204,$A$5,Kit_BOM!$G$2:$G$204,"DNP")*$C$5,0)+SUMIFS(Kit_BOM!$F$2:$F$204,Kit_BOM!$E$2:$E$204,$A48,Kit_BOM!$A$2:$A$204,$A$6,Kit_BOM!$G$2:$G$204,"Bestücken")*$C$6+SUMIFS(Kit_BOM!$F$2:$F$204,Kit_BOM!$E$2:$E$204,$A48,Kit_BOM!$A$2:$A$204,$A$6,Kit_BOM!$G$2:$G$204,"Mechanical")*$C$6+IF($F$5="Ja",SUMIFS(Kit_BOM!$F$2:$F$204,Kit_BOM!$E$2:$E$204,$A48,Kit_BOM!$A$2:$A$204,$A$6,Kit_BOM!$G$2:$G$204,"Optional")*$C$6,0)+IF($F$6="Ja",SUMIFS(Kit_BOM!$F$2:$F$204,Kit_BOM!$E$2:$E$204,$A48,Kit_BOM!$A$2:$A$204,$A$6,Kit_BOM!$G$2:$G$204,"DNP")*$C$6,0)+SUMIFS(Kit_BOM!$F$2:$F$204,Kit_BOM!$E$2:$E$204,$A48,Kit_BOM!$A$2:$A$204,$A$7,Kit_BOM!$G$2:$G$204,"Bestücken")*$C$7+SUMIFS(Kit_BOM!$F$2:$F$204,Kit_BOM!$E$2:$E$204,$A48,Kit_BOM!$A$2:$A$204,$A$7,Kit_BOM!$G$2:$G$204,"Mechanical")*$C$7+IF($F$5="Ja",SUMIFS(Kit_BOM!$F$2:$F$204,Kit_BOM!$E$2:$E$204,$A48,Kit_BOM!$A$2:$A$204,$A$7,Kit_BOM!$G$2:$G$204,"Optional")*$C$7,0)+IF($F$6="Ja",SUMIFS(Kit_BOM!$F$2:$F$204,Kit_BOM!$E$2:$E$204,$A48,Kit_BOM!$A$2:$A$204,$A$7,Kit_BOM!$G$2:$G$204,"DNP")*$C$7,0)+SUMIFS(Kit_BOM!$F$2:$F$204,Kit_BOM!$E$2:$E$204,$A48,Kit_BOM!$A$2:$A$204,$A$8,Kit_BOM!$G$2:$G$204,"Bestücken")*$C$8+SUMIFS(Kit_BOM!$F$2:$F$204,Kit_BOM!$E$2:$E$204,$A48,Kit_BOM!$A$2:$A$204,$A$8,Kit_BOM!$G$2:$G$204,"Mechanical")*$C$8+IF($F$5="Ja",SUMIFS(Kit_BOM!$F$2:$F$204,Kit_BOM!$E$2:$E$204,$A48,Kit_BOM!$A$2:$A$204,$A$8,Kit_BOM!$G$2:$G$204,"Optional")*$C$8,0)+IF($F$6="Ja",SUMIFS(Kit_BOM!$F$2:$F$204,Kit_BOM!$E$2:$E$204,$A48,Kit_BOM!$A$2:$A$204,$A$8,Kit_BOM!$G$2:$G$204,"DNP")*$C$8,0)</x:f>
        <x:v>0</x:v>
      </x:c>
      <x:c r="F48" s="31" t="n">
        <x:f>IFERROR(IF(INDEX(Part_Suppliers!$G$2:$G$300,MATCH($A48&amp;"|"&amp;$C48,Part_Suppliers!$K$2:$K$300,0))=0,"",INDEX(Part_Suppliers!$G$2:$G$300,MATCH($A48&amp;"|"&amp;$C48,Part_Suppliers!$K$2:$K$300,0))),"")</x:f>
        <x:v>5</x:v>
      </x:c>
      <x:c r="G48" s="31">
        <x:f t="shared" si="5"/>
        <x:v>0</x:v>
      </x:c>
      <x:c r="H48" s="49" t="n">
        <x:f>SUMIFS(Part_Suppliers!$E$2:$E$300,Part_Suppliers!$A$2:$A$300,$A48,Part_Suppliers!$B$2:$B$300,$C48)</x:f>
        <x:v>0</x:v>
      </x:c>
      <x:c r="I48" s="49">
        <x:f t="shared" si="6"/>
        <x:v>0</x:v>
      </x:c>
      <x:c r="J48" t="str">
        <x:f t="shared" si="7"/>
        <x:v>Nicht benötigt</x:v>
      </x:c>
      <x:c r="K48" s="29" t="str">
        <x:f>IFERROR(IF(INDEX(Part_Suppliers!$D$2:$D$300,MATCH($A48&amp;"|"&amp;$C48,Part_Suppliers!$K$2:$K$300,0))=0,"",INDEX(Part_Suppliers!$D$2:$D$300,MATCH($A48&amp;"|"&amp;$C48,Part_Suppliers!$K$2:$K$300,0))),"")</x:f>
        <x:v>https://jlcpcb.com/file/download?uuid=eef69d2d694441c8ab71168d8447cb4c&amp;businessType=example</x:v>
      </x:c>
      <x:c r="L48" s="31" t="n">
        <x:f>IFERROR(VLOOKUP($A48,Stock!$A$5:$K$200,10,FALSE()),0)</x:f>
        <x:v>0</x:v>
      </x:c>
      <x:c r="M48" s="31" t="n">
        <x:f>IFERROR(VLOOKUP($A48,Stock!$A$5:$K$200,11,FALSE()),0)</x:f>
        <x:v>0</x:v>
      </x:c>
      <x:c r="N48" s="31">
        <x:f t="shared" si="8"/>
        <x:v>0</x:v>
      </x:c>
      <x:c r="O48" s="31">
        <x:f t="shared" si="9"/>
        <x:v>0</x:v>
      </x:c>
      <x:c r="P48" s="50">
        <x:v>0</x:v>
      </x:c>
    </x:row>
    <x:row r="49" ht="14" customHeight="1">
      <x:c r="A49" s="29" t="s">
        <x:v>485</x:v>
      </x:c>
      <x:c r="B49" s="48" t="str">
        <x:f>IFERROR(VLOOKUP($A49,Parts!$A$2:$M$200,3,FALSE()),"")</x:f>
        <x:v>Keramikkondensator 4,7 µF SMD</x:v>
      </x:c>
      <x:c r="C49" s="29" t="str">
        <x:f>IFERROR(VLOOKUP($A49,Stock!$A$5:$I$200,8,FALSE()),"")</x:f>
        <x:v>Reichelt</x:v>
      </x:c>
      <x:c r="D49" s="29" t="str">
        <x:f>IFERROR(VLOOKUP($A49,Stock!$A$5:$I$200,9,FALSE()),"")</x:f>
        <x:v>BKL 10120946</x:v>
      </x:c>
      <x:c r="E49" s="31" t="n">
        <x:f>SUMIFS(Kit_BOM!$F$2:$F$204,Kit_BOM!$E$2:$E$204,$A49,Kit_BOM!$A$2:$A$204,$A$5,Kit_BOM!$G$2:$G$204,"Bestücken")*$C$5+SUMIFS(Kit_BOM!$F$2:$F$204,Kit_BOM!$E$2:$E$204,$A49,Kit_BOM!$A$2:$A$204,$A$5,Kit_BOM!$G$2:$G$204,"Mechanical")*$C$5+IF($F$5="Ja",SUMIFS(Kit_BOM!$F$2:$F$204,Kit_BOM!$E$2:$E$204,$A49,Kit_BOM!$A$2:$A$204,$A$5,Kit_BOM!$G$2:$G$204,"Optional")*$C$5,0)+IF($F$6="Ja",SUMIFS(Kit_BOM!$F$2:$F$204,Kit_BOM!$E$2:$E$204,$A49,Kit_BOM!$A$2:$A$204,$A$5,Kit_BOM!$G$2:$G$204,"DNP")*$C$5,0)+SUMIFS(Kit_BOM!$F$2:$F$204,Kit_BOM!$E$2:$E$204,$A49,Kit_BOM!$A$2:$A$204,$A$6,Kit_BOM!$G$2:$G$204,"Bestücken")*$C$6+SUMIFS(Kit_BOM!$F$2:$F$204,Kit_BOM!$E$2:$E$204,$A49,Kit_BOM!$A$2:$A$204,$A$6,Kit_BOM!$G$2:$G$204,"Mechanical")*$C$6+IF($F$5="Ja",SUMIFS(Kit_BOM!$F$2:$F$204,Kit_BOM!$E$2:$E$204,$A49,Kit_BOM!$A$2:$A$204,$A$6,Kit_BOM!$G$2:$G$204,"Optional")*$C$6,0)+IF($F$6="Ja",SUMIFS(Kit_BOM!$F$2:$F$204,Kit_BOM!$E$2:$E$204,$A49,Kit_BOM!$A$2:$A$204,$A$6,Kit_BOM!$G$2:$G$204,"DNP")*$C$6,0)+SUMIFS(Kit_BOM!$F$2:$F$204,Kit_BOM!$E$2:$E$204,$A49,Kit_BOM!$A$2:$A$204,$A$7,Kit_BOM!$G$2:$G$204,"Bestücken")*$C$7+SUMIFS(Kit_BOM!$F$2:$F$204,Kit_BOM!$E$2:$E$204,$A49,Kit_BOM!$A$2:$A$204,$A$7,Kit_BOM!$G$2:$G$204,"Mechanical")*$C$7+IF($F$5="Ja",SUMIFS(Kit_BOM!$F$2:$F$204,Kit_BOM!$E$2:$E$204,$A49,Kit_BOM!$A$2:$A$204,$A$7,Kit_BOM!$G$2:$G$204,"Optional")*$C$7,0)+IF($F$6="Ja",SUMIFS(Kit_BOM!$F$2:$F$204,Kit_BOM!$E$2:$E$204,$A49,Kit_BOM!$A$2:$A$204,$A$7,Kit_BOM!$G$2:$G$204,"DNP")*$C$7,0)+SUMIFS(Kit_BOM!$F$2:$F$204,Kit_BOM!$E$2:$E$204,$A49,Kit_BOM!$A$2:$A$204,$A$8,Kit_BOM!$G$2:$G$204,"Bestücken")*$C$8+SUMIFS(Kit_BOM!$F$2:$F$204,Kit_BOM!$E$2:$E$204,$A49,Kit_BOM!$A$2:$A$204,$A$8,Kit_BOM!$G$2:$G$204,"Mechanical")*$C$8+IF($F$5="Ja",SUMIFS(Kit_BOM!$F$2:$F$204,Kit_BOM!$E$2:$E$204,$A49,Kit_BOM!$A$2:$A$204,$A$8,Kit_BOM!$G$2:$G$204,"Optional")*$C$8,0)+IF($F$6="Ja",SUMIFS(Kit_BOM!$F$2:$F$204,Kit_BOM!$E$2:$E$204,$A49,Kit_BOM!$A$2:$A$204,$A$8,Kit_BOM!$G$2:$G$204,"DNP")*$C$8,0)</x:f>
        <x:v>0</x:v>
      </x:c>
      <x:c r="F49" s="31" t="str">
        <x:f>IFERROR(IF(INDEX(Part_Suppliers!$G$2:$G$300,MATCH($A49&amp;"|"&amp;$C49,Part_Suppliers!$K$2:$K$300,0))=0,"",INDEX(Part_Suppliers!$G$2:$G$300,MATCH($A49&amp;"|"&amp;$C49,Part_Suppliers!$K$2:$K$300,0))),"")</x:f>
      </x:c>
      <x:c r="G49" s="31">
        <x:f t="shared" si="5"/>
        <x:v>0</x:v>
      </x:c>
      <x:c r="H49" s="49" t="n">
        <x:f>SUMIFS(Part_Suppliers!$E$2:$E$300,Part_Suppliers!$A$2:$A$300,$A49,Part_Suppliers!$B$2:$B$300,$C49)</x:f>
        <x:v>0.14</x:v>
      </x:c>
      <x:c r="I49" s="49">
        <x:f t="shared" si="6"/>
        <x:v>0</x:v>
      </x:c>
      <x:c r="J49" t="str">
        <x:f t="shared" si="7"/>
        <x:v>Nicht benötigt</x:v>
      </x:c>
      <x:c r="K49" s="29" t="str">
        <x:f>IFERROR(IF(INDEX(Part_Suppliers!$D$2:$D$300,MATCH($A49&amp;"|"&amp;$C49,Part_Suppliers!$K$2:$K$300,0))=0,"",INDEX(Part_Suppliers!$D$2:$D$300,MATCH($A49&amp;"|"&amp;$C49,Part_Suppliers!$K$2:$K$300,0))),"")</x:f>
        <x:v>https://www.reichelt.de/de/de/shop/produkt/buchsenleiste_2_54mm_1x4_gerade-266671</x:v>
      </x:c>
      <x:c r="L49" s="31" t="n">
        <x:f>IFERROR(VLOOKUP($A49,Stock!$A$5:$K$200,10,FALSE()),0)</x:f>
        <x:v>0</x:v>
      </x:c>
      <x:c r="M49" s="31" t="n">
        <x:f>IFERROR(VLOOKUP($A49,Stock!$A$5:$K$200,11,FALSE()),0)</x:f>
        <x:v>0</x:v>
      </x:c>
      <x:c r="N49" s="31">
        <x:f t="shared" si="8"/>
        <x:v>0</x:v>
      </x:c>
      <x:c r="O49" s="31">
        <x:f t="shared" si="9"/>
        <x:v>0</x:v>
      </x:c>
      <x:c r="P49" s="50">
        <x:v>0</x:v>
      </x:c>
    </x:row>
    <x:row r="50" ht="14" customHeight="1">
      <x:c r="A50" s="29" t="s">
        <x:v>493</x:v>
      </x:c>
      <x:c r="B50" s="48" t="str">
        <x:f>IFERROR(VLOOKUP($A50,Parts!$A$2:$M$200,3,FALSE()),"")</x:f>
        <x:v>Keramikkondensator 4,7 µF SMD</x:v>
      </x:c>
      <x:c r="C50" s="29" t="str">
        <x:f>IFERROR(VLOOKUP($A50,Stock!$A$5:$I$200,8,FALSE()),"")</x:f>
        <x:v>Reichelt</x:v>
      </x:c>
      <x:c r="D50" s="29" t="str">
        <x:f>IFERROR(VLOOKUP($A50,Stock!$A$5:$I$200,9,FALSE()),"")</x:f>
        <x:v>BKL 10120946</x:v>
      </x:c>
      <x:c r="E50" s="31" t="n">
        <x:f>SUMIFS(Kit_BOM!$F$2:$F$204,Kit_BOM!$E$2:$E$204,$A50,Kit_BOM!$A$2:$A$204,$A$5,Kit_BOM!$G$2:$G$204,"Bestücken")*$C$5+SUMIFS(Kit_BOM!$F$2:$F$204,Kit_BOM!$E$2:$E$204,$A50,Kit_BOM!$A$2:$A$204,$A$5,Kit_BOM!$G$2:$G$204,"Mechanical")*$C$5+IF($F$5="Ja",SUMIFS(Kit_BOM!$F$2:$F$204,Kit_BOM!$E$2:$E$204,$A50,Kit_BOM!$A$2:$A$204,$A$5,Kit_BOM!$G$2:$G$204,"Optional")*$C$5,0)+IF($F$6="Ja",SUMIFS(Kit_BOM!$F$2:$F$204,Kit_BOM!$E$2:$E$204,$A50,Kit_BOM!$A$2:$A$204,$A$5,Kit_BOM!$G$2:$G$204,"DNP")*$C$5,0)+SUMIFS(Kit_BOM!$F$2:$F$204,Kit_BOM!$E$2:$E$204,$A50,Kit_BOM!$A$2:$A$204,$A$6,Kit_BOM!$G$2:$G$204,"Bestücken")*$C$6+SUMIFS(Kit_BOM!$F$2:$F$204,Kit_BOM!$E$2:$E$204,$A50,Kit_BOM!$A$2:$A$204,$A$6,Kit_BOM!$G$2:$G$204,"Mechanical")*$C$6+IF($F$5="Ja",SUMIFS(Kit_BOM!$F$2:$F$204,Kit_BOM!$E$2:$E$204,$A50,Kit_BOM!$A$2:$A$204,$A$6,Kit_BOM!$G$2:$G$204,"Optional")*$C$6,0)+IF($F$6="Ja",SUMIFS(Kit_BOM!$F$2:$F$204,Kit_BOM!$E$2:$E$204,$A50,Kit_BOM!$A$2:$A$204,$A$6,Kit_BOM!$G$2:$G$204,"DNP")*$C$6,0)+SUMIFS(Kit_BOM!$F$2:$F$204,Kit_BOM!$E$2:$E$204,$A50,Kit_BOM!$A$2:$A$204,$A$7,Kit_BOM!$G$2:$G$204,"Bestücken")*$C$7+SUMIFS(Kit_BOM!$F$2:$F$204,Kit_BOM!$E$2:$E$204,$A50,Kit_BOM!$A$2:$A$204,$A$7,Kit_BOM!$G$2:$G$204,"Mechanical")*$C$7+IF($F$5="Ja",SUMIFS(Kit_BOM!$F$2:$F$204,Kit_BOM!$E$2:$E$204,$A50,Kit_BOM!$A$2:$A$204,$A$7,Kit_BOM!$G$2:$G$204,"Optional")*$C$7,0)+IF($F$6="Ja",SUMIFS(Kit_BOM!$F$2:$F$204,Kit_BOM!$E$2:$E$204,$A50,Kit_BOM!$A$2:$A$204,$A$7,Kit_BOM!$G$2:$G$204,"DNP")*$C$7,0)+SUMIFS(Kit_BOM!$F$2:$F$204,Kit_BOM!$E$2:$E$204,$A50,Kit_BOM!$A$2:$A$204,$A$8,Kit_BOM!$G$2:$G$204,"Bestücken")*$C$8+SUMIFS(Kit_BOM!$F$2:$F$204,Kit_BOM!$E$2:$E$204,$A50,Kit_BOM!$A$2:$A$204,$A$8,Kit_BOM!$G$2:$G$204,"Mechanical")*$C$8+IF($F$5="Ja",SUMIFS(Kit_BOM!$F$2:$F$204,Kit_BOM!$E$2:$E$204,$A50,Kit_BOM!$A$2:$A$204,$A$8,Kit_BOM!$G$2:$G$204,"Optional")*$C$8,0)+IF($F$6="Ja",SUMIFS(Kit_BOM!$F$2:$F$204,Kit_BOM!$E$2:$E$204,$A50,Kit_BOM!$A$2:$A$204,$A$8,Kit_BOM!$G$2:$G$204,"DNP")*$C$8,0)</x:f>
        <x:v>0</x:v>
      </x:c>
      <x:c r="F50" s="31" t="str">
        <x:f>IFERROR(IF(INDEX(Part_Suppliers!$G$2:$G$300,MATCH($A50&amp;"|"&amp;$C50,Part_Suppliers!$K$2:$K$300,0))=0,"",INDEX(Part_Suppliers!$G$2:$G$300,MATCH($A50&amp;"|"&amp;$C50,Part_Suppliers!$K$2:$K$300,0))),"")</x:f>
      </x:c>
      <x:c r="G50" s="31">
        <x:f t="shared" si="5"/>
        <x:v>0</x:v>
      </x:c>
      <x:c r="H50" s="49" t="n">
        <x:f>SUMIFS(Part_Suppliers!$E$2:$E$300,Part_Suppliers!$A$2:$A$300,$A50,Part_Suppliers!$B$2:$B$300,$C50)</x:f>
        <x:v>1.19</x:v>
      </x:c>
      <x:c r="I50" s="49">
        <x:f t="shared" si="6"/>
        <x:v>0</x:v>
      </x:c>
      <x:c r="J50" t="str">
        <x:f t="shared" si="7"/>
        <x:v>Nicht benötigt</x:v>
      </x:c>
      <x:c r="K50" s="29" t="str">
        <x:f>IFERROR(IF(INDEX(Part_Suppliers!$D$2:$D$300,MATCH($A50&amp;"|"&amp;$C50,Part_Suppliers!$K$2:$K$300,0))=0,"",INDEX(Part_Suppliers!$D$2:$D$300,MATCH($A50&amp;"|"&amp;$C50,Part_Suppliers!$K$2:$K$300,0))),"")</x:f>
        <x:v>https://www.reichelt.de/de/de/shop/produkt/buchsenleiste_2_54mm_1x4_gerade-266671</x:v>
      </x:c>
      <x:c r="L50" s="31" t="n">
        <x:f>IFERROR(VLOOKUP($A50,Stock!$A$5:$K$200,10,FALSE()),0)</x:f>
        <x:v>0</x:v>
      </x:c>
      <x:c r="M50" s="31" t="n">
        <x:f>IFERROR(VLOOKUP($A50,Stock!$A$5:$K$200,11,FALSE()),0)</x:f>
        <x:v>0</x:v>
      </x:c>
      <x:c r="N50" s="31">
        <x:f t="shared" si="8"/>
        <x:v>0</x:v>
      </x:c>
      <x:c r="O50" s="31">
        <x:f t="shared" si="9"/>
        <x:v>0</x:v>
      </x:c>
      <x:c r="P50" s="50">
        <x:v>0</x:v>
      </x:c>
    </x:row>
    <x:row r="51" ht="14" customHeight="1">
      <x:c r="A51" s="29" t="s">
        <x:v>500</x:v>
      </x:c>
      <x:c r="B51" s="48" t="str">
        <x:f>IFERROR(VLOOKUP($A51,Parts!$A$2:$M$200,3,FALSE()),"")</x:f>
        <x:v>Schottky-Diode SMD</x:v>
      </x:c>
      <x:c r="C51" s="29" t="str">
        <x:f>IFERROR(VLOOKUP($A51,Stock!$A$5:$I$200,8,FALSE()),"")</x:f>
        <x:v>Noch festlegen</x:v>
      </x:c>
      <x:c r="D51" s="29" t="str">
        <x:f>IFERROR(VLOOKUP($A51,Stock!$A$5:$I$200,9,FALSE()),"")</x:f>
      </x:c>
      <x:c r="E51" s="31" t="n">
        <x:f>SUMIFS(Kit_BOM!$F$2:$F$204,Kit_BOM!$E$2:$E$204,$A51,Kit_BOM!$A$2:$A$204,$A$5,Kit_BOM!$G$2:$G$204,"Bestücken")*$C$5+SUMIFS(Kit_BOM!$F$2:$F$204,Kit_BOM!$E$2:$E$204,$A51,Kit_BOM!$A$2:$A$204,$A$5,Kit_BOM!$G$2:$G$204,"Mechanical")*$C$5+IF($F$5="Ja",SUMIFS(Kit_BOM!$F$2:$F$204,Kit_BOM!$E$2:$E$204,$A51,Kit_BOM!$A$2:$A$204,$A$5,Kit_BOM!$G$2:$G$204,"Optional")*$C$5,0)+IF($F$6="Ja",SUMIFS(Kit_BOM!$F$2:$F$204,Kit_BOM!$E$2:$E$204,$A51,Kit_BOM!$A$2:$A$204,$A$5,Kit_BOM!$G$2:$G$204,"DNP")*$C$5,0)+SUMIFS(Kit_BOM!$F$2:$F$204,Kit_BOM!$E$2:$E$204,$A51,Kit_BOM!$A$2:$A$204,$A$6,Kit_BOM!$G$2:$G$204,"Bestücken")*$C$6+SUMIFS(Kit_BOM!$F$2:$F$204,Kit_BOM!$E$2:$E$204,$A51,Kit_BOM!$A$2:$A$204,$A$6,Kit_BOM!$G$2:$G$204,"Mechanical")*$C$6+IF($F$5="Ja",SUMIFS(Kit_BOM!$F$2:$F$204,Kit_BOM!$E$2:$E$204,$A51,Kit_BOM!$A$2:$A$204,$A$6,Kit_BOM!$G$2:$G$204,"Optional")*$C$6,0)+IF($F$6="Ja",SUMIFS(Kit_BOM!$F$2:$F$204,Kit_BOM!$E$2:$E$204,$A51,Kit_BOM!$A$2:$A$204,$A$6,Kit_BOM!$G$2:$G$204,"DNP")*$C$6,0)+SUMIFS(Kit_BOM!$F$2:$F$204,Kit_BOM!$E$2:$E$204,$A51,Kit_BOM!$A$2:$A$204,$A$7,Kit_BOM!$G$2:$G$204,"Bestücken")*$C$7+SUMIFS(Kit_BOM!$F$2:$F$204,Kit_BOM!$E$2:$E$204,$A51,Kit_BOM!$A$2:$A$204,$A$7,Kit_BOM!$G$2:$G$204,"Mechanical")*$C$7+IF($F$5="Ja",SUMIFS(Kit_BOM!$F$2:$F$204,Kit_BOM!$E$2:$E$204,$A51,Kit_BOM!$A$2:$A$204,$A$7,Kit_BOM!$G$2:$G$204,"Optional")*$C$7,0)+IF($F$6="Ja",SUMIFS(Kit_BOM!$F$2:$F$204,Kit_BOM!$E$2:$E$204,$A51,Kit_BOM!$A$2:$A$204,$A$7,Kit_BOM!$G$2:$G$204,"DNP")*$C$7,0)+SUMIFS(Kit_BOM!$F$2:$F$204,Kit_BOM!$E$2:$E$204,$A51,Kit_BOM!$A$2:$A$204,$A$8,Kit_BOM!$G$2:$G$204,"Bestücken")*$C$8+SUMIFS(Kit_BOM!$F$2:$F$204,Kit_BOM!$E$2:$E$204,$A51,Kit_BOM!$A$2:$A$204,$A$8,Kit_BOM!$G$2:$G$204,"Mechanical")*$C$8+IF($F$5="Ja",SUMIFS(Kit_BOM!$F$2:$F$204,Kit_BOM!$E$2:$E$204,$A51,Kit_BOM!$A$2:$A$204,$A$8,Kit_BOM!$G$2:$G$204,"Optional")*$C$8,0)+IF($F$6="Ja",SUMIFS(Kit_BOM!$F$2:$F$204,Kit_BOM!$E$2:$E$204,$A51,Kit_BOM!$A$2:$A$204,$A$8,Kit_BOM!$G$2:$G$204,"DNP")*$C$8,0)</x:f>
        <x:v>0</x:v>
      </x:c>
      <x:c r="F51" s="31" t="n">
        <x:f>IFERROR(IF(INDEX(Part_Suppliers!$G$2:$G$300,MATCH($A51&amp;"|"&amp;$C51,Part_Suppliers!$K$2:$K$300,0))=0,"",INDEX(Part_Suppliers!$G$2:$G$300,MATCH($A51&amp;"|"&amp;$C51,Part_Suppliers!$K$2:$K$300,0))),"")</x:f>
        <x:v>3</x:v>
      </x:c>
      <x:c r="G51" s="31">
        <x:f t="shared" si="5"/>
        <x:v>0</x:v>
      </x:c>
      <x:c r="H51" s="49" t="n">
        <x:f>SUMIFS(Part_Suppliers!$E$2:$E$300,Part_Suppliers!$A$2:$A$300,$A51,Part_Suppliers!$B$2:$B$300,$C51)</x:f>
        <x:v>0</x:v>
      </x:c>
      <x:c r="I51" s="49">
        <x:f t="shared" si="6"/>
        <x:v>0</x:v>
      </x:c>
      <x:c r="J51" t="str">
        <x:f t="shared" si="7"/>
        <x:v>Nicht benötigt</x:v>
      </x:c>
      <x:c r="K51" s="29" t="str">
        <x:f>IFERROR(IF(INDEX(Part_Suppliers!$D$2:$D$300,MATCH($A51&amp;"|"&amp;$C51,Part_Suppliers!$K$2:$K$300,0))=0,"",INDEX(Part_Suppliers!$D$2:$D$300,MATCH($A51&amp;"|"&amp;$C51,Part_Suppliers!$K$2:$K$300,0))),"")</x:f>
      </x:c>
      <x:c r="L51" s="31" t="n">
        <x:f>IFERROR(VLOOKUP($A51,Stock!$A$5:$K$200,10,FALSE()),0)</x:f>
        <x:v>0</x:v>
      </x:c>
      <x:c r="M51" s="31" t="n">
        <x:f>IFERROR(VLOOKUP($A51,Stock!$A$5:$K$200,11,FALSE()),0)</x:f>
        <x:v>0</x:v>
      </x:c>
      <x:c r="N51" s="31">
        <x:f t="shared" si="8"/>
        <x:v>0</x:v>
      </x:c>
      <x:c r="O51" s="31">
        <x:f t="shared" si="9"/>
        <x:v>0</x:v>
      </x:c>
      <x:c r="P51" s="50">
        <x:v>0</x:v>
      </x:c>
    </x:row>
    <x:row r="52" ht="14" customHeight="1">
      <x:c r="A52" t="s">
        <x:v>507</x:v>
      </x:c>
      <x:c r="B52" s="48" t="str">
        <x:f>IFERROR(VLOOKUP($A52,Parts!$A$2:$M$200,3,FALSE()),"")</x:f>
        <x:v>Leistungsinduktivität 0,68 µH</x:v>
      </x:c>
      <x:c r="C52" t="str">
        <x:f>IFERROR(VLOOKUP($A52,Stock!$A$5:$I$200,8,FALSE()),"")</x:f>
        <x:v>Mouser</x:v>
      </x:c>
      <x:c r="D52" t="str">
        <x:f>IFERROR(VLOOKUP($A52,Stock!$A$5:$I$200,9,FALSE()),"")</x:f>
        <x:v>710-744383560068</x:v>
      </x:c>
      <x:c r="E52" s="31" t="n">
        <x:f>SUMIFS(Kit_BOM!$F$2:$F$204,Kit_BOM!$E$2:$E$204,$A52,Kit_BOM!$A$2:$A$204,$A$5,Kit_BOM!$G$2:$G$204,"Bestücken")*$C$5+SUMIFS(Kit_BOM!$F$2:$F$204,Kit_BOM!$E$2:$E$204,$A52,Kit_BOM!$A$2:$A$204,$A$5,Kit_BOM!$G$2:$G$204,"Mechanical")*$C$5+IF($F$5="Ja",SUMIFS(Kit_BOM!$F$2:$F$204,Kit_BOM!$E$2:$E$204,$A52,Kit_BOM!$A$2:$A$204,$A$5,Kit_BOM!$G$2:$G$204,"Optional")*$C$5,0)+IF($F$6="Ja",SUMIFS(Kit_BOM!$F$2:$F$204,Kit_BOM!$E$2:$E$204,$A52,Kit_BOM!$A$2:$A$204,$A$5,Kit_BOM!$G$2:$G$204,"DNP")*$C$5,0)+SUMIFS(Kit_BOM!$F$2:$F$204,Kit_BOM!$E$2:$E$204,$A52,Kit_BOM!$A$2:$A$204,$A$6,Kit_BOM!$G$2:$G$204,"Bestücken")*$C$6+SUMIFS(Kit_BOM!$F$2:$F$204,Kit_BOM!$E$2:$E$204,$A52,Kit_BOM!$A$2:$A$204,$A$6,Kit_BOM!$G$2:$G$204,"Mechanical")*$C$6+IF($F$5="Ja",SUMIFS(Kit_BOM!$F$2:$F$204,Kit_BOM!$E$2:$E$204,$A52,Kit_BOM!$A$2:$A$204,$A$6,Kit_BOM!$G$2:$G$204,"Optional")*$C$6,0)+IF($F$6="Ja",SUMIFS(Kit_BOM!$F$2:$F$204,Kit_BOM!$E$2:$E$204,$A52,Kit_BOM!$A$2:$A$204,$A$6,Kit_BOM!$G$2:$G$204,"DNP")*$C$6,0)+SUMIFS(Kit_BOM!$F$2:$F$204,Kit_BOM!$E$2:$E$204,$A52,Kit_BOM!$A$2:$A$204,$A$7,Kit_BOM!$G$2:$G$204,"Bestücken")*$C$7+SUMIFS(Kit_BOM!$F$2:$F$204,Kit_BOM!$E$2:$E$204,$A52,Kit_BOM!$A$2:$A$204,$A$7,Kit_BOM!$G$2:$G$204,"Mechanical")*$C$7+IF($F$5="Ja",SUMIFS(Kit_BOM!$F$2:$F$204,Kit_BOM!$E$2:$E$204,$A52,Kit_BOM!$A$2:$A$204,$A$7,Kit_BOM!$G$2:$G$204,"Optional")*$C$7,0)+IF($F$6="Ja",SUMIFS(Kit_BOM!$F$2:$F$204,Kit_BOM!$E$2:$E$204,$A52,Kit_BOM!$A$2:$A$204,$A$7,Kit_BOM!$G$2:$G$204,"DNP")*$C$7,0)+SUMIFS(Kit_BOM!$F$2:$F$204,Kit_BOM!$E$2:$E$204,$A52,Kit_BOM!$A$2:$A$204,$A$8,Kit_BOM!$G$2:$G$204,"Bestücken")*$C$8+SUMIFS(Kit_BOM!$F$2:$F$204,Kit_BOM!$E$2:$E$204,$A52,Kit_BOM!$A$2:$A$204,$A$8,Kit_BOM!$G$2:$G$204,"Mechanical")*$C$8+IF($F$5="Ja",SUMIFS(Kit_BOM!$F$2:$F$204,Kit_BOM!$E$2:$E$204,$A52,Kit_BOM!$A$2:$A$204,$A$8,Kit_BOM!$G$2:$G$204,"Optional")*$C$8,0)+IF($F$6="Ja",SUMIFS(Kit_BOM!$F$2:$F$204,Kit_BOM!$E$2:$E$204,$A52,Kit_BOM!$A$2:$A$204,$A$8,Kit_BOM!$G$2:$G$204,"DNP")*$C$8,0)</x:f>
        <x:v>0</x:v>
      </x:c>
      <x:c r="F52" s="31" t="str">
        <x:f>IFERROR(IF(INDEX(Part_Suppliers!$G$2:$G$300,MATCH($A52&amp;"|"&amp;$C52,Part_Suppliers!$K$2:$K$300,0))=0,"",INDEX(Part_Suppliers!$G$2:$G$300,MATCH($A52&amp;"|"&amp;$C52,Part_Suppliers!$K$2:$K$300,0))),"")</x:f>
      </x:c>
      <x:c r="G52" s="31">
        <x:f t="shared" si="5"/>
        <x:v>0</x:v>
      </x:c>
      <x:c r="H52" s="49" t="n">
        <x:f>SUMIFS(Part_Suppliers!$E$2:$E$300,Part_Suppliers!$A$2:$A$300,$A52,Part_Suppliers!$B$2:$B$300,$C52)</x:f>
        <x:v>1.66</x:v>
      </x:c>
      <x:c r="I52" s="49">
        <x:f t="shared" si="6"/>
        <x:v>0</x:v>
      </x:c>
      <x:c r="J52" t="str">
        <x:f t="shared" si="7"/>
        <x:v>Nicht benötigt</x:v>
      </x:c>
      <x:c r="K52" t="str">
        <x:f>IFERROR(IF(INDEX(Part_Suppliers!$D$2:$D$300,MATCH($A52&amp;"|"&amp;$C52,Part_Suppliers!$K$2:$K$300,0))=0,"",INDEX(Part_Suppliers!$D$2:$D$300,MATCH($A52&amp;"|"&amp;$C52,Part_Suppliers!$K$2:$K$300,0))),"")</x:f>
        <x:v>https://eu.mouser.com/en/ProductDetail/Wurth-Elektronik/744383560068</x:v>
      </x:c>
      <x:c r="L52" s="31" t="n">
        <x:f>IFERROR(VLOOKUP($A52,Stock!$A$5:$K$200,10,FALSE()),0)</x:f>
        <x:v>0</x:v>
      </x:c>
      <x:c r="M52" s="31" t="n">
        <x:f>IFERROR(VLOOKUP($A52,Stock!$A$5:$K$200,11,FALSE()),0)</x:f>
        <x:v>0</x:v>
      </x:c>
      <x:c r="N52" s="31">
        <x:f t="shared" si="8"/>
        <x:v>0</x:v>
      </x:c>
      <x:c r="O52" s="31">
        <x:f t="shared" si="9"/>
        <x:v>0</x:v>
      </x:c>
      <x:c r="P52" s="50">
        <x:v>0</x:v>
      </x:c>
    </x:row>
    <x:row r="53" ht="14" customHeight="1">
      <x:c r="A53" t="s">
        <x:v>517</x:v>
      </x:c>
      <x:c r="B53" s="48" t="str">
        <x:f>IFERROR(VLOOKUP($A53,Parts!$A$2:$M$200,3,FALSE()),"")</x:f>
        <x:v>Widerstand 1 MΩ SMD</x:v>
      </x:c>
      <x:c r="C53" t="str">
        <x:f>IFERROR(VLOOKUP($A53,Stock!$A$5:$I$200,8,FALSE()),"")</x:f>
        <x:v>Reichelt</x:v>
      </x:c>
      <x:c r="D53" t="str">
        <x:f>IFERROR(VLOOKUP($A53,Stock!$A$5:$I$200,9,FALSE()),"")</x:f>
        <x:v>BKL 10120946</x:v>
      </x:c>
      <x:c r="E53" s="31" t="n">
        <x:f>SUMIFS(Kit_BOM!$F$2:$F$204,Kit_BOM!$E$2:$E$204,$A53,Kit_BOM!$A$2:$A$204,$A$5,Kit_BOM!$G$2:$G$204,"Bestücken")*$C$5+SUMIFS(Kit_BOM!$F$2:$F$204,Kit_BOM!$E$2:$E$204,$A53,Kit_BOM!$A$2:$A$204,$A$5,Kit_BOM!$G$2:$G$204,"Mechanical")*$C$5+IF($F$5="Ja",SUMIFS(Kit_BOM!$F$2:$F$204,Kit_BOM!$E$2:$E$204,$A53,Kit_BOM!$A$2:$A$204,$A$5,Kit_BOM!$G$2:$G$204,"Optional")*$C$5,0)+IF($F$6="Ja",SUMIFS(Kit_BOM!$F$2:$F$204,Kit_BOM!$E$2:$E$204,$A53,Kit_BOM!$A$2:$A$204,$A$5,Kit_BOM!$G$2:$G$204,"DNP")*$C$5,0)+SUMIFS(Kit_BOM!$F$2:$F$204,Kit_BOM!$E$2:$E$204,$A53,Kit_BOM!$A$2:$A$204,$A$6,Kit_BOM!$G$2:$G$204,"Bestücken")*$C$6+SUMIFS(Kit_BOM!$F$2:$F$204,Kit_BOM!$E$2:$E$204,$A53,Kit_BOM!$A$2:$A$204,$A$6,Kit_BOM!$G$2:$G$204,"Mechanical")*$C$6+IF($F$5="Ja",SUMIFS(Kit_BOM!$F$2:$F$204,Kit_BOM!$E$2:$E$204,$A53,Kit_BOM!$A$2:$A$204,$A$6,Kit_BOM!$G$2:$G$204,"Optional")*$C$6,0)+IF($F$6="Ja",SUMIFS(Kit_BOM!$F$2:$F$204,Kit_BOM!$E$2:$E$204,$A53,Kit_BOM!$A$2:$A$204,$A$6,Kit_BOM!$G$2:$G$204,"DNP")*$C$6,0)+SUMIFS(Kit_BOM!$F$2:$F$204,Kit_BOM!$E$2:$E$204,$A53,Kit_BOM!$A$2:$A$204,$A$7,Kit_BOM!$G$2:$G$204,"Bestücken")*$C$7+SUMIFS(Kit_BOM!$F$2:$F$204,Kit_BOM!$E$2:$E$204,$A53,Kit_BOM!$A$2:$A$204,$A$7,Kit_BOM!$G$2:$G$204,"Mechanical")*$C$7+IF($F$5="Ja",SUMIFS(Kit_BOM!$F$2:$F$204,Kit_BOM!$E$2:$E$204,$A53,Kit_BOM!$A$2:$A$204,$A$7,Kit_BOM!$G$2:$G$204,"Optional")*$C$7,0)+IF($F$6="Ja",SUMIFS(Kit_BOM!$F$2:$F$204,Kit_BOM!$E$2:$E$204,$A53,Kit_BOM!$A$2:$A$204,$A$7,Kit_BOM!$G$2:$G$204,"DNP")*$C$7,0)+SUMIFS(Kit_BOM!$F$2:$F$204,Kit_BOM!$E$2:$E$204,$A53,Kit_BOM!$A$2:$A$204,$A$8,Kit_BOM!$G$2:$G$204,"Bestücken")*$C$8+SUMIFS(Kit_BOM!$F$2:$F$204,Kit_BOM!$E$2:$E$204,$A53,Kit_BOM!$A$2:$A$204,$A$8,Kit_BOM!$G$2:$G$204,"Mechanical")*$C$8+IF($F$5="Ja",SUMIFS(Kit_BOM!$F$2:$F$204,Kit_BOM!$E$2:$E$204,$A53,Kit_BOM!$A$2:$A$204,$A$8,Kit_BOM!$G$2:$G$204,"Optional")*$C$8,0)+IF($F$6="Ja",SUMIFS(Kit_BOM!$F$2:$F$204,Kit_BOM!$E$2:$E$204,$A53,Kit_BOM!$A$2:$A$204,$A$8,Kit_BOM!$G$2:$G$204,"DNP")*$C$8,0)</x:f>
        <x:v>0</x:v>
      </x:c>
      <x:c r="F53" s="31" t="str">
        <x:f>IFERROR(IF(INDEX(Part_Suppliers!$G$2:$G$300,MATCH($A53&amp;"|"&amp;$C53,Part_Suppliers!$K$2:$K$300,0))=0,"",INDEX(Part_Suppliers!$G$2:$G$300,MATCH($A53&amp;"|"&amp;$C53,Part_Suppliers!$K$2:$K$300,0))),"")</x:f>
      </x:c>
      <x:c r="G53" s="31">
        <x:f t="shared" si="5"/>
        <x:v>0</x:v>
      </x:c>
      <x:c r="H53" s="49" t="n">
        <x:f>SUMIFS(Part_Suppliers!$E$2:$E$300,Part_Suppliers!$A$2:$A$300,$A53,Part_Suppliers!$B$2:$B$300,$C53)</x:f>
        <x:v>0.18</x:v>
      </x:c>
      <x:c r="I53" s="49">
        <x:f t="shared" si="6"/>
        <x:v>0</x:v>
      </x:c>
      <x:c r="J53" t="str">
        <x:f t="shared" si="7"/>
        <x:v>Nicht benötigt</x:v>
      </x:c>
      <x:c r="K53" t="str">
        <x:f>IFERROR(IF(INDEX(Part_Suppliers!$D$2:$D$300,MATCH($A53&amp;"|"&amp;$C53,Part_Suppliers!$K$2:$K$300,0))=0,"",INDEX(Part_Suppliers!$D$2:$D$300,MATCH($A53&amp;"|"&amp;$C53,Part_Suppliers!$K$2:$K$300,0))),"")</x:f>
        <x:v>https://www.reichelt.de/de/de/shop/produkt/buchsenleiste_2_54mm_1x4_gerade-266671</x:v>
      </x:c>
      <x:c r="L53" s="31" t="n">
        <x:f>IFERROR(VLOOKUP($A53,Stock!$A$5:$K$200,10,FALSE()),0)</x:f>
        <x:v>0</x:v>
      </x:c>
      <x:c r="M53" s="31" t="n">
        <x:f>IFERROR(VLOOKUP($A53,Stock!$A$5:$K$200,11,FALSE()),0)</x:f>
        <x:v>0</x:v>
      </x:c>
      <x:c r="N53" s="31">
        <x:f t="shared" si="8"/>
        <x:v>0</x:v>
      </x:c>
      <x:c r="O53" s="31">
        <x:f t="shared" si="9"/>
        <x:v>0</x:v>
      </x:c>
      <x:c r="P53" s="50">
        <x:v>0</x:v>
      </x:c>
    </x:row>
    <x:row r="54" ht="14" customHeight="1">
      <x:c r="A54" t="s">
        <x:v>524</x:v>
      </x:c>
      <x:c r="B54" s="48" t="str">
        <x:f>IFERROR(VLOOKUP($A54,Parts!$A$2:$M$200,3,FALSE()),"")</x:f>
        <x:v>Widerstand 71,5 kΩ SMD</x:v>
      </x:c>
      <x:c r="C54" t="str">
        <x:f>IFERROR(VLOOKUP($A54,Stock!$A$5:$I$200,8,FALSE()),"")</x:f>
        <x:v>DigiKey</x:v>
      </x:c>
      <x:c r="D54" t="str">
        <x:f>IFERROR(VLOOKUP($A54,Stock!$A$5:$I$200,9,FALSE()),"")</x:f>
        <x:v>24AA025E64T-I/OTCT-ND</x:v>
      </x:c>
      <x:c r="E54" s="31" t="n">
        <x:f>SUMIFS(Kit_BOM!$F$2:$F$204,Kit_BOM!$E$2:$E$204,$A54,Kit_BOM!$A$2:$A$204,$A$5,Kit_BOM!$G$2:$G$204,"Bestücken")*$C$5+SUMIFS(Kit_BOM!$F$2:$F$204,Kit_BOM!$E$2:$E$204,$A54,Kit_BOM!$A$2:$A$204,$A$5,Kit_BOM!$G$2:$G$204,"Mechanical")*$C$5+IF($F$5="Ja",SUMIFS(Kit_BOM!$F$2:$F$204,Kit_BOM!$E$2:$E$204,$A54,Kit_BOM!$A$2:$A$204,$A$5,Kit_BOM!$G$2:$G$204,"Optional")*$C$5,0)+IF($F$6="Ja",SUMIFS(Kit_BOM!$F$2:$F$204,Kit_BOM!$E$2:$E$204,$A54,Kit_BOM!$A$2:$A$204,$A$5,Kit_BOM!$G$2:$G$204,"DNP")*$C$5,0)+SUMIFS(Kit_BOM!$F$2:$F$204,Kit_BOM!$E$2:$E$204,$A54,Kit_BOM!$A$2:$A$204,$A$6,Kit_BOM!$G$2:$G$204,"Bestücken")*$C$6+SUMIFS(Kit_BOM!$F$2:$F$204,Kit_BOM!$E$2:$E$204,$A54,Kit_BOM!$A$2:$A$204,$A$6,Kit_BOM!$G$2:$G$204,"Mechanical")*$C$6+IF($F$5="Ja",SUMIFS(Kit_BOM!$F$2:$F$204,Kit_BOM!$E$2:$E$204,$A54,Kit_BOM!$A$2:$A$204,$A$6,Kit_BOM!$G$2:$G$204,"Optional")*$C$6,0)+IF($F$6="Ja",SUMIFS(Kit_BOM!$F$2:$F$204,Kit_BOM!$E$2:$E$204,$A54,Kit_BOM!$A$2:$A$204,$A$6,Kit_BOM!$G$2:$G$204,"DNP")*$C$6,0)+SUMIFS(Kit_BOM!$F$2:$F$204,Kit_BOM!$E$2:$E$204,$A54,Kit_BOM!$A$2:$A$204,$A$7,Kit_BOM!$G$2:$G$204,"Bestücken")*$C$7+SUMIFS(Kit_BOM!$F$2:$F$204,Kit_BOM!$E$2:$E$204,$A54,Kit_BOM!$A$2:$A$204,$A$7,Kit_BOM!$G$2:$G$204,"Mechanical")*$C$7+IF($F$5="Ja",SUMIFS(Kit_BOM!$F$2:$F$204,Kit_BOM!$E$2:$E$204,$A54,Kit_BOM!$A$2:$A$204,$A$7,Kit_BOM!$G$2:$G$204,"Optional")*$C$7,0)+IF($F$6="Ja",SUMIFS(Kit_BOM!$F$2:$F$204,Kit_BOM!$E$2:$E$204,$A54,Kit_BOM!$A$2:$A$204,$A$7,Kit_BOM!$G$2:$G$204,"DNP")*$C$7,0)+SUMIFS(Kit_BOM!$F$2:$F$204,Kit_BOM!$E$2:$E$204,$A54,Kit_BOM!$A$2:$A$204,$A$8,Kit_BOM!$G$2:$G$204,"Bestücken")*$C$8+SUMIFS(Kit_BOM!$F$2:$F$204,Kit_BOM!$E$2:$E$204,$A54,Kit_BOM!$A$2:$A$204,$A$8,Kit_BOM!$G$2:$G$204,"Mechanical")*$C$8+IF($F$5="Ja",SUMIFS(Kit_BOM!$F$2:$F$204,Kit_BOM!$E$2:$E$204,$A54,Kit_BOM!$A$2:$A$204,$A$8,Kit_BOM!$G$2:$G$204,"Optional")*$C$8,0)+IF($F$6="Ja",SUMIFS(Kit_BOM!$F$2:$F$204,Kit_BOM!$E$2:$E$204,$A54,Kit_BOM!$A$2:$A$204,$A$8,Kit_BOM!$G$2:$G$204,"DNP")*$C$8,0)</x:f>
        <x:v>0</x:v>
      </x:c>
      <x:c r="F54" s="31" t="n">
        <x:f>IFERROR(IF(INDEX(Part_Suppliers!$G$2:$G$300,MATCH($A54&amp;"|"&amp;$C54,Part_Suppliers!$K$2:$K$300,0))=0,"",INDEX(Part_Suppliers!$G$2:$G$300,MATCH($A54&amp;"|"&amp;$C54,Part_Suppliers!$K$2:$K$300,0))),"")</x:f>
        <x:v>1</x:v>
      </x:c>
      <x:c r="G54" s="31">
        <x:f t="shared" si="5"/>
        <x:v>0</x:v>
      </x:c>
      <x:c r="H54" s="49" t="n">
        <x:f>SUMIFS(Part_Suppliers!$E$2:$E$300,Part_Suppliers!$A$2:$A$300,$A54,Part_Suppliers!$B$2:$B$300,$C54)</x:f>
        <x:v>0.09</x:v>
      </x:c>
      <x:c r="I54" s="49">
        <x:f t="shared" si="6"/>
        <x:v>0</x:v>
      </x:c>
      <x:c r="J54" t="str">
        <x:f t="shared" si="7"/>
        <x:v>Nicht benötigt</x:v>
      </x:c>
      <x:c r="K54" t="str">
        <x:f>IFERROR(IF(INDEX(Part_Suppliers!$D$2:$D$300,MATCH($A54&amp;"|"&amp;$C54,Part_Suppliers!$K$2:$K$300,0))=0,"",INDEX(Part_Suppliers!$D$2:$D$300,MATCH($A54&amp;"|"&amp;$C54,Part_Suppliers!$K$2:$K$300,0))),"")</x:f>
        <x:v>https://www.digikey.de/de/products/detail/microchip-technology/24AA025E64T-I-OT/3908633</x:v>
      </x:c>
      <x:c r="L54" s="31" t="n">
        <x:f>IFERROR(VLOOKUP($A54,Stock!$A$5:$K$200,10,FALSE()),0)</x:f>
        <x:v>0</x:v>
      </x:c>
      <x:c r="M54" s="31" t="n">
        <x:f>IFERROR(VLOOKUP($A54,Stock!$A$5:$K$200,11,FALSE()),0)</x:f>
        <x:v>0</x:v>
      </x:c>
      <x:c r="N54" s="31">
        <x:f t="shared" si="8"/>
        <x:v>0</x:v>
      </x:c>
      <x:c r="O54" s="31">
        <x:f t="shared" si="9"/>
        <x:v>0</x:v>
      </x:c>
      <x:c r="P54" s="50">
        <x:v>0</x:v>
      </x:c>
    </x:row>
    <x:row r="55" ht="14" customHeight="1">
      <x:c r="A55" t="s">
        <x:v>532</x:v>
      </x:c>
      <x:c r="B55" s="48" t="str">
        <x:f>IFERROR(VLOOKUP($A55,Parts!$A$2:$M$200,3,FALSE()),"")</x:f>
        <x:v>Widerstand 220 kΩ SMD</x:v>
      </x:c>
      <x:c r="C55" t="str">
        <x:f>IFERROR(VLOOKUP($A55,Stock!$A$5:$I$200,8,FALSE()),"")</x:f>
        <x:v>TME</x:v>
      </x:c>
      <x:c r="D55" t="str">
        <x:f>IFERROR(VLOOKUP($A55,Stock!$A$5:$I$200,9,FALSE()),"")</x:f>
        <x:v>WR12X2203FTL</x:v>
      </x:c>
      <x:c r="E55" s="31" t="n">
        <x:f>SUMIFS(Kit_BOM!$F$2:$F$204,Kit_BOM!$E$2:$E$204,$A55,Kit_BOM!$A$2:$A$204,$A$5,Kit_BOM!$G$2:$G$204,"Bestücken")*$C$5+SUMIFS(Kit_BOM!$F$2:$F$204,Kit_BOM!$E$2:$E$204,$A55,Kit_BOM!$A$2:$A$204,$A$5,Kit_BOM!$G$2:$G$204,"Mechanical")*$C$5+IF($F$5="Ja",SUMIFS(Kit_BOM!$F$2:$F$204,Kit_BOM!$E$2:$E$204,$A55,Kit_BOM!$A$2:$A$204,$A$5,Kit_BOM!$G$2:$G$204,"Optional")*$C$5,0)+IF($F$6="Ja",SUMIFS(Kit_BOM!$F$2:$F$204,Kit_BOM!$E$2:$E$204,$A55,Kit_BOM!$A$2:$A$204,$A$5,Kit_BOM!$G$2:$G$204,"DNP")*$C$5,0)+SUMIFS(Kit_BOM!$F$2:$F$204,Kit_BOM!$E$2:$E$204,$A55,Kit_BOM!$A$2:$A$204,$A$6,Kit_BOM!$G$2:$G$204,"Bestücken")*$C$6+SUMIFS(Kit_BOM!$F$2:$F$204,Kit_BOM!$E$2:$E$204,$A55,Kit_BOM!$A$2:$A$204,$A$6,Kit_BOM!$G$2:$G$204,"Mechanical")*$C$6+IF($F$5="Ja",SUMIFS(Kit_BOM!$F$2:$F$204,Kit_BOM!$E$2:$E$204,$A55,Kit_BOM!$A$2:$A$204,$A$6,Kit_BOM!$G$2:$G$204,"Optional")*$C$6,0)+IF($F$6="Ja",SUMIFS(Kit_BOM!$F$2:$F$204,Kit_BOM!$E$2:$E$204,$A55,Kit_BOM!$A$2:$A$204,$A$6,Kit_BOM!$G$2:$G$204,"DNP")*$C$6,0)+SUMIFS(Kit_BOM!$F$2:$F$204,Kit_BOM!$E$2:$E$204,$A55,Kit_BOM!$A$2:$A$204,$A$7,Kit_BOM!$G$2:$G$204,"Bestücken")*$C$7+SUMIFS(Kit_BOM!$F$2:$F$204,Kit_BOM!$E$2:$E$204,$A55,Kit_BOM!$A$2:$A$204,$A$7,Kit_BOM!$G$2:$G$204,"Mechanical")*$C$7+IF($F$5="Ja",SUMIFS(Kit_BOM!$F$2:$F$204,Kit_BOM!$E$2:$E$204,$A55,Kit_BOM!$A$2:$A$204,$A$7,Kit_BOM!$G$2:$G$204,"Optional")*$C$7,0)+IF($F$6="Ja",SUMIFS(Kit_BOM!$F$2:$F$204,Kit_BOM!$E$2:$E$204,$A55,Kit_BOM!$A$2:$A$204,$A$7,Kit_BOM!$G$2:$G$204,"DNP")*$C$7,0)+SUMIFS(Kit_BOM!$F$2:$F$204,Kit_BOM!$E$2:$E$204,$A55,Kit_BOM!$A$2:$A$204,$A$8,Kit_BOM!$G$2:$G$204,"Bestücken")*$C$8+SUMIFS(Kit_BOM!$F$2:$F$204,Kit_BOM!$E$2:$E$204,$A55,Kit_BOM!$A$2:$A$204,$A$8,Kit_BOM!$G$2:$G$204,"Mechanical")*$C$8+IF($F$5="Ja",SUMIFS(Kit_BOM!$F$2:$F$204,Kit_BOM!$E$2:$E$204,$A55,Kit_BOM!$A$2:$A$204,$A$8,Kit_BOM!$G$2:$G$204,"Optional")*$C$8,0)+IF($F$6="Ja",SUMIFS(Kit_BOM!$F$2:$F$204,Kit_BOM!$E$2:$E$204,$A55,Kit_BOM!$A$2:$A$204,$A$8,Kit_BOM!$G$2:$G$204,"DNP")*$C$8,0)</x:f>
        <x:v>0</x:v>
      </x:c>
      <x:c r="F55" s="31" t="str">
        <x:f>IFERROR(IF(INDEX(Part_Suppliers!$G$2:$G$300,MATCH($A55&amp;"|"&amp;$C55,Part_Suppliers!$K$2:$K$300,0))=0,"",INDEX(Part_Suppliers!$G$2:$G$300,MATCH($A55&amp;"|"&amp;$C55,Part_Suppliers!$K$2:$K$300,0))),"")</x:f>
      </x:c>
      <x:c r="G55" s="31">
        <x:f t="shared" si="5"/>
        <x:v>0</x:v>
      </x:c>
      <x:c r="H55" s="49" t="n">
        <x:f>SUMIFS(Part_Suppliers!$E$2:$E$300,Part_Suppliers!$A$2:$A$300,$A55,Part_Suppliers!$B$2:$B$300,$C55)</x:f>
        <x:v>0.07</x:v>
      </x:c>
      <x:c r="I55" s="49">
        <x:f t="shared" si="6"/>
        <x:v>0</x:v>
      </x:c>
      <x:c r="J55" t="str">
        <x:f t="shared" si="7"/>
        <x:v>Nicht benötigt</x:v>
      </x:c>
      <x:c r="K55" t="str">
        <x:f>IFERROR(IF(INDEX(Part_Suppliers!$D$2:$D$300,MATCH($A55&amp;"|"&amp;$C55,Part_Suppliers!$K$2:$K$300,0))=0,"",INDEX(Part_Suppliers!$D$2:$D$300,MATCH($A55&amp;"|"&amp;$C55,Part_Suppliers!$K$2:$K$300,0))),"")</x:f>
        <x:v>https://www.tme.eu/de/details/wr12x2203ftl/smd-widerstaende/walsin/</x:v>
      </x:c>
      <x:c r="L55" s="31" t="n">
        <x:f>IFERROR(VLOOKUP($A55,Stock!$A$5:$K$200,10,FALSE()),0)</x:f>
        <x:v>0</x:v>
      </x:c>
      <x:c r="M55" s="31" t="n">
        <x:f>IFERROR(VLOOKUP($A55,Stock!$A$5:$K$200,11,FALSE()),0)</x:f>
        <x:v>0</x:v>
      </x:c>
      <x:c r="N55" s="31">
        <x:f t="shared" si="8"/>
        <x:v>0</x:v>
      </x:c>
      <x:c r="O55" s="31">
        <x:f t="shared" si="9"/>
        <x:v>0</x:v>
      </x:c>
      <x:c r="P55" s="50">
        <x:v>0</x:v>
      </x:c>
    </x:row>
    <x:row r="56" ht="14" customHeight="1">
      <x:c r="A56" t="s">
        <x:v>541</x:v>
      </x:c>
      <x:c r="B56" s="48" t="str">
        <x:f>IFERROR(VLOOKUP($A56,Parts!$A$2:$M$200,3,FALSE()),"")</x:f>
        <x:v>Schiebeschalter DPDT</x:v>
      </x:c>
      <x:c r="C56" t="str">
        <x:f>IFERROR(VLOOKUP($A56,Stock!$A$5:$I$200,8,FALSE()),"")</x:f>
        <x:v>Mouser</x:v>
      </x:c>
      <x:c r="D56" t="str">
        <x:f>IFERROR(VLOOKUP($A56,Stock!$A$5:$I$200,9,FALSE()),"")</x:f>
        <x:v>710-744383560068</x:v>
      </x:c>
      <x:c r="E56" s="31" t="n">
        <x:f>SUMIFS(Kit_BOM!$F$2:$F$204,Kit_BOM!$E$2:$E$204,$A56,Kit_BOM!$A$2:$A$204,$A$5,Kit_BOM!$G$2:$G$204,"Bestücken")*$C$5+SUMIFS(Kit_BOM!$F$2:$F$204,Kit_BOM!$E$2:$E$204,$A56,Kit_BOM!$A$2:$A$204,$A$5,Kit_BOM!$G$2:$G$204,"Mechanical")*$C$5+IF($F$5="Ja",SUMIFS(Kit_BOM!$F$2:$F$204,Kit_BOM!$E$2:$E$204,$A56,Kit_BOM!$A$2:$A$204,$A$5,Kit_BOM!$G$2:$G$204,"Optional")*$C$5,0)+IF($F$6="Ja",SUMIFS(Kit_BOM!$F$2:$F$204,Kit_BOM!$E$2:$E$204,$A56,Kit_BOM!$A$2:$A$204,$A$5,Kit_BOM!$G$2:$G$204,"DNP")*$C$5,0)+SUMIFS(Kit_BOM!$F$2:$F$204,Kit_BOM!$E$2:$E$204,$A56,Kit_BOM!$A$2:$A$204,$A$6,Kit_BOM!$G$2:$G$204,"Bestücken")*$C$6+SUMIFS(Kit_BOM!$F$2:$F$204,Kit_BOM!$E$2:$E$204,$A56,Kit_BOM!$A$2:$A$204,$A$6,Kit_BOM!$G$2:$G$204,"Mechanical")*$C$6+IF($F$5="Ja",SUMIFS(Kit_BOM!$F$2:$F$204,Kit_BOM!$E$2:$E$204,$A56,Kit_BOM!$A$2:$A$204,$A$6,Kit_BOM!$G$2:$G$204,"Optional")*$C$6,0)+IF($F$6="Ja",SUMIFS(Kit_BOM!$F$2:$F$204,Kit_BOM!$E$2:$E$204,$A56,Kit_BOM!$A$2:$A$204,$A$6,Kit_BOM!$G$2:$G$204,"DNP")*$C$6,0)+SUMIFS(Kit_BOM!$F$2:$F$204,Kit_BOM!$E$2:$E$204,$A56,Kit_BOM!$A$2:$A$204,$A$7,Kit_BOM!$G$2:$G$204,"Bestücken")*$C$7+SUMIFS(Kit_BOM!$F$2:$F$204,Kit_BOM!$E$2:$E$204,$A56,Kit_BOM!$A$2:$A$204,$A$7,Kit_BOM!$G$2:$G$204,"Mechanical")*$C$7+IF($F$5="Ja",SUMIFS(Kit_BOM!$F$2:$F$204,Kit_BOM!$E$2:$E$204,$A56,Kit_BOM!$A$2:$A$204,$A$7,Kit_BOM!$G$2:$G$204,"Optional")*$C$7,0)+IF($F$6="Ja",SUMIFS(Kit_BOM!$F$2:$F$204,Kit_BOM!$E$2:$E$204,$A56,Kit_BOM!$A$2:$A$204,$A$7,Kit_BOM!$G$2:$G$204,"DNP")*$C$7,0)+SUMIFS(Kit_BOM!$F$2:$F$204,Kit_BOM!$E$2:$E$204,$A56,Kit_BOM!$A$2:$A$204,$A$8,Kit_BOM!$G$2:$G$204,"Bestücken")*$C$8+SUMIFS(Kit_BOM!$F$2:$F$204,Kit_BOM!$E$2:$E$204,$A56,Kit_BOM!$A$2:$A$204,$A$8,Kit_BOM!$G$2:$G$204,"Mechanical")*$C$8+IF($F$5="Ja",SUMIFS(Kit_BOM!$F$2:$F$204,Kit_BOM!$E$2:$E$204,$A56,Kit_BOM!$A$2:$A$204,$A$8,Kit_BOM!$G$2:$G$204,"Optional")*$C$8,0)+IF($F$6="Ja",SUMIFS(Kit_BOM!$F$2:$F$204,Kit_BOM!$E$2:$E$204,$A56,Kit_BOM!$A$2:$A$204,$A$8,Kit_BOM!$G$2:$G$204,"DNP")*$C$8,0)</x:f>
        <x:v>0</x:v>
      </x:c>
      <x:c r="F56" s="31" t="str">
        <x:f>IFERROR(IF(INDEX(Part_Suppliers!$G$2:$G$300,MATCH($A56&amp;"|"&amp;$C56,Part_Suppliers!$K$2:$K$300,0))=0,"",INDEX(Part_Suppliers!$G$2:$G$300,MATCH($A56&amp;"|"&amp;$C56,Part_Suppliers!$K$2:$K$300,0))),"")</x:f>
      </x:c>
      <x:c r="G56" s="31">
        <x:f t="shared" si="5"/>
        <x:v>0</x:v>
      </x:c>
      <x:c r="H56" s="49" t="n">
        <x:f>SUMIFS(Part_Suppliers!$E$2:$E$300,Part_Suppliers!$A$2:$A$300,$A56,Part_Suppliers!$B$2:$B$300,$C56)</x:f>
        <x:v>0.92</x:v>
      </x:c>
      <x:c r="I56" s="49">
        <x:f t="shared" si="6"/>
        <x:v>0</x:v>
      </x:c>
      <x:c r="J56" t="str">
        <x:f t="shared" si="7"/>
        <x:v>Nicht benötigt</x:v>
      </x:c>
      <x:c r="K56" t="str">
        <x:f>IFERROR(IF(INDEX(Part_Suppliers!$D$2:$D$300,MATCH($A56&amp;"|"&amp;$C56,Part_Suppliers!$K$2:$K$300,0))=0,"",INDEX(Part_Suppliers!$D$2:$D$300,MATCH($A56&amp;"|"&amp;$C56,Part_Suppliers!$K$2:$K$300,0))),"")</x:f>
        <x:v>https://eu.mouser.com/en/ProductDetail/Wurth-Elektronik/744383560068</x:v>
      </x:c>
      <x:c r="L56" s="31" t="n">
        <x:f>IFERROR(VLOOKUP($A56,Stock!$A$5:$K$200,10,FALSE()),0)</x:f>
        <x:v>0</x:v>
      </x:c>
      <x:c r="M56" s="31" t="n">
        <x:f>IFERROR(VLOOKUP($A56,Stock!$A$5:$K$200,11,FALSE()),0)</x:f>
        <x:v>0</x:v>
      </x:c>
      <x:c r="N56" s="31">
        <x:f t="shared" si="8"/>
        <x:v>0</x:v>
      </x:c>
      <x:c r="O56" s="31">
        <x:f t="shared" si="9"/>
        <x:v>0</x:v>
      </x:c>
      <x:c r="P56" s="50">
        <x:v>0</x:v>
      </x:c>
    </x:row>
    <x:row r="57" ht="14" customHeight="1">
      <x:c r="A57" t="s">
        <x:v>551</x:v>
      </x:c>
      <x:c r="B57" s="48" t="str">
        <x:f>IFERROR(VLOOKUP($A57,Parts!$A$2:$M$200,3,FALSE()),"")</x:f>
        <x:v>Boost-Regler LT8330</x:v>
      </x:c>
      <x:c r="C57" t="str">
        <x:f>IFERROR(VLOOKUP($A57,Stock!$A$5:$I$200,8,FALSE()),"")</x:f>
        <x:v>Mouser</x:v>
      </x:c>
      <x:c r="D57" t="str">
        <x:f>IFERROR(VLOOKUP($A57,Stock!$A$5:$I$200,9,FALSE()),"")</x:f>
        <x:v>710-744383560068</x:v>
      </x:c>
      <x:c r="E57" s="31" t="n">
        <x:f>SUMIFS(Kit_BOM!$F$2:$F$204,Kit_BOM!$E$2:$E$204,$A57,Kit_BOM!$A$2:$A$204,$A$5,Kit_BOM!$G$2:$G$204,"Bestücken")*$C$5+SUMIFS(Kit_BOM!$F$2:$F$204,Kit_BOM!$E$2:$E$204,$A57,Kit_BOM!$A$2:$A$204,$A$5,Kit_BOM!$G$2:$G$204,"Mechanical")*$C$5+IF($F$5="Ja",SUMIFS(Kit_BOM!$F$2:$F$204,Kit_BOM!$E$2:$E$204,$A57,Kit_BOM!$A$2:$A$204,$A$5,Kit_BOM!$G$2:$G$204,"Optional")*$C$5,0)+IF($F$6="Ja",SUMIFS(Kit_BOM!$F$2:$F$204,Kit_BOM!$E$2:$E$204,$A57,Kit_BOM!$A$2:$A$204,$A$5,Kit_BOM!$G$2:$G$204,"DNP")*$C$5,0)+SUMIFS(Kit_BOM!$F$2:$F$204,Kit_BOM!$E$2:$E$204,$A57,Kit_BOM!$A$2:$A$204,$A$6,Kit_BOM!$G$2:$G$204,"Bestücken")*$C$6+SUMIFS(Kit_BOM!$F$2:$F$204,Kit_BOM!$E$2:$E$204,$A57,Kit_BOM!$A$2:$A$204,$A$6,Kit_BOM!$G$2:$G$204,"Mechanical")*$C$6+IF($F$5="Ja",SUMIFS(Kit_BOM!$F$2:$F$204,Kit_BOM!$E$2:$E$204,$A57,Kit_BOM!$A$2:$A$204,$A$6,Kit_BOM!$G$2:$G$204,"Optional")*$C$6,0)+IF($F$6="Ja",SUMIFS(Kit_BOM!$F$2:$F$204,Kit_BOM!$E$2:$E$204,$A57,Kit_BOM!$A$2:$A$204,$A$6,Kit_BOM!$G$2:$G$204,"DNP")*$C$6,0)+SUMIFS(Kit_BOM!$F$2:$F$204,Kit_BOM!$E$2:$E$204,$A57,Kit_BOM!$A$2:$A$204,$A$7,Kit_BOM!$G$2:$G$204,"Bestücken")*$C$7+SUMIFS(Kit_BOM!$F$2:$F$204,Kit_BOM!$E$2:$E$204,$A57,Kit_BOM!$A$2:$A$204,$A$7,Kit_BOM!$G$2:$G$204,"Mechanical")*$C$7+IF($F$5="Ja",SUMIFS(Kit_BOM!$F$2:$F$204,Kit_BOM!$E$2:$E$204,$A57,Kit_BOM!$A$2:$A$204,$A$7,Kit_BOM!$G$2:$G$204,"Optional")*$C$7,0)+IF($F$6="Ja",SUMIFS(Kit_BOM!$F$2:$F$204,Kit_BOM!$E$2:$E$204,$A57,Kit_BOM!$A$2:$A$204,$A$7,Kit_BOM!$G$2:$G$204,"DNP")*$C$7,0)+SUMIFS(Kit_BOM!$F$2:$F$204,Kit_BOM!$E$2:$E$204,$A57,Kit_BOM!$A$2:$A$204,$A$8,Kit_BOM!$G$2:$G$204,"Bestücken")*$C$8+SUMIFS(Kit_BOM!$F$2:$F$204,Kit_BOM!$E$2:$E$204,$A57,Kit_BOM!$A$2:$A$204,$A$8,Kit_BOM!$G$2:$G$204,"Mechanical")*$C$8+IF($F$5="Ja",SUMIFS(Kit_BOM!$F$2:$F$204,Kit_BOM!$E$2:$E$204,$A57,Kit_BOM!$A$2:$A$204,$A$8,Kit_BOM!$G$2:$G$204,"Optional")*$C$8,0)+IF($F$6="Ja",SUMIFS(Kit_BOM!$F$2:$F$204,Kit_BOM!$E$2:$E$204,$A57,Kit_BOM!$A$2:$A$204,$A$8,Kit_BOM!$G$2:$G$204,"DNP")*$C$8,0)</x:f>
        <x:v>0</x:v>
      </x:c>
      <x:c r="F57" s="31" t="str">
        <x:f>IFERROR(IF(INDEX(Part_Suppliers!$G$2:$G$300,MATCH($A57&amp;"|"&amp;$C57,Part_Suppliers!$K$2:$K$300,0))=0,"",INDEX(Part_Suppliers!$G$2:$G$300,MATCH($A57&amp;"|"&amp;$C57,Part_Suppliers!$K$2:$K$300,0))),"")</x:f>
      </x:c>
      <x:c r="G57" s="31">
        <x:f t="shared" si="5"/>
        <x:v>0</x:v>
      </x:c>
      <x:c r="H57" s="49" t="n">
        <x:f>SUMIFS(Part_Suppliers!$E$2:$E$300,Part_Suppliers!$A$2:$A$300,$A57,Part_Suppliers!$B$2:$B$300,$C57)</x:f>
        <x:v>7.11</x:v>
      </x:c>
      <x:c r="I57" s="49">
        <x:f t="shared" si="6"/>
        <x:v>0</x:v>
      </x:c>
      <x:c r="J57" t="str">
        <x:f t="shared" si="7"/>
        <x:v>Nicht benötigt</x:v>
      </x:c>
      <x:c r="K57" t="str">
        <x:f>IFERROR(IF(INDEX(Part_Suppliers!$D$2:$D$300,MATCH($A57&amp;"|"&amp;$C57,Part_Suppliers!$K$2:$K$300,0))=0,"",INDEX(Part_Suppliers!$D$2:$D$300,MATCH($A57&amp;"|"&amp;$C57,Part_Suppliers!$K$2:$K$300,0))),"")</x:f>
        <x:v>https://eu.mouser.com/en/ProductDetail/Wurth-Elektronik/744383560068</x:v>
      </x:c>
      <x:c r="L57" s="31" t="n">
        <x:f>IFERROR(VLOOKUP($A57,Stock!$A$5:$K$200,10,FALSE()),0)</x:f>
        <x:v>0</x:v>
      </x:c>
      <x:c r="M57" s="31" t="n">
        <x:f>IFERROR(VLOOKUP($A57,Stock!$A$5:$K$200,11,FALSE()),0)</x:f>
        <x:v>0</x:v>
      </x:c>
      <x:c r="N57" s="31">
        <x:f t="shared" si="8"/>
        <x:v>0</x:v>
      </x:c>
      <x:c r="O57" s="31">
        <x:f t="shared" si="9"/>
        <x:v>0</x:v>
      </x:c>
      <x:c r="P57" s="50">
        <x:v>0</x:v>
      </x:c>
    </x:row>
    <x:row r="58" ht="14" customHeight="1">
      <x:c r="A58" t="s">
        <x:v>560</x:v>
      </x:c>
      <x:c r="B58" s="48" t="str">
        <x:f>IFERROR(VLOOKUP($A58,Parts!$A$2:$M$200,3,FALSE()),"")</x:f>
        <x:v>AnalogHydroPressure FullSize PCB Rev 0.2</x:v>
      </x:c>
      <x:c r="C58" t="str">
        <x:f>IFERROR(VLOOKUP($A58,Stock!$A$5:$I$200,8,FALSE()),"")</x:f>
        <x:v>JLCPCB</x:v>
      </x:c>
      <x:c r="D58" t="str">
        <x:f>IFERROR(VLOOKUP($A58,Stock!$A$5:$I$200,9,FALSE()),"")</x:f>
      </x:c>
      <x:c r="E58" s="31" t="n">
        <x:f>SUMIFS(Kit_BOM!$F$2:$F$204,Kit_BOM!$E$2:$E$204,$A58,Kit_BOM!$A$2:$A$204,$A$5,Kit_BOM!$G$2:$G$204,"Bestücken")*$C$5+SUMIFS(Kit_BOM!$F$2:$F$204,Kit_BOM!$E$2:$E$204,$A58,Kit_BOM!$A$2:$A$204,$A$5,Kit_BOM!$G$2:$G$204,"Mechanical")*$C$5+IF($F$5="Ja",SUMIFS(Kit_BOM!$F$2:$F$204,Kit_BOM!$E$2:$E$204,$A58,Kit_BOM!$A$2:$A$204,$A$5,Kit_BOM!$G$2:$G$204,"Optional")*$C$5,0)+IF($F$6="Ja",SUMIFS(Kit_BOM!$F$2:$F$204,Kit_BOM!$E$2:$E$204,$A58,Kit_BOM!$A$2:$A$204,$A$5,Kit_BOM!$G$2:$G$204,"DNP")*$C$5,0)+SUMIFS(Kit_BOM!$F$2:$F$204,Kit_BOM!$E$2:$E$204,$A58,Kit_BOM!$A$2:$A$204,$A$6,Kit_BOM!$G$2:$G$204,"Bestücken")*$C$6+SUMIFS(Kit_BOM!$F$2:$F$204,Kit_BOM!$E$2:$E$204,$A58,Kit_BOM!$A$2:$A$204,$A$6,Kit_BOM!$G$2:$G$204,"Mechanical")*$C$6+IF($F$5="Ja",SUMIFS(Kit_BOM!$F$2:$F$204,Kit_BOM!$E$2:$E$204,$A58,Kit_BOM!$A$2:$A$204,$A$6,Kit_BOM!$G$2:$G$204,"Optional")*$C$6,0)+IF($F$6="Ja",SUMIFS(Kit_BOM!$F$2:$F$204,Kit_BOM!$E$2:$E$204,$A58,Kit_BOM!$A$2:$A$204,$A$6,Kit_BOM!$G$2:$G$204,"DNP")*$C$6,0)+SUMIFS(Kit_BOM!$F$2:$F$204,Kit_BOM!$E$2:$E$204,$A58,Kit_BOM!$A$2:$A$204,$A$7,Kit_BOM!$G$2:$G$204,"Bestücken")*$C$7+SUMIFS(Kit_BOM!$F$2:$F$204,Kit_BOM!$E$2:$E$204,$A58,Kit_BOM!$A$2:$A$204,$A$7,Kit_BOM!$G$2:$G$204,"Mechanical")*$C$7+IF($F$5="Ja",SUMIFS(Kit_BOM!$F$2:$F$204,Kit_BOM!$E$2:$E$204,$A58,Kit_BOM!$A$2:$A$204,$A$7,Kit_BOM!$G$2:$G$204,"Optional")*$C$7,0)+IF($F$6="Ja",SUMIFS(Kit_BOM!$F$2:$F$204,Kit_BOM!$E$2:$E$204,$A58,Kit_BOM!$A$2:$A$204,$A$7,Kit_BOM!$G$2:$G$204,"DNP")*$C$7,0)+SUMIFS(Kit_BOM!$F$2:$F$204,Kit_BOM!$E$2:$E$204,$A58,Kit_BOM!$A$2:$A$204,$A$8,Kit_BOM!$G$2:$G$204,"Bestücken")*$C$8+SUMIFS(Kit_BOM!$F$2:$F$204,Kit_BOM!$E$2:$E$204,$A58,Kit_BOM!$A$2:$A$204,$A$8,Kit_BOM!$G$2:$G$204,"Mechanical")*$C$8+IF($F$5="Ja",SUMIFS(Kit_BOM!$F$2:$F$204,Kit_BOM!$E$2:$E$204,$A58,Kit_BOM!$A$2:$A$204,$A$8,Kit_BOM!$G$2:$G$204,"Optional")*$C$8,0)+IF($F$6="Ja",SUMIFS(Kit_BOM!$F$2:$F$204,Kit_BOM!$E$2:$E$204,$A58,Kit_BOM!$A$2:$A$204,$A$8,Kit_BOM!$G$2:$G$204,"DNP")*$C$8,0)</x:f>
        <x:v>0</x:v>
      </x:c>
      <x:c r="F58" s="31" t="n">
        <x:f>IFERROR(IF(INDEX(Part_Suppliers!$G$2:$G$300,MATCH($A58&amp;"|"&amp;$C58,Part_Suppliers!$K$2:$K$300,0))=0,"",INDEX(Part_Suppliers!$G$2:$G$300,MATCH($A58&amp;"|"&amp;$C58,Part_Suppliers!$K$2:$K$300,0))),"")</x:f>
        <x:v>5</x:v>
      </x:c>
      <x:c r="G58" s="31">
        <x:f t="shared" si="5"/>
        <x:v>0</x:v>
      </x:c>
      <x:c r="H58" s="49" t="n">
        <x:f>SUMIFS(Part_Suppliers!$E$2:$E$300,Part_Suppliers!$A$2:$A$300,$A58,Part_Suppliers!$B$2:$B$300,$C58)</x:f>
        <x:v>0</x:v>
      </x:c>
      <x:c r="I58" s="49">
        <x:f t="shared" si="6"/>
        <x:v>0</x:v>
      </x:c>
      <x:c r="J58" t="str">
        <x:f t="shared" si="7"/>
        <x:v>Nicht benötigt</x:v>
      </x:c>
      <x:c r="K58" t="str">
        <x:f>IFERROR(IF(INDEX(Part_Suppliers!$D$2:$D$300,MATCH($A58&amp;"|"&amp;$C58,Part_Suppliers!$K$2:$K$300,0))=0,"",INDEX(Part_Suppliers!$D$2:$D$300,MATCH($A58&amp;"|"&amp;$C58,Part_Suppliers!$K$2:$K$300,0))),"")</x:f>
        <x:v>https://jlcpcb.com/file/download?uuid=eef69d2d694441c8ab71168d8447cb4c&amp;businessType=example</x:v>
      </x:c>
      <x:c r="L58" s="31" t="n">
        <x:f>IFERROR(VLOOKUP($A58,Stock!$A$5:$K$200,10,FALSE()),0)</x:f>
        <x:v>0</x:v>
      </x:c>
      <x:c r="M58" s="31" t="n">
        <x:f>IFERROR(VLOOKUP($A58,Stock!$A$5:$K$200,11,FALSE()),0)</x:f>
        <x:v>0</x:v>
      </x:c>
      <x:c r="N58" s="31">
        <x:f t="shared" si="8"/>
        <x:v>0</x:v>
      </x:c>
      <x:c r="O58" s="31">
        <x:f t="shared" si="9"/>
        <x:v>0</x:v>
      </x:c>
      <x:c r="P58" s="50">
        <x:v>0</x:v>
      </x:c>
    </x:row>
    <x:row r="59" ht="14" customHeight="1">
      <x:c r="A59" t="s">
        <x:v>585</x:v>
      </x:c>
      <x:c r="B59" t="str">
        <x:f>IFERROR(VLOOKUP($A59,Parts!$A$2:$M$200,3,FALSE()),"")</x:f>
        <x:v>WEIPU SP13 Gehäusebuchse, 2-polig</x:v>
      </x:c>
      <x:c r="C59" t="str">
        <x:f>IFERROR(VLOOKUP($A59,Stock!$A$5:$I$200,8,FALSE()),"")</x:f>
        <x:v>Noch festlegen</x:v>
      </x:c>
      <x:c r="D59" t="str">
        <x:f>IFERROR(VLOOKUP($A59,Stock!$A$5:$I$200,9,FALSE()),"")</x:f>
      </x:c>
      <x:c r="E59" t="n">
        <x:f>SUMIFS(Kit_BOM!$F$2:$F$204,Kit_BOM!$E$2:$E$204,$A59,Kit_BOM!$A$2:$A$204,$A$5,Kit_BOM!$G$2:$G$204,"Bestücken")*$C$5+SUMIFS(Kit_BOM!$F$2:$F$204,Kit_BOM!$E$2:$E$204,$A59,Kit_BOM!$A$2:$A$204,$A$5,Kit_BOM!$G$2:$G$204,"Mechanical")*$C$5+IF($F$5="Ja",SUMIFS(Kit_BOM!$F$2:$F$204,Kit_BOM!$E$2:$E$204,$A59,Kit_BOM!$A$2:$A$204,$A$5,Kit_BOM!$G$2:$G$204,"Optional")*$C$5,0)+IF($F$6="Ja",SUMIFS(Kit_BOM!$F$2:$F$204,Kit_BOM!$E$2:$E$204,$A59,Kit_BOM!$A$2:$A$204,$A$5,Kit_BOM!$G$2:$G$204,"DNP")*$C$5,0)+SUMIFS(Kit_BOM!$F$2:$F$204,Kit_BOM!$E$2:$E$204,$A59,Kit_BOM!$A$2:$A$204,$A$6,Kit_BOM!$G$2:$G$204,"Bestücken")*$C$6+SUMIFS(Kit_BOM!$F$2:$F$204,Kit_BOM!$E$2:$E$204,$A59,Kit_BOM!$A$2:$A$204,$A$6,Kit_BOM!$G$2:$G$204,"Mechanical")*$C$6+IF($F$5="Ja",SUMIFS(Kit_BOM!$F$2:$F$204,Kit_BOM!$E$2:$E$204,$A59,Kit_BOM!$A$2:$A$204,$A$6,Kit_BOM!$G$2:$G$204,"Optional")*$C$6,0)+IF($F$6="Ja",SUMIFS(Kit_BOM!$F$2:$F$204,Kit_BOM!$E$2:$E$204,$A59,Kit_BOM!$A$2:$A$204,$A$6,Kit_BOM!$G$2:$G$204,"DNP")*$C$6,0)+SUMIFS(Kit_BOM!$F$2:$F$204,Kit_BOM!$E$2:$E$204,$A59,Kit_BOM!$A$2:$A$204,$A$7,Kit_BOM!$G$2:$G$204,"Bestücken")*$C$7+SUMIFS(Kit_BOM!$F$2:$F$204,Kit_BOM!$E$2:$E$204,$A59,Kit_BOM!$A$2:$A$204,$A$7,Kit_BOM!$G$2:$G$204,"Mechanical")*$C$7+IF($F$5="Ja",SUMIFS(Kit_BOM!$F$2:$F$204,Kit_BOM!$E$2:$E$204,$A59,Kit_BOM!$A$2:$A$204,$A$7,Kit_BOM!$G$2:$G$204,"Optional")*$C$7,0)+IF($F$6="Ja",SUMIFS(Kit_BOM!$F$2:$F$204,Kit_BOM!$E$2:$E$204,$A59,Kit_BOM!$A$2:$A$204,$A$7,Kit_BOM!$G$2:$G$204,"DNP")*$C$7,0)+SUMIFS(Kit_BOM!$F$2:$F$204,Kit_BOM!$E$2:$E$204,$A59,Kit_BOM!$A$2:$A$204,$A$8,Kit_BOM!$G$2:$G$204,"Bestücken")*$C$8+SUMIFS(Kit_BOM!$F$2:$F$204,Kit_BOM!$E$2:$E$204,$A59,Kit_BOM!$A$2:$A$204,$A$8,Kit_BOM!$G$2:$G$204,"Mechanical")*$C$8+IF($F$5="Ja",SUMIFS(Kit_BOM!$F$2:$F$204,Kit_BOM!$E$2:$E$204,$A59,Kit_BOM!$A$2:$A$204,$A$8,Kit_BOM!$G$2:$G$204,"Optional")*$C$8,0)+IF($F$6="Ja",SUMIFS(Kit_BOM!$F$2:$F$204,Kit_BOM!$E$2:$E$204,$A59,Kit_BOM!$A$2:$A$204,$A$8,Kit_BOM!$G$2:$G$204,"DNP")*$C$8,0)</x:f>
        <x:v>1</x:v>
      </x:c>
      <x:c r="F59" t="n">
        <x:f>IFERROR(IF(INDEX(Part_Suppliers!$G$2:$G$300,MATCH($A59&amp;"|"&amp;$C59,Part_Suppliers!$K$2:$K$300,0))=0,"",INDEX(Part_Suppliers!$G$2:$G$300,MATCH($A59&amp;"|"&amp;$C59,Part_Suppliers!$K$2:$K$300,0))),"")</x:f>
        <x:v>3</x:v>
      </x:c>
      <x:c r="G59">
        <x:f t="shared" si="5"/>
        <x:v>1</x:v>
      </x:c>
      <x:c r="H59" t="n">
        <x:f>SUMIFS(Part_Suppliers!$E$2:$E$300,Part_Suppliers!$A$2:$A$300,$A59,Part_Suppliers!$B$2:$B$300,$C59)</x:f>
        <x:v>0</x:v>
      </x:c>
      <x:c r="I59" s="49">
        <x:f t="shared" si="6"/>
        <x:v>0</x:v>
      </x:c>
      <x:c r="J59" t="str">
        <x:f t="shared" si="7"/>
        <x:v>Anderer Lieferant</x:v>
      </x:c>
      <x:c r="K59" t="str">
        <x:f>IFERROR(IF(INDEX(Part_Suppliers!$D$2:$D$300,MATCH($A59&amp;"|"&amp;$C59,Part_Suppliers!$K$2:$K$300,0))=0,"",INDEX(Part_Suppliers!$D$2:$D$300,MATCH($A59&amp;"|"&amp;$C59,Part_Suppliers!$K$2:$K$300,0))),"")</x:f>
      </x:c>
      <x:c r="L59" s="51" t="n">
        <x:f>IFERROR(VLOOKUP($A59,Stock!$A$5:$K$200,10,FALSE()),0)</x:f>
        <x:v>0</x:v>
      </x:c>
      <x:c r="M59" s="51" t="n">
        <x:f>IFERROR(VLOOKUP($A59,Stock!$A$5:$K$200,11,FALSE()),0)</x:f>
        <x:v>0</x:v>
      </x:c>
      <x:c r="N59" s="51">
        <x:f t="shared" si="8"/>
        <x:v>-1</x:v>
      </x:c>
      <x:c r="O59" s="51">
        <x:f t="shared" si="9"/>
        <x:v>1</x:v>
      </x:c>
      <x:c r="P59" s="51">
        <x:v>0</x:v>
      </x:c>
    </x:row>
    <x:row r="60" ht="14" customHeight="1">
      <x:c r="A60" t="s">
        <x:v>593</x:v>
      </x:c>
      <x:c r="B60" t="str">
        <x:f>IFERROR(VLOOKUP($A60,Parts!$A$2:$M$200,3,FALSE()),"")</x:f>
        <x:v>WEIPU SP13 Kabelstecker, 2-polig</x:v>
      </x:c>
      <x:c r="C60" t="str">
        <x:f>IFERROR(VLOOKUP($A60,Stock!$A$5:$I$200,8,FALSE()),"")</x:f>
        <x:v>Noch festlegen</x:v>
      </x:c>
      <x:c r="D60" t="str">
        <x:f>IFERROR(VLOOKUP($A60,Stock!$A$5:$I$200,9,FALSE()),"")</x:f>
      </x:c>
      <x:c r="E60" t="n">
        <x:f>SUMIFS(Kit_BOM!$F$2:$F$204,Kit_BOM!$E$2:$E$204,$A60,Kit_BOM!$A$2:$A$204,$A$5,Kit_BOM!$G$2:$G$204,"Bestücken")*$C$5+SUMIFS(Kit_BOM!$F$2:$F$204,Kit_BOM!$E$2:$E$204,$A60,Kit_BOM!$A$2:$A$204,$A$5,Kit_BOM!$G$2:$G$204,"Mechanical")*$C$5+IF($F$5="Ja",SUMIFS(Kit_BOM!$F$2:$F$204,Kit_BOM!$E$2:$E$204,$A60,Kit_BOM!$A$2:$A$204,$A$5,Kit_BOM!$G$2:$G$204,"Optional")*$C$5,0)+IF($F$6="Ja",SUMIFS(Kit_BOM!$F$2:$F$204,Kit_BOM!$E$2:$E$204,$A60,Kit_BOM!$A$2:$A$204,$A$5,Kit_BOM!$G$2:$G$204,"DNP")*$C$5,0)+SUMIFS(Kit_BOM!$F$2:$F$204,Kit_BOM!$E$2:$E$204,$A60,Kit_BOM!$A$2:$A$204,$A$6,Kit_BOM!$G$2:$G$204,"Bestücken")*$C$6+SUMIFS(Kit_BOM!$F$2:$F$204,Kit_BOM!$E$2:$E$204,$A60,Kit_BOM!$A$2:$A$204,$A$6,Kit_BOM!$G$2:$G$204,"Mechanical")*$C$6+IF($F$5="Ja",SUMIFS(Kit_BOM!$F$2:$F$204,Kit_BOM!$E$2:$E$204,$A60,Kit_BOM!$A$2:$A$204,$A$6,Kit_BOM!$G$2:$G$204,"Optional")*$C$6,0)+IF($F$6="Ja",SUMIFS(Kit_BOM!$F$2:$F$204,Kit_BOM!$E$2:$E$204,$A60,Kit_BOM!$A$2:$A$204,$A$6,Kit_BOM!$G$2:$G$204,"DNP")*$C$6,0)+SUMIFS(Kit_BOM!$F$2:$F$204,Kit_BOM!$E$2:$E$204,$A60,Kit_BOM!$A$2:$A$204,$A$7,Kit_BOM!$G$2:$G$204,"Bestücken")*$C$7+SUMIFS(Kit_BOM!$F$2:$F$204,Kit_BOM!$E$2:$E$204,$A60,Kit_BOM!$A$2:$A$204,$A$7,Kit_BOM!$G$2:$G$204,"Mechanical")*$C$7+IF($F$5="Ja",SUMIFS(Kit_BOM!$F$2:$F$204,Kit_BOM!$E$2:$E$204,$A60,Kit_BOM!$A$2:$A$204,$A$7,Kit_BOM!$G$2:$G$204,"Optional")*$C$7,0)+IF($F$6="Ja",SUMIFS(Kit_BOM!$F$2:$F$204,Kit_BOM!$E$2:$E$204,$A60,Kit_BOM!$A$2:$A$204,$A$7,Kit_BOM!$G$2:$G$204,"DNP")*$C$7,0)+SUMIFS(Kit_BOM!$F$2:$F$204,Kit_BOM!$E$2:$E$204,$A60,Kit_BOM!$A$2:$A$204,$A$8,Kit_BOM!$G$2:$G$204,"Bestücken")*$C$8+SUMIFS(Kit_BOM!$F$2:$F$204,Kit_BOM!$E$2:$E$204,$A60,Kit_BOM!$A$2:$A$204,$A$8,Kit_BOM!$G$2:$G$204,"Mechanical")*$C$8+IF($F$5="Ja",SUMIFS(Kit_BOM!$F$2:$F$204,Kit_BOM!$E$2:$E$204,$A60,Kit_BOM!$A$2:$A$204,$A$8,Kit_BOM!$G$2:$G$204,"Optional")*$C$8,0)+IF($F$6="Ja",SUMIFS(Kit_BOM!$F$2:$F$204,Kit_BOM!$E$2:$E$204,$A60,Kit_BOM!$A$2:$A$204,$A$8,Kit_BOM!$G$2:$G$204,"DNP")*$C$8,0)</x:f>
        <x:v>1</x:v>
      </x:c>
      <x:c r="F60" t="n">
        <x:f>IFERROR(IF(INDEX(Part_Suppliers!$G$2:$G$300,MATCH($A60&amp;"|"&amp;$C60,Part_Suppliers!$K$2:$K$300,0))=0,"",INDEX(Part_Suppliers!$G$2:$G$300,MATCH($A60&amp;"|"&amp;$C60,Part_Suppliers!$K$2:$K$300,0))),"")</x:f>
        <x:v>3</x:v>
      </x:c>
      <x:c r="G60">
        <x:f t="shared" si="5"/>
        <x:v>1</x:v>
      </x:c>
      <x:c r="H60" t="n">
        <x:f>SUMIFS(Part_Suppliers!$E$2:$E$300,Part_Suppliers!$A$2:$A$300,$A60,Part_Suppliers!$B$2:$B$300,$C60)</x:f>
        <x:v>0</x:v>
      </x:c>
      <x:c r="I60">
        <x:f t="shared" si="6"/>
        <x:v>0</x:v>
      </x:c>
      <x:c r="J60" t="str">
        <x:f t="shared" si="7"/>
        <x:v>Anderer Lieferant</x:v>
      </x:c>
      <x:c r="K60" t="str">
        <x:f>IFERROR(IF(INDEX(Part_Suppliers!$D$2:$D$300,MATCH($A60&amp;"|"&amp;$C60,Part_Suppliers!$K$2:$K$300,0))=0,"",INDEX(Part_Suppliers!$D$2:$D$300,MATCH($A60&amp;"|"&amp;$C60,Part_Suppliers!$K$2:$K$300,0))),"")</x:f>
      </x:c>
      <x:c r="L60" t="n">
        <x:f>IFERROR(VLOOKUP($A60,Stock!$A$5:$K$200,10,FALSE()),0)</x:f>
        <x:v>0</x:v>
      </x:c>
      <x:c r="M60" t="n">
        <x:f>IFERROR(VLOOKUP($A60,Stock!$A$5:$K$200,11,FALSE()),0)</x:f>
        <x:v>0</x:v>
      </x:c>
      <x:c r="N60">
        <x:f t="shared" si="8"/>
        <x:v>-1</x:v>
      </x:c>
      <x:c r="O60">
        <x:f t="shared" si="9"/>
        <x:v>1</x:v>
      </x:c>
      <x:c r="P60">
        <x:v>0</x:v>
      </x:c>
    </x:row>
    <x:row r="61" ht="14" customHeight="1">
      <x:c r="A61" t="s">
        <x:v>608</x:v>
      </x:c>
      <x:c r="B61" t="str">
        <x:f>IFERROR(VLOOKUP($A61,Parts!$A$2:$M$200,3,FALSE()),"")</x:f>
        <x:v>WEIPU SP13 Gehäusebuchse, 4-polig</x:v>
      </x:c>
      <x:c r="C61" t="str">
        <x:f>IFERROR(VLOOKUP($A61,Stock!$A$5:$I$200,8,FALSE()),"")</x:f>
        <x:v>Noch festlegen</x:v>
      </x:c>
      <x:c r="D61" t="str">
        <x:f>IFERROR(VLOOKUP($A61,Stock!$A$5:$I$200,9,FALSE()),"")</x:f>
      </x:c>
      <x:c r="E61" t="n">
        <x:f>SUMIFS(Kit_BOM!$F$2:$F$204,Kit_BOM!$E$2:$E$204,$A61,Kit_BOM!$A$2:$A$204,$A$5,Kit_BOM!$G$2:$G$204,"Bestücken")*$C$5+SUMIFS(Kit_BOM!$F$2:$F$204,Kit_BOM!$E$2:$E$204,$A61,Kit_BOM!$A$2:$A$204,$A$5,Kit_BOM!$G$2:$G$204,"Mechanical")*$C$5+IF($F$5="Ja",SUMIFS(Kit_BOM!$F$2:$F$204,Kit_BOM!$E$2:$E$204,$A61,Kit_BOM!$A$2:$A$204,$A$5,Kit_BOM!$G$2:$G$204,"Optional")*$C$5,0)+IF($F$6="Ja",SUMIFS(Kit_BOM!$F$2:$F$204,Kit_BOM!$E$2:$E$204,$A61,Kit_BOM!$A$2:$A$204,$A$5,Kit_BOM!$G$2:$G$204,"DNP")*$C$5,0)+SUMIFS(Kit_BOM!$F$2:$F$204,Kit_BOM!$E$2:$E$204,$A61,Kit_BOM!$A$2:$A$204,$A$6,Kit_BOM!$G$2:$G$204,"Bestücken")*$C$6+SUMIFS(Kit_BOM!$F$2:$F$204,Kit_BOM!$E$2:$E$204,$A61,Kit_BOM!$A$2:$A$204,$A$6,Kit_BOM!$G$2:$G$204,"Mechanical")*$C$6+IF($F$5="Ja",SUMIFS(Kit_BOM!$F$2:$F$204,Kit_BOM!$E$2:$E$204,$A61,Kit_BOM!$A$2:$A$204,$A$6,Kit_BOM!$G$2:$G$204,"Optional")*$C$6,0)+IF($F$6="Ja",SUMIFS(Kit_BOM!$F$2:$F$204,Kit_BOM!$E$2:$E$204,$A61,Kit_BOM!$A$2:$A$204,$A$6,Kit_BOM!$G$2:$G$204,"DNP")*$C$6,0)+SUMIFS(Kit_BOM!$F$2:$F$204,Kit_BOM!$E$2:$E$204,$A61,Kit_BOM!$A$2:$A$204,$A$7,Kit_BOM!$G$2:$G$204,"Bestücken")*$C$7+SUMIFS(Kit_BOM!$F$2:$F$204,Kit_BOM!$E$2:$E$204,$A61,Kit_BOM!$A$2:$A$204,$A$7,Kit_BOM!$G$2:$G$204,"Mechanical")*$C$7+IF($F$5="Ja",SUMIFS(Kit_BOM!$F$2:$F$204,Kit_BOM!$E$2:$E$204,$A61,Kit_BOM!$A$2:$A$204,$A$7,Kit_BOM!$G$2:$G$204,"Optional")*$C$7,0)+IF($F$6="Ja",SUMIFS(Kit_BOM!$F$2:$F$204,Kit_BOM!$E$2:$E$204,$A61,Kit_BOM!$A$2:$A$204,$A$7,Kit_BOM!$G$2:$G$204,"DNP")*$C$7,0)+SUMIFS(Kit_BOM!$F$2:$F$204,Kit_BOM!$E$2:$E$204,$A61,Kit_BOM!$A$2:$A$204,$A$8,Kit_BOM!$G$2:$G$204,"Bestücken")*$C$8+SUMIFS(Kit_BOM!$F$2:$F$204,Kit_BOM!$E$2:$E$204,$A61,Kit_BOM!$A$2:$A$204,$A$8,Kit_BOM!$G$2:$G$204,"Mechanical")*$C$8+IF($F$5="Ja",SUMIFS(Kit_BOM!$F$2:$F$204,Kit_BOM!$E$2:$E$204,$A61,Kit_BOM!$A$2:$A$204,$A$8,Kit_BOM!$G$2:$G$204,"Optional")*$C$8,0)+IF($F$6="Ja",SUMIFS(Kit_BOM!$F$2:$F$204,Kit_BOM!$E$2:$E$204,$A61,Kit_BOM!$A$2:$A$204,$A$8,Kit_BOM!$G$2:$G$204,"DNP")*$C$8,0)</x:f>
        <x:v>1</x:v>
      </x:c>
      <x:c r="F61" t="n">
        <x:f>IFERROR(IF(INDEX(Part_Suppliers!$G$2:$G$300,MATCH($A61&amp;"|"&amp;$C61,Part_Suppliers!$K$2:$K$300,0))=0,"",INDEX(Part_Suppliers!$G$2:$G$300,MATCH($A61&amp;"|"&amp;$C61,Part_Suppliers!$K$2:$K$300,0))),"")</x:f>
        <x:v>3</x:v>
      </x:c>
      <x:c r="G61">
        <x:f t="shared" si="5"/>
        <x:v>1</x:v>
      </x:c>
      <x:c r="H61" t="n">
        <x:f>SUMIFS(Part_Suppliers!$E$2:$E$300,Part_Suppliers!$A$2:$A$300,$A61,Part_Suppliers!$B$2:$B$300,$C61)</x:f>
        <x:v>0</x:v>
      </x:c>
      <x:c r="I61">
        <x:f t="shared" si="6"/>
        <x:v>0</x:v>
      </x:c>
      <x:c r="J61" t="str">
        <x:f t="shared" si="7"/>
        <x:v>Anderer Lieferant</x:v>
      </x:c>
      <x:c r="K61" t="str">
        <x:f>IFERROR(IF(INDEX(Part_Suppliers!$D$2:$D$300,MATCH($A61&amp;"|"&amp;$C61,Part_Suppliers!$K$2:$K$300,0))=0,"",INDEX(Part_Suppliers!$D$2:$D$300,MATCH($A61&amp;"|"&amp;$C61,Part_Suppliers!$K$2:$K$300,0))),"")</x:f>
      </x:c>
      <x:c r="L61" t="n">
        <x:f>IFERROR(VLOOKUP($A61,Stock!$A$5:$K$200,10,FALSE()),0)</x:f>
        <x:v>0</x:v>
      </x:c>
      <x:c r="M61" t="n">
        <x:f>IFERROR(VLOOKUP($A61,Stock!$A$5:$K$200,11,FALSE()),0)</x:f>
        <x:v>0</x:v>
      </x:c>
      <x:c r="N61">
        <x:f t="shared" si="8"/>
        <x:v>-1</x:v>
      </x:c>
      <x:c r="O61">
        <x:f t="shared" si="9"/>
        <x:v>1</x:v>
      </x:c>
      <x:c r="P61">
        <x:v>0</x:v>
      </x:c>
    </x:row>
    <x:row r="62" ht="14" customHeight="1">
      <x:c r="A62" t="s">
        <x:v>613</x:v>
      </x:c>
      <x:c r="B62" t="str">
        <x:f>IFERROR(VLOOKUP($A62,Parts!$A$2:$M$200,3,FALSE()),"")</x:f>
        <x:v>WEIPU SP13 Kabelstecker, 4-polig</x:v>
      </x:c>
      <x:c r="C62" t="str">
        <x:f>IFERROR(VLOOKUP($A62,Stock!$A$5:$I$200,8,FALSE()),"")</x:f>
        <x:v>Noch festlegen</x:v>
      </x:c>
      <x:c r="D62" t="str">
        <x:f>IFERROR(VLOOKUP($A62,Stock!$A$5:$I$200,9,FALSE()),"")</x:f>
      </x:c>
      <x:c r="E62" t="n">
        <x:f>SUMIFS(Kit_BOM!$F$2:$F$204,Kit_BOM!$E$2:$E$204,$A62,Kit_BOM!$A$2:$A$204,$A$5,Kit_BOM!$G$2:$G$204,"Bestücken")*$C$5+SUMIFS(Kit_BOM!$F$2:$F$204,Kit_BOM!$E$2:$E$204,$A62,Kit_BOM!$A$2:$A$204,$A$5,Kit_BOM!$G$2:$G$204,"Mechanical")*$C$5+IF($F$5="Ja",SUMIFS(Kit_BOM!$F$2:$F$204,Kit_BOM!$E$2:$E$204,$A62,Kit_BOM!$A$2:$A$204,$A$5,Kit_BOM!$G$2:$G$204,"Optional")*$C$5,0)+IF($F$6="Ja",SUMIFS(Kit_BOM!$F$2:$F$204,Kit_BOM!$E$2:$E$204,$A62,Kit_BOM!$A$2:$A$204,$A$5,Kit_BOM!$G$2:$G$204,"DNP")*$C$5,0)+SUMIFS(Kit_BOM!$F$2:$F$204,Kit_BOM!$E$2:$E$204,$A62,Kit_BOM!$A$2:$A$204,$A$6,Kit_BOM!$G$2:$G$204,"Bestücken")*$C$6+SUMIFS(Kit_BOM!$F$2:$F$204,Kit_BOM!$E$2:$E$204,$A62,Kit_BOM!$A$2:$A$204,$A$6,Kit_BOM!$G$2:$G$204,"Mechanical")*$C$6+IF($F$5="Ja",SUMIFS(Kit_BOM!$F$2:$F$204,Kit_BOM!$E$2:$E$204,$A62,Kit_BOM!$A$2:$A$204,$A$6,Kit_BOM!$G$2:$G$204,"Optional")*$C$6,0)+IF($F$6="Ja",SUMIFS(Kit_BOM!$F$2:$F$204,Kit_BOM!$E$2:$E$204,$A62,Kit_BOM!$A$2:$A$204,$A$6,Kit_BOM!$G$2:$G$204,"DNP")*$C$6,0)+SUMIFS(Kit_BOM!$F$2:$F$204,Kit_BOM!$E$2:$E$204,$A62,Kit_BOM!$A$2:$A$204,$A$7,Kit_BOM!$G$2:$G$204,"Bestücken")*$C$7+SUMIFS(Kit_BOM!$F$2:$F$204,Kit_BOM!$E$2:$E$204,$A62,Kit_BOM!$A$2:$A$204,$A$7,Kit_BOM!$G$2:$G$204,"Mechanical")*$C$7+IF($F$5="Ja",SUMIFS(Kit_BOM!$F$2:$F$204,Kit_BOM!$E$2:$E$204,$A62,Kit_BOM!$A$2:$A$204,$A$7,Kit_BOM!$G$2:$G$204,"Optional")*$C$7,0)+IF($F$6="Ja",SUMIFS(Kit_BOM!$F$2:$F$204,Kit_BOM!$E$2:$E$204,$A62,Kit_BOM!$A$2:$A$204,$A$7,Kit_BOM!$G$2:$G$204,"DNP")*$C$7,0)+SUMIFS(Kit_BOM!$F$2:$F$204,Kit_BOM!$E$2:$E$204,$A62,Kit_BOM!$A$2:$A$204,$A$8,Kit_BOM!$G$2:$G$204,"Bestücken")*$C$8+SUMIFS(Kit_BOM!$F$2:$F$204,Kit_BOM!$E$2:$E$204,$A62,Kit_BOM!$A$2:$A$204,$A$8,Kit_BOM!$G$2:$G$204,"Mechanical")*$C$8+IF($F$5="Ja",SUMIFS(Kit_BOM!$F$2:$F$204,Kit_BOM!$E$2:$E$204,$A62,Kit_BOM!$A$2:$A$204,$A$8,Kit_BOM!$G$2:$G$204,"Optional")*$C$8,0)+IF($F$6="Ja",SUMIFS(Kit_BOM!$F$2:$F$204,Kit_BOM!$E$2:$E$204,$A62,Kit_BOM!$A$2:$A$204,$A$8,Kit_BOM!$G$2:$G$204,"DNP")*$C$8,0)</x:f>
        <x:v>1</x:v>
      </x:c>
      <x:c r="F62" t="n">
        <x:f>IFERROR(IF(INDEX(Part_Suppliers!$G$2:$G$300,MATCH($A62&amp;"|"&amp;$C62,Part_Suppliers!$K$2:$K$300,0))=0,"",INDEX(Part_Suppliers!$G$2:$G$300,MATCH($A62&amp;"|"&amp;$C62,Part_Suppliers!$K$2:$K$300,0))),"")</x:f>
        <x:v>3</x:v>
      </x:c>
      <x:c r="G62">
        <x:f t="shared" si="5"/>
        <x:v>1</x:v>
      </x:c>
      <x:c r="H62" t="n">
        <x:f>SUMIFS(Part_Suppliers!$E$2:$E$300,Part_Suppliers!$A$2:$A$300,$A62,Part_Suppliers!$B$2:$B$300,$C62)</x:f>
        <x:v>0</x:v>
      </x:c>
      <x:c r="I62">
        <x:f t="shared" si="6"/>
        <x:v>0</x:v>
      </x:c>
      <x:c r="J62" t="str">
        <x:f t="shared" si="7"/>
        <x:v>Anderer Lieferant</x:v>
      </x:c>
      <x:c r="K62" t="str">
        <x:f>IFERROR(IF(INDEX(Part_Suppliers!$D$2:$D$300,MATCH($A62&amp;"|"&amp;$C62,Part_Suppliers!$K$2:$K$300,0))=0,"",INDEX(Part_Suppliers!$D$2:$D$300,MATCH($A62&amp;"|"&amp;$C62,Part_Suppliers!$K$2:$K$300,0))),"")</x:f>
      </x:c>
      <x:c r="L62" t="n">
        <x:f>IFERROR(VLOOKUP($A62,Stock!$A$5:$K$200,10,FALSE()),0)</x:f>
        <x:v>0</x:v>
      </x:c>
      <x:c r="M62" t="n">
        <x:f>IFERROR(VLOOKUP($A62,Stock!$A$5:$K$200,11,FALSE()),0)</x:f>
        <x:v>0</x:v>
      </x:c>
      <x:c r="N62">
        <x:f t="shared" si="8"/>
        <x:v>-1</x:v>
      </x:c>
      <x:c r="O62">
        <x:f t="shared" si="9"/>
        <x:v>1</x:v>
      </x:c>
      <x:c r="P62">
        <x:v>0</x:v>
      </x:c>
    </x:row>
    <x:row r="63" ht="14" customHeight="1">
      <x:c r="A63" t="s">
        <x:v>628</x:v>
      </x:c>
      <x:c r="B63" t="str">
        <x:f>IFERROR(VLOOKUP($A63,Parts!$A$2:$M$200,3,FALSE()),"")</x:f>
        <x:v>DC-Einbaubuchse 5,5/2,1 mm – EnvNode 5-V-Versorgung</x:v>
      </x:c>
      <x:c r="C63" t="str">
        <x:f>IFERROR(VLOOKUP($A63,Stock!$A$5:$I$200,8,FALSE()),"")</x:f>
        <x:v>Reichelt</x:v>
      </x:c>
      <x:c r="D63" t="str">
        <x:f>IFERROR(VLOOKUP($A63,Stock!$A$5:$I$200,9,FALSE()),"")</x:f>
        <x:v>BKL 10120946</x:v>
      </x:c>
      <x:c r="E63" t="n">
        <x:f>SUMIFS(Kit_BOM!$F$2:$F$204,Kit_BOM!$E$2:$E$204,$A63,Kit_BOM!$A$2:$A$204,$A$5,Kit_BOM!$G$2:$G$204,"Bestücken")*$C$5+SUMIFS(Kit_BOM!$F$2:$F$204,Kit_BOM!$E$2:$E$204,$A63,Kit_BOM!$A$2:$A$204,$A$5,Kit_BOM!$G$2:$G$204,"Mechanical")*$C$5+IF($F$5="Ja",SUMIFS(Kit_BOM!$F$2:$F$204,Kit_BOM!$E$2:$E$204,$A63,Kit_BOM!$A$2:$A$204,$A$5,Kit_BOM!$G$2:$G$204,"Optional")*$C$5,0)+IF($F$6="Ja",SUMIFS(Kit_BOM!$F$2:$F$204,Kit_BOM!$E$2:$E$204,$A63,Kit_BOM!$A$2:$A$204,$A$5,Kit_BOM!$G$2:$G$204,"DNP")*$C$5,0)+SUMIFS(Kit_BOM!$F$2:$F$204,Kit_BOM!$E$2:$E$204,$A63,Kit_BOM!$A$2:$A$204,$A$6,Kit_BOM!$G$2:$G$204,"Bestücken")*$C$6+SUMIFS(Kit_BOM!$F$2:$F$204,Kit_BOM!$E$2:$E$204,$A63,Kit_BOM!$A$2:$A$204,$A$6,Kit_BOM!$G$2:$G$204,"Mechanical")*$C$6+IF($F$5="Ja",SUMIFS(Kit_BOM!$F$2:$F$204,Kit_BOM!$E$2:$E$204,$A63,Kit_BOM!$A$2:$A$204,$A$6,Kit_BOM!$G$2:$G$204,"Optional")*$C$6,0)+IF($F$6="Ja",SUMIFS(Kit_BOM!$F$2:$F$204,Kit_BOM!$E$2:$E$204,$A63,Kit_BOM!$A$2:$A$204,$A$6,Kit_BOM!$G$2:$G$204,"DNP")*$C$6,0)+SUMIFS(Kit_BOM!$F$2:$F$204,Kit_BOM!$E$2:$E$204,$A63,Kit_BOM!$A$2:$A$204,$A$7,Kit_BOM!$G$2:$G$204,"Bestücken")*$C$7+SUMIFS(Kit_BOM!$F$2:$F$204,Kit_BOM!$E$2:$E$204,$A63,Kit_BOM!$A$2:$A$204,$A$7,Kit_BOM!$G$2:$G$204,"Mechanical")*$C$7+IF($F$5="Ja",SUMIFS(Kit_BOM!$F$2:$F$204,Kit_BOM!$E$2:$E$204,$A63,Kit_BOM!$A$2:$A$204,$A$7,Kit_BOM!$G$2:$G$204,"Optional")*$C$7,0)+IF($F$6="Ja",SUMIFS(Kit_BOM!$F$2:$F$204,Kit_BOM!$E$2:$E$204,$A63,Kit_BOM!$A$2:$A$204,$A$7,Kit_BOM!$G$2:$G$204,"DNP")*$C$7,0)+SUMIFS(Kit_BOM!$F$2:$F$204,Kit_BOM!$E$2:$E$204,$A63,Kit_BOM!$A$2:$A$204,$A$8,Kit_BOM!$G$2:$G$204,"Bestücken")*$C$8+SUMIFS(Kit_BOM!$F$2:$F$204,Kit_BOM!$E$2:$E$204,$A63,Kit_BOM!$A$2:$A$204,$A$8,Kit_BOM!$G$2:$G$204,"Mechanical")*$C$8+IF($F$5="Ja",SUMIFS(Kit_BOM!$F$2:$F$204,Kit_BOM!$E$2:$E$204,$A63,Kit_BOM!$A$2:$A$204,$A$8,Kit_BOM!$G$2:$G$204,"Optional")*$C$8,0)+IF($F$6="Ja",SUMIFS(Kit_BOM!$F$2:$F$204,Kit_BOM!$E$2:$E$204,$A63,Kit_BOM!$A$2:$A$204,$A$8,Kit_BOM!$G$2:$G$204,"DNP")*$C$8,0)</x:f>
        <x:v>1</x:v>
      </x:c>
      <x:c r="F63" t="str">
        <x:f>IFERROR(IF(INDEX(Part_Suppliers!$G$2:$G$300,MATCH($A63&amp;"|"&amp;$C63,Part_Suppliers!$K$2:$K$300,0))=0,"",INDEX(Part_Suppliers!$G$2:$G$300,MATCH($A63&amp;"|"&amp;$C63,Part_Suppliers!$K$2:$K$300,0))),"")</x:f>
      </x:c>
      <x:c r="G63">
        <x:f t="shared" si="5"/>
        <x:v>1</x:v>
      </x:c>
      <x:c r="H63" t="n">
        <x:f>SUMIFS(Part_Suppliers!$E$2:$E$300,Part_Suppliers!$A$2:$A$300,$A63,Part_Suppliers!$B$2:$B$300,$C63)</x:f>
        <x:v>5.75</x:v>
      </x:c>
      <x:c r="I63">
        <x:f t="shared" si="6"/>
        <x:v>5.75</x:v>
      </x:c>
      <x:c r="J63" t="str">
        <x:f t="shared" si="7"/>
        <x:v>Reichelt bereit</x:v>
      </x:c>
      <x:c r="K63" t="str">
        <x:f>IFERROR(IF(INDEX(Part_Suppliers!$D$2:$D$300,MATCH($A63&amp;"|"&amp;$C63,Part_Suppliers!$K$2:$K$300,0))=0,"",INDEX(Part_Suppliers!$D$2:$D$300,MATCH($A63&amp;"|"&amp;$C63,Part_Suppliers!$K$2:$K$300,0))),"")</x:f>
        <x:v>https://www.reichelt.de/de/de/shop/produkt/buchsenleiste_2_54mm_1x4_gerade-266671</x:v>
      </x:c>
      <x:c r="L63" t="n">
        <x:f>IFERROR(VLOOKUP($A63,Stock!$A$5:$K$200,10,FALSE()),0)</x:f>
        <x:v>0</x:v>
      </x:c>
      <x:c r="M63" t="n">
        <x:f>IFERROR(VLOOKUP($A63,Stock!$A$5:$K$200,11,FALSE()),0)</x:f>
        <x:v>0</x:v>
      </x:c>
      <x:c r="N63">
        <x:f t="shared" si="8"/>
        <x:v>-1</x:v>
      </x:c>
      <x:c r="O63">
        <x:f t="shared" si="9"/>
        <x:v>1</x:v>
      </x:c>
      <x:c r="P63">
        <x:v>0</x:v>
      </x:c>
    </x:row>
    <x:row r="64" ht="14" customHeight="1">
      <x:c r="A64" t="s">
        <x:v>635</x:v>
      </x:c>
      <x:c r="B64" t="str">
        <x:f>IFERROR(VLOOKUP($A64,Parts!$A$2:$M$200,3,FALSE()),"")</x:f>
        <x:v>USB-C-Buchse, 16-polig, USB 2.0, Top-Mount</x:v>
      </x:c>
      <x:c r="C64" t="str">
        <x:f>IFERROR(VLOOKUP($A64,Stock!$A$5:$I$200,8,FALSE()),"")</x:f>
        <x:v>DigiKey</x:v>
      </x:c>
      <x:c r="D64" t="str">
        <x:f>IFERROR(VLOOKUP($A64,Stock!$A$5:$I$200,9,FALSE()),"")</x:f>
        <x:v>24AA025E64T-I/OTCT-ND</x:v>
      </x:c>
      <x:c r="E64" t="n">
        <x:f>SUMIFS(Kit_BOM!$F$2:$F$204,Kit_BOM!$E$2:$E$204,$A64,Kit_BOM!$A$2:$A$204,$A$5,Kit_BOM!$G$2:$G$204,"Bestücken")*$C$5+SUMIFS(Kit_BOM!$F$2:$F$204,Kit_BOM!$E$2:$E$204,$A64,Kit_BOM!$A$2:$A$204,$A$5,Kit_BOM!$G$2:$G$204,"Mechanical")*$C$5+IF($F$5="Ja",SUMIFS(Kit_BOM!$F$2:$F$204,Kit_BOM!$E$2:$E$204,$A64,Kit_BOM!$A$2:$A$204,$A$5,Kit_BOM!$G$2:$G$204,"Optional")*$C$5,0)+IF($F$6="Ja",SUMIFS(Kit_BOM!$F$2:$F$204,Kit_BOM!$E$2:$E$204,$A64,Kit_BOM!$A$2:$A$204,$A$5,Kit_BOM!$G$2:$G$204,"DNP")*$C$5,0)+SUMIFS(Kit_BOM!$F$2:$F$204,Kit_BOM!$E$2:$E$204,$A64,Kit_BOM!$A$2:$A$204,$A$6,Kit_BOM!$G$2:$G$204,"Bestücken")*$C$6+SUMIFS(Kit_BOM!$F$2:$F$204,Kit_BOM!$E$2:$E$204,$A64,Kit_BOM!$A$2:$A$204,$A$6,Kit_BOM!$G$2:$G$204,"Mechanical")*$C$6+IF($F$5="Ja",SUMIFS(Kit_BOM!$F$2:$F$204,Kit_BOM!$E$2:$E$204,$A64,Kit_BOM!$A$2:$A$204,$A$6,Kit_BOM!$G$2:$G$204,"Optional")*$C$6,0)+IF($F$6="Ja",SUMIFS(Kit_BOM!$F$2:$F$204,Kit_BOM!$E$2:$E$204,$A64,Kit_BOM!$A$2:$A$204,$A$6,Kit_BOM!$G$2:$G$204,"DNP")*$C$6,0)+SUMIFS(Kit_BOM!$F$2:$F$204,Kit_BOM!$E$2:$E$204,$A64,Kit_BOM!$A$2:$A$204,$A$7,Kit_BOM!$G$2:$G$204,"Bestücken")*$C$7+SUMIFS(Kit_BOM!$F$2:$F$204,Kit_BOM!$E$2:$E$204,$A64,Kit_BOM!$A$2:$A$204,$A$7,Kit_BOM!$G$2:$G$204,"Mechanical")*$C$7+IF($F$5="Ja",SUMIFS(Kit_BOM!$F$2:$F$204,Kit_BOM!$E$2:$E$204,$A64,Kit_BOM!$A$2:$A$204,$A$7,Kit_BOM!$G$2:$G$204,"Optional")*$C$7,0)+IF($F$6="Ja",SUMIFS(Kit_BOM!$F$2:$F$204,Kit_BOM!$E$2:$E$204,$A64,Kit_BOM!$A$2:$A$204,$A$7,Kit_BOM!$G$2:$G$204,"DNP")*$C$7,0)+SUMIFS(Kit_BOM!$F$2:$F$204,Kit_BOM!$E$2:$E$204,$A64,Kit_BOM!$A$2:$A$204,$A$8,Kit_BOM!$G$2:$G$204,"Bestücken")*$C$8+SUMIFS(Kit_BOM!$F$2:$F$204,Kit_BOM!$E$2:$E$204,$A64,Kit_BOM!$A$2:$A$204,$A$8,Kit_BOM!$G$2:$G$204,"Mechanical")*$C$8+IF($F$5="Ja",SUMIFS(Kit_BOM!$F$2:$F$204,Kit_BOM!$E$2:$E$204,$A64,Kit_BOM!$A$2:$A$204,$A$8,Kit_BOM!$G$2:$G$204,"Optional")*$C$8,0)+IF($F$6="Ja",SUMIFS(Kit_BOM!$F$2:$F$204,Kit_BOM!$E$2:$E$204,$A64,Kit_BOM!$A$2:$A$204,$A$8,Kit_BOM!$G$2:$G$204,"DNP")*$C$8,0)</x:f>
        <x:v>1</x:v>
      </x:c>
      <x:c r="F64" t="n">
        <x:f>IFERROR(IF(INDEX(Part_Suppliers!$G$2:$G$300,MATCH($A64&amp;"|"&amp;$C64,Part_Suppliers!$K$2:$K$300,0))=0,"",INDEX(Part_Suppliers!$G$2:$G$300,MATCH($A64&amp;"|"&amp;$C64,Part_Suppliers!$K$2:$K$300,0))),"")</x:f>
        <x:v>1</x:v>
      </x:c>
      <x:c r="G64">
        <x:f t="shared" si="5"/>
        <x:v>1</x:v>
      </x:c>
      <x:c r="H64" t="n">
        <x:f>SUMIFS(Part_Suppliers!$E$2:$E$300,Part_Suppliers!$A$2:$A$300,$A64,Part_Suppliers!$B$2:$B$300,$C64)</x:f>
        <x:v>0</x:v>
      </x:c>
      <x:c r="I64">
        <x:f t="shared" si="6"/>
        <x:v>0</x:v>
      </x:c>
      <x:c r="J64" t="str">
        <x:f t="shared" si="7"/>
        <x:v>Anderer Lieferant</x:v>
      </x:c>
      <x:c r="K64" t="str">
        <x:f>IFERROR(IF(INDEX(Part_Suppliers!$D$2:$D$300,MATCH($A64&amp;"|"&amp;$C64,Part_Suppliers!$K$2:$K$300,0))=0,"",INDEX(Part_Suppliers!$D$2:$D$300,MATCH($A64&amp;"|"&amp;$C64,Part_Suppliers!$K$2:$K$300,0))),"")</x:f>
        <x:v>https://www.digikey.de/de/products/detail/microchip-technology/24AA025E64T-I-OT/3908633</x:v>
      </x:c>
      <x:c r="L64" t="n">
        <x:f>IFERROR(VLOOKUP($A64,Stock!$A$5:$K$200,10,FALSE()),0)</x:f>
        <x:v>0</x:v>
      </x:c>
      <x:c r="M64" t="n">
        <x:f>IFERROR(VLOOKUP($A64,Stock!$A$5:$K$200,11,FALSE()),0)</x:f>
        <x:v>0</x:v>
      </x:c>
      <x:c r="N64">
        <x:f t="shared" si="8"/>
        <x:v>-1</x:v>
      </x:c>
      <x:c r="O64">
        <x:f t="shared" si="9"/>
        <x:v>1</x:v>
      </x:c>
      <x:c r="P64">
        <x:v>0</x:v>
      </x:c>
    </x:row>
    <x:row r="65" ht="14" customHeight="1">
      <x:c r="A65" t="s">
        <x:v>645</x:v>
      </x:c>
      <x:c r="B65" t="str">
        <x:f>IFERROR(VLOOKUP($A65,Parts!$A$2:$M$200,3,FALSE()),"")</x:f>
        <x:v>SMD-Widerstand 5,1 kOhm, 1 %, 1206</x:v>
      </x:c>
      <x:c r="C65" t="str">
        <x:f>IFERROR(VLOOKUP($A65,Stock!$A$5:$I$200,8,FALSE()),"")</x:f>
        <x:v>DigiKey</x:v>
      </x:c>
      <x:c r="D65" t="str">
        <x:f>IFERROR(VLOOKUP($A65,Stock!$A$5:$I$200,9,FALSE()),"")</x:f>
        <x:v>24AA025E64T-I/OTCT-ND</x:v>
      </x:c>
      <x:c r="E65" t="n">
        <x:f>SUMIFS(Kit_BOM!$F$2:$F$204,Kit_BOM!$E$2:$E$204,$A65,Kit_BOM!$A$2:$A$204,$A$5,Kit_BOM!$G$2:$G$204,"Bestücken")*$C$5+SUMIFS(Kit_BOM!$F$2:$F$204,Kit_BOM!$E$2:$E$204,$A65,Kit_BOM!$A$2:$A$204,$A$5,Kit_BOM!$G$2:$G$204,"Mechanical")*$C$5+IF($F$5="Ja",SUMIFS(Kit_BOM!$F$2:$F$204,Kit_BOM!$E$2:$E$204,$A65,Kit_BOM!$A$2:$A$204,$A$5,Kit_BOM!$G$2:$G$204,"Optional")*$C$5,0)+IF($F$6="Ja",SUMIFS(Kit_BOM!$F$2:$F$204,Kit_BOM!$E$2:$E$204,$A65,Kit_BOM!$A$2:$A$204,$A$5,Kit_BOM!$G$2:$G$204,"DNP")*$C$5,0)+SUMIFS(Kit_BOM!$F$2:$F$204,Kit_BOM!$E$2:$E$204,$A65,Kit_BOM!$A$2:$A$204,$A$6,Kit_BOM!$G$2:$G$204,"Bestücken")*$C$6+SUMIFS(Kit_BOM!$F$2:$F$204,Kit_BOM!$E$2:$E$204,$A65,Kit_BOM!$A$2:$A$204,$A$6,Kit_BOM!$G$2:$G$204,"Mechanical")*$C$6+IF($F$5="Ja",SUMIFS(Kit_BOM!$F$2:$F$204,Kit_BOM!$E$2:$E$204,$A65,Kit_BOM!$A$2:$A$204,$A$6,Kit_BOM!$G$2:$G$204,"Optional")*$C$6,0)+IF($F$6="Ja",SUMIFS(Kit_BOM!$F$2:$F$204,Kit_BOM!$E$2:$E$204,$A65,Kit_BOM!$A$2:$A$204,$A$6,Kit_BOM!$G$2:$G$204,"DNP")*$C$6,0)+SUMIFS(Kit_BOM!$F$2:$F$204,Kit_BOM!$E$2:$E$204,$A65,Kit_BOM!$A$2:$A$204,$A$7,Kit_BOM!$G$2:$G$204,"Bestücken")*$C$7+SUMIFS(Kit_BOM!$F$2:$F$204,Kit_BOM!$E$2:$E$204,$A65,Kit_BOM!$A$2:$A$204,$A$7,Kit_BOM!$G$2:$G$204,"Mechanical")*$C$7+IF($F$5="Ja",SUMIFS(Kit_BOM!$F$2:$F$204,Kit_BOM!$E$2:$E$204,$A65,Kit_BOM!$A$2:$A$204,$A$7,Kit_BOM!$G$2:$G$204,"Optional")*$C$7,0)+IF($F$6="Ja",SUMIFS(Kit_BOM!$F$2:$F$204,Kit_BOM!$E$2:$E$204,$A65,Kit_BOM!$A$2:$A$204,$A$7,Kit_BOM!$G$2:$G$204,"DNP")*$C$7,0)+SUMIFS(Kit_BOM!$F$2:$F$204,Kit_BOM!$E$2:$E$204,$A65,Kit_BOM!$A$2:$A$204,$A$8,Kit_BOM!$G$2:$G$204,"Bestücken")*$C$8+SUMIFS(Kit_BOM!$F$2:$F$204,Kit_BOM!$E$2:$E$204,$A65,Kit_BOM!$A$2:$A$204,$A$8,Kit_BOM!$G$2:$G$204,"Mechanical")*$C$8+IF($F$5="Ja",SUMIFS(Kit_BOM!$F$2:$F$204,Kit_BOM!$E$2:$E$204,$A65,Kit_BOM!$A$2:$A$204,$A$8,Kit_BOM!$G$2:$G$204,"Optional")*$C$8,0)+IF($F$6="Ja",SUMIFS(Kit_BOM!$F$2:$F$204,Kit_BOM!$E$2:$E$204,$A65,Kit_BOM!$A$2:$A$204,$A$8,Kit_BOM!$G$2:$G$204,"DNP")*$C$8,0)</x:f>
        <x:v>2</x:v>
      </x:c>
      <x:c r="F65" t="n">
        <x:f>IFERROR(IF(INDEX(Part_Suppliers!$G$2:$G$300,MATCH($A65&amp;"|"&amp;$C65,Part_Suppliers!$K$2:$K$300,0))=0,"",INDEX(Part_Suppliers!$G$2:$G$300,MATCH($A65&amp;"|"&amp;$C65,Part_Suppliers!$K$2:$K$300,0))),"")</x:f>
        <x:v>1</x:v>
      </x:c>
      <x:c r="G65">
        <x:f t="shared" si="5"/>
        <x:v>2</x:v>
      </x:c>
      <x:c r="H65" t="n">
        <x:f>SUMIFS(Part_Suppliers!$E$2:$E$300,Part_Suppliers!$A$2:$A$300,$A65,Part_Suppliers!$B$2:$B$300,$C65)</x:f>
        <x:v>0.09</x:v>
      </x:c>
      <x:c r="I65">
        <x:f t="shared" si="6"/>
        <x:v>0.18</x:v>
      </x:c>
      <x:c r="J65" t="str">
        <x:f t="shared" si="7"/>
        <x:v>Anderer Lieferant</x:v>
      </x:c>
      <x:c r="K65" t="str">
        <x:f>IFERROR(IF(INDEX(Part_Suppliers!$D$2:$D$300,MATCH($A65&amp;"|"&amp;$C65,Part_Suppliers!$K$2:$K$300,0))=0,"",INDEX(Part_Suppliers!$D$2:$D$300,MATCH($A65&amp;"|"&amp;$C65,Part_Suppliers!$K$2:$K$300,0))),"")</x:f>
        <x:v>https://www.digikey.de/de/products/detail/microchip-technology/24AA025E64T-I-OT/3908633</x:v>
      </x:c>
      <x:c r="L65" t="n">
        <x:f>IFERROR(VLOOKUP($A65,Stock!$A$5:$K$200,10,FALSE()),0)</x:f>
        <x:v>0</x:v>
      </x:c>
      <x:c r="M65" t="n">
        <x:f>IFERROR(VLOOKUP($A65,Stock!$A$5:$K$200,11,FALSE()),0)</x:f>
        <x:v>0</x:v>
      </x:c>
      <x:c r="N65">
        <x:f t="shared" si="8"/>
        <x:v>-2</x:v>
      </x:c>
      <x:c r="O65">
        <x:f t="shared" si="9"/>
        <x:v>2</x:v>
      </x:c>
      <x:c r="P65">
        <x:v>0</x:v>
      </x:c>
    </x:row>
    <x:row r="66" ht="14" customHeight="1">
      <x:c r="N66" t="n">
        <x:f>SUM(N14:N65)</x:f>
        <x:v>89</x:v>
      </x:c>
      <x:c r="O66" t="n">
        <x:f>SUM(O14:O65)</x:f>
        <x:v>31</x:v>
      </x:c>
      <x:c r="P66" t="n">
        <x:f>SUM(P14:P65)</x:f>
        <x:v>0</x:v>
      </x:c>
    </x:row>
  </x:sheetData>
  <x:mergeCells>
    <x:mergeCell ref="A1:K1"/>
    <x:mergeCell ref="A2:K2"/>
    <x:mergeCell ref="F8:K9"/>
  </x:mergeCells>
  <x:conditionalFormatting sqref="A14:K51">
    <x:cfRule type="expression" dxfId="6" priority="5">
      <x:formula>$E14=0</x:formula>
    </x:cfRule>
  </x:conditionalFormatting>
  <x:conditionalFormatting sqref="J14:J51">
    <x:cfRule type="containsText" dxfId="5" priority="2" operator="containsText" text="Reichelt bereit">
      <x:formula>NOT(ISERROR(SEARCH("Reichelt bereit",J14)))</x:formula>
    </x:cfRule>
    <x:cfRule type="containsText" dxfId="4" priority="3" operator="containsText" text="Anderer Lieferant">
      <x:formula>NOT(ISERROR(SEARCH("Anderer Lieferant",J14)))</x:formula>
    </x:cfRule>
    <x:cfRule type="containsText" dxfId="3" priority="4" operator="containsText" text="Supplier-PN fehlt">
      <x:formula>NOT(ISERROR(SEARCH("Supplier-PN fehlt",J14)))</x:formula>
    </x:cfRule>
  </x:conditionalFormatting>
  <x:conditionalFormatting sqref="N14:N58">
    <x:cfRule type="cellIs" dxfId="2" priority="6" operator="lessThan">
      <x:formula>0</x:formula>
    </x:cfRule>
    <x:cfRule type="cellIs" dxfId="1" priority="7" operator="greaterThanOrEqual">
      <x:formula>0</x:formula>
    </x:cfRule>
  </x:conditionalFormatting>
  <x:conditionalFormatting sqref="O14:O58">
    <x:cfRule type="cellIs" dxfId="0" priority="8" operator="greaterThan">
      <x:formula>0</x:formula>
    </x:cfRule>
  </x:conditionalFormatting>
  <x:dataValidations count="3">
    <x:dataValidation type="whole" sqref="C5:C8">
      <x:formula1>0</x:formula1>
      <x:formula2>999</x:formula2>
    </x:dataValidation>
    <x:dataValidation type="list" sqref="F5:F6">
      <x:formula1>"Nein,Ja"</x:formula1>
      <x:formula2>0</x:formula2>
    </x:dataValidation>
    <x:dataValidation type="whole" sqref="P14:P65">
      <x:formula1>0</x:formula1>
      <x:formula2>999999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2af76f8e0314cae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3"/>
  <x:cols>
    <x:col min="1" max="1" width="14" customWidth="1"/>
    <x:col min="2" max="2" width="16" customWidth="1"/>
    <x:col min="3" max="3" width="32" customWidth="1"/>
    <x:col min="4" max="4" width="22" customWidth="1"/>
    <x:col min="5" max="5" width="42" customWidth="1"/>
    <x:col min="6" max="6" width="22" customWidth="1"/>
    <x:col min="7" max="7" width="24" customWidth="1"/>
    <x:col min="8" max="8" width="16" customWidth="1"/>
    <x:col min="9" max="9" width="22" customWidth="1"/>
    <x:col min="10" max="11" width="11" customWidth="1"/>
    <x:col min="12" max="12" width="30" customWidth="1"/>
    <x:col min="13" max="13" width="48" customWidth="1"/>
    <x:col min="14" max="14" width="22" customWidth="1"/>
    <x:col min="15" max="15" width="15" customWidth="1"/>
    <x:col min="17" max="17" width="18" customWidth="1"/>
    <x:col min="18" max="18" width="24" customWidth="1"/>
    <x:col min="19" max="19" width="2" customWidth="1"/>
  </x:cols>
  <x:sheetData>
    <x:row r="1" ht="26" customHeight="1">
      <x:c r="A1" s="2" t="s">
        <x:v>815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Q1" s="1" t="s">
        <x:v>816</x:v>
      </x:c>
      <x:c r="R1" s="1"/>
    </x:row>
    <x:row r="2" ht="26" customHeight="1">
      <x:c r="A2" s="4" t="s">
        <x:v>817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  <x:c r="Q2" s="52" t="s">
        <x:v>818</x:v>
      </x:c>
      <x:c r="R2" s="53">
        <x:v>1</x:v>
      </x:c>
    </x:row>
    <x:row r="3" ht="15">
      <x:c r="Q3" s="52" t="s">
        <x:v>819</x:v>
      </x:c>
      <x:c r="R3" s="54" t="n">
        <x:f>INT((Stock!R2-1)/3)+1</x:f>
        <x:v>1</x:v>
      </x:c>
    </x:row>
    <x:row r="4" ht="15" customHeight="1">
      <x:c r="A4" s="29" t="s">
        <x:v>757</x:v>
      </x:c>
      <x:c r="B4" s="29" t="s">
        <x:v>1</x:v>
      </x:c>
      <x:c r="C4" s="29" t="s">
        <x:v>2</x:v>
      </x:c>
      <x:c r="D4" s="29" t="s">
        <x:v>3</x:v>
      </x:c>
      <x:c r="E4" s="29" t="s">
        <x:v>4</x:v>
      </x:c>
      <x:c r="F4" s="29" t="s">
        <x:v>5</x:v>
      </x:c>
      <x:c r="G4" s="29" t="s">
        <x:v>6</x:v>
      </x:c>
      <x:c r="H4" s="55" t="s">
        <x:v>802</x:v>
      </x:c>
      <x:c r="I4" s="55" t="s">
        <x:v>803</x:v>
      </x:c>
      <x:c r="J4" s="29" t="s">
        <x:v>810</x:v>
      </x:c>
      <x:c r="K4" s="29" t="s">
        <x:v>811</x:v>
      </x:c>
      <x:c r="L4" s="29" t="s">
        <x:v>7</x:v>
      </x:c>
      <x:c r="M4" s="29" t="s">
        <x:v>11</x:v>
      </x:c>
      <x:c r="N4" s="47" t="s">
        <x:v>820</x:v>
      </x:c>
      <x:c r="O4" s="56" t="s">
        <x:v>821</x:v>
      </x:c>
      <x:c r="Q4" s="52" t="s">
        <x:v>822</x:v>
      </x:c>
      <x:c r="R4" s="54" t="n">
        <x:f>MOD(Stock!R2-1,3)+1</x:f>
        <x:v>1</x:v>
      </x:c>
      <x:c r="S4" s="57" t="s">
        <x:v>823</x:v>
      </x:c>
    </x:row>
    <x:row r="5" ht="39.5" customHeight="1">
      <x:c r="A5" t="s">
        <x:v>13</x:v>
      </x:c>
      <x:c r="B5" t="str">
        <x:f>IFERROR(IF(VLOOKUP($A5,Parts!$A$2:$M$200,2,FALSE())=0,"",VLOOKUP($A5,Parts!$A$2:$M$200,2,FALSE())),"")</x:f>
        <x:v>Kabelsatz</x:v>
      </x:c>
      <x:c r="C5" s="48" t="str">
        <x:f>IFERROR(IF(VLOOKUP($A5,Parts!$A$2:$M$200,3,FALSE())=0,"",VLOOKUP($A5,Parts!$A$2:$M$200,3,FALSE())),"")</x:f>
        <x:v>Set, SET JST-PH 4-polig 2.00mm vertikaler PCB-Stecker, Buchse THT</x:v>
      </x:c>
      <x:c r="D5" s="48" t="str">
        <x:f>IFERROR(IF(VLOOKUP($A5,Parts!$A$2:$M$200,4,FALSE())=0,"",VLOOKUP($A5,Parts!$A$2:$M$200,4,FALSE())),"")</x:f>
        <x:v>JST-PH, 4-polig, Set</x:v>
      </x:c>
      <x:c r="E5" s="48" t="str">
        <x:f>IFERROR(IF(VLOOKUP($A5,Parts!$A$2:$M$200,5,FALSE())=0,"",VLOOKUP($A5,Parts!$A$2:$M$200,5,FALSE())),"")</x:f>
      </x:c>
      <x:c r="F5" t="str">
        <x:f>IFERROR(IF(VLOOKUP($A5,Parts!$A$2:$M$200,6,FALSE())=0,"",VLOOKUP($A5,Parts!$A$2:$M$200,6,FALSE())),"")</x:f>
        <x:v>JST</x:v>
      </x:c>
      <x:c r="G5" t="str">
        <x:f>IFERROR(IF(VLOOKUP($A5,Parts!$A$2:$M$200,7,FALSE())=0,"",VLOOKUP($A5,Parts!$A$2:$M$200,7,FALSE())),"")</x:f>
      </x:c>
      <x:c r="H5" s="58" t="s">
        <x:v>824</x:v>
      </x:c>
      <x:c r="I5" t="str">
        <x:f>IF(OR($A5="",$H5=""),"",IFERROR(IF(INDEX(Part_Suppliers!$C$2:$C$300,MATCH($A5&amp;"|"&amp;$H5,Part_Suppliers!$K$2:$K$300,0))=0,"",INDEX(Part_Suppliers!$C$2:$C$300,MATCH($A5&amp;"|"&amp;$H5,Part_Suppliers!$K$2:$K$300,0))),""))</x:f>
      </x:c>
      <x:c r="J5" s="50">
        <x:v>10</x:v>
      </x:c>
      <x:c r="K5" s="50">
        <x:v>0</x:v>
      </x:c>
      <x:c r="L5" s="48" t="str">
        <x:f>IFERROR(IF(VLOOKUP($A5,Parts!$A$2:$M$200,8,FALSE())=0,"",VLOOKUP($A5,Parts!$A$2:$M$200,8,FALSE())),"")</x:f>
        <x:v>EnvNode</x:v>
      </x:c>
      <x:c r="M5" s="48" t="str">
        <x:f>IFERROR(IF(VLOOKUP($A5,Parts!$A$2:$M$200,12,FALSE())=0,"",VLOOKUP($A5,Parts!$A$2:$M$200,12,FALSE())),"")</x:f>
        <x:v>GPIO-Anschlüsse; exakte Herstellerartikelnummer vor Bestellung gegen Footprint und Orientierung prüfen Set-Inhalt gegenüber dem separat aus KiCad abgeleiteten PCB-Header prüfen.</x:v>
      </x:c>
      <x:c r="N5" s="59"/>
      <x:c r="O5" s="60" t="s">
        <x:v>825</x:v>
      </x:c>
      <x:c r="Q5" s="52" t="s">
        <x:v>826</x:v>
      </x:c>
      <x:c r="R5" s="54" t="s">
        <x:v>827</x:v>
      </x:c>
      <x:c r="S5" t="str">
        <x:f>IF(O5="drucken",COUNTIF($O$5:O5,"drucken"),"")</x:f>
      </x:c>
    </x:row>
    <x:row r="6" ht="39.5" customHeight="1">
      <x:c r="A6" t="s">
        <x:v>24</x:v>
      </x:c>
      <x:c r="B6" t="str">
        <x:f>IFERROR(IF(VLOOKUP($A6,Parts!$A$2:$M$200,2,FALSE())=0,"",VLOOKUP($A6,Parts!$A$2:$M$200,2,FALSE())),"")</x:f>
        <x:v>Kabelsatz</x:v>
      </x:c>
      <x:c r="C6" s="48" t="str">
        <x:f>IFERROR(IF(VLOOKUP($A6,Parts!$A$2:$M$200,3,FALSE())=0,"",VLOOKUP($A6,Parts!$A$2:$M$200,3,FALSE())),"")</x:f>
        <x:v>Qwiic/JST-SH, 4-poliges Pigtail JST</x:v>
      </x:c>
      <x:c r="D6" s="48" t="str">
        <x:f>IFERROR(IF(VLOOKUP($A6,Parts!$A$2:$M$200,4,FALSE())=0,"",VLOOKUP($A6,Parts!$A$2:$M$200,4,FALSE())),"")</x:f>
        <x:v>JST-SH/Qwiic, 4-polig</x:v>
      </x:c>
      <x:c r="E6" s="48" t="str">
        <x:f>IFERROR(IF(VLOOKUP($A6,Parts!$A$2:$M$200,5,FALSE())=0,"",VLOOKUP($A6,Parts!$A$2:$M$200,5,FALSE())),"")</x:f>
      </x:c>
      <x:c r="F6" t="str">
        <x:f>IFERROR(IF(VLOOKUP($A6,Parts!$A$2:$M$200,6,FALSE())=0,"",VLOOKUP($A6,Parts!$A$2:$M$200,6,FALSE())),"")</x:f>
        <x:v>JST</x:v>
      </x:c>
      <x:c r="G6" t="str">
        <x:f>IFERROR(IF(VLOOKUP($A6,Parts!$A$2:$M$200,7,FALSE())=0,"",VLOOKUP($A6,Parts!$A$2:$M$200,7,FALSE())),"")</x:f>
      </x:c>
      <x:c r="H6" s="58" t="s">
        <x:v>824</x:v>
      </x:c>
      <x:c r="I6" t="str">
        <x:f>IF(OR($A6="",$H6=""),"",IFERROR(IF(INDEX(Part_Suppliers!$C$2:$C$300,MATCH($A6&amp;"|"&amp;$H6,Part_Suppliers!$K$2:$K$300,0))=0,"",INDEX(Part_Suppliers!$C$2:$C$300,MATCH($A6&amp;"|"&amp;$H6,Part_Suppliers!$K$2:$K$300,0))),""))</x:f>
      </x:c>
      <x:c r="J6" s="50">
        <x:v>10</x:v>
      </x:c>
      <x:c r="K6" s="50">
        <x:v>0</x:v>
      </x:c>
      <x:c r="L6" s="48" t="str">
        <x:f>IFERROR(IF(VLOOKUP($A6,Parts!$A$2:$M$200,8,FALSE())=0,"",VLOOKUP($A6,Parts!$A$2:$M$200,8,FALSE())),"")</x:f>
        <x:v>EnvNode</x:v>
      </x:c>
      <x:c r="M6" s="48" t="str">
        <x:f>IFERROR(IF(VLOOKUP($A6,Parts!$A$2:$M$200,12,FALSE())=0,"",VLOOKUP($A6,Parts!$A$2:$M$200,12,FALSE())),"")</x:f>
        <x:v>Qwiic-Konvention: GND=schwarz, 3V3=rot, SDA=blau, SCL=gelb; Kabelbelegung vor Anschluss prüfen Pigtail ist ein Beschaffungsartikel und nicht der PCB-Steckverbinder.</x:v>
      </x:c>
      <x:c r="N6" s="59"/>
      <x:c r="O6" s="60" t="s">
        <x:v>825</x:v>
      </x:c>
      <x:c r="Q6" s="52" t="s">
        <x:v>795</x:v>
      </x:c>
      <x:c r="R6" s="54" t="s">
        <x:v>828</x:v>
      </x:c>
      <x:c r="S6" t="str">
        <x:f>IF(O6="drucken",COUNTIF($O$5:O6,"drucken"),"")</x:f>
      </x:c>
    </x:row>
    <x:row r="7" ht="26.25" customHeight="1">
      <x:c r="A7" t="s">
        <x:v>30</x:v>
      </x:c>
      <x:c r="B7" t="str">
        <x:f>IFERROR(IF(VLOOKUP($A7,Parts!$A$2:$M$200,2,FALSE())=0,"",VLOOKUP($A7,Parts!$A$2:$M$200,2,FALSE())),"")</x:f>
        <x:v>Steckverbinder</x:v>
      </x:c>
      <x:c r="C7" s="48" t="str">
        <x:f>IFERROR(IF(VLOOKUP($A7,Parts!$A$2:$M$200,3,FALSE())=0,"",VLOOKUP($A7,Parts!$A$2:$M$200,3,FALSE())),"")</x:f>
        <x:v>PinSocket 1x4, 2.54 mm</x:v>
      </x:c>
      <x:c r="D7" s="48" t="str">
        <x:f>IFERROR(IF(VLOOKUP($A7,Parts!$A$2:$M$200,4,FALSE())=0,"",VLOOKUP($A7,Parts!$A$2:$M$200,4,FALSE())),"")</x:f>
        <x:v>1x4, 2,54 mm</x:v>
      </x:c>
      <x:c r="E7" s="48" t="str">
        <x:f>IFERROR(IF(VLOOKUP($A7,Parts!$A$2:$M$200,5,FALSE())=0,"",VLOOKUP($A7,Parts!$A$2:$M$200,5,FALSE())),"")</x:f>
        <x:v>PinSocket_1x04_P2.54mm_Vertical</x:v>
      </x:c>
      <x:c r="F7" t="str">
        <x:f>IFERROR(IF(VLOOKUP($A7,Parts!$A$2:$M$200,6,FALSE())=0,"",VLOOKUP($A7,Parts!$A$2:$M$200,6,FALSE())),"")</x:f>
        <x:v>fischer Elektronik</x:v>
      </x:c>
      <x:c r="G7" t="n">
        <x:f>IFERROR(IF(VLOOKUP($A7,Parts!$A$2:$M$200,7,FALSE())=0,"",VLOOKUP($A7,Parts!$A$2:$M$200,7,FALSE())),"")</x:f>
        <x:v>10120946</x:v>
      </x:c>
      <x:c r="H7" s="58" t="s">
        <x:v>829</x:v>
      </x:c>
      <x:c r="I7" t="str">
        <x:f>IF(OR($A7="",$H7=""),"",IFERROR(IF(INDEX(Part_Suppliers!$C$2:$C$300,MATCH($A7&amp;"|"&amp;$H7,Part_Suppliers!$K$2:$K$300,0))=0,"",INDEX(Part_Suppliers!$C$2:$C$300,MATCH($A7&amp;"|"&amp;$H7,Part_Suppliers!$K$2:$K$300,0))),""))</x:f>
        <x:v>BKL 10120946</x:v>
      </x:c>
      <x:c r="J7" s="50">
        <x:v>4</x:v>
      </x:c>
      <x:c r="K7" s="50">
        <x:v>0</x:v>
      </x:c>
      <x:c r="L7" s="48" t="str">
        <x:f>IFERROR(IF(VLOOKUP($A7,Parts!$A$2:$M$200,8,FALSE())=0,"",VLOOKUP($A7,Parts!$A$2:$M$200,8,FALSE())),"")</x:f>
        <x:v>EnvNode; RainDetector</x:v>
      </x:c>
      <x:c r="M7" s="48" t="str">
        <x:f>IFERROR(IF(VLOOKUP($A7,Parts!$A$2:$M$200,12,FALSE())=0,"",VLOOKUP($A7,Parts!$A$2:$M$200,12,FALSE())),"")</x:f>
        <x:v>Für interne Qwiic-Breakouts; Bauhöhe und Ausführung passend zur Mechanik wählen</x:v>
      </x:c>
      <x:c r="N7" s="59"/>
      <x:c r="O7" s="60" t="s">
        <x:v>825</x:v>
      </x:c>
      <x:c r="Q7" s="61" t="s">
        <x:v>830</x:v>
      </x:c>
      <x:c r="R7" s="62" t="s">
        <x:v>831</x:v>
      </x:c>
      <x:c r="S7" t="str">
        <x:f>IF(O7="drucken",COUNTIF($O$5:O7,"drucken"),"")</x:f>
      </x:c>
    </x:row>
    <x:row r="8" ht="26.25" customHeight="1">
      <x:c r="A8" t="s">
        <x:v>40</x:v>
      </x:c>
      <x:c r="B8" t="str">
        <x:f>IFERROR(IF(VLOOKUP($A8,Parts!$A$2:$M$200,2,FALSE())=0,"",VLOOKUP($A8,Parts!$A$2:$M$200,2,FALSE())),"")</x:f>
        <x:v>Steckverbinder</x:v>
      </x:c>
      <x:c r="C8" s="48" t="str">
        <x:f>IFERROR(IF(VLOOKUP($A8,Parts!$A$2:$M$200,3,FALSE())=0,"",VLOOKUP($A8,Parts!$A$2:$M$200,3,FALSE())),"")</x:f>
        <x:v>PinSocket 1x20, 2.54mm, cut to 19 Pins</x:v>
      </x:c>
      <x:c r="D8" s="48" t="str">
        <x:f>IFERROR(IF(VLOOKUP($A8,Parts!$A$2:$M$200,4,FALSE())=0,"",VLOOKUP($A8,Parts!$A$2:$M$200,4,FALSE())),"")</x:f>
        <x:v>1x20, 2,54 mm, trennbar</x:v>
      </x:c>
      <x:c r="E8" s="48" t="str">
        <x:f>IFERROR(IF(VLOOKUP($A8,Parts!$A$2:$M$200,5,FALSE())=0,"",VLOOKUP($A8,Parts!$A$2:$M$200,5,FALSE())),"")</x:f>
      </x:c>
      <x:c r="F8" t="str">
        <x:f>IFERROR(IF(VLOOKUP($A8,Parts!$A$2:$M$200,6,FALSE())=0,"",VLOOKUP($A8,Parts!$A$2:$M$200,6,FALSE())),"")</x:f>
        <x:v>fischer Elektronik</x:v>
      </x:c>
      <x:c r="G8" t="str">
        <x:f>IFERROR(IF(VLOOKUP($A8,Parts!$A$2:$M$200,7,FALSE())=0,"",VLOOKUP($A8,Parts!$A$2:$M$200,7,FALSE())),"")</x:f>
        <x:v>BL1.20 G</x:v>
      </x:c>
      <x:c r="H8" s="58" t="s">
        <x:v>829</x:v>
      </x:c>
      <x:c r="I8" t="str">
        <x:f>IF(OR($A8="",$H8=""),"",IFERROR(IF(INDEX(Part_Suppliers!$C$2:$C$300,MATCH($A8&amp;"|"&amp;$H8,Part_Suppliers!$K$2:$K$300,0))=0,"",INDEX(Part_Suppliers!$C$2:$C$300,MATCH($A8&amp;"|"&amp;$H8,Part_Suppliers!$K$2:$K$300,0))),""))</x:f>
        <x:v>BKL 10120946</x:v>
      </x:c>
      <x:c r="J8" s="50">
        <x:v>0</x:v>
      </x:c>
      <x:c r="K8" s="50">
        <x:v>0</x:v>
      </x:c>
      <x:c r="L8" s="48" t="str">
        <x:f>IFERROR(IF(VLOOKUP($A8,Parts!$A$2:$M$200,8,FALSE())=0,"",VLOOKUP($A8,Parts!$A$2:$M$200,8,FALSE())),"")</x:f>
        <x:v>EnvNode</x:v>
      </x:c>
      <x:c r="M8" s="48" t="str">
        <x:f>IFERROR(IF(VLOOKUP($A8,Parts!$A$2:$M$200,12,FALSE())=0,"",VLOOKUP($A8,Parts!$A$2:$M$200,12,FALSE())),"")</x:f>
        <x:v>Für ESP32-DevKitC mit 38 Pins; alternativ eine geeignete 38-Pin-ESP32-Fassung verwenden</x:v>
      </x:c>
      <x:c r="N8" s="59"/>
      <x:c r="O8" s="60" t="s">
        <x:v>825</x:v>
      </x:c>
      <x:c r="S8" t="str">
        <x:f>IF(O8="drucken",COUNTIF($O$5:O8,"drucken"),"")</x:f>
      </x:c>
    </x:row>
    <x:row r="9" ht="39.5" customHeight="1">
      <x:c r="A9" t="s">
        <x:v>46</x:v>
      </x:c>
      <x:c r="B9" t="str">
        <x:f>IFERROR(IF(VLOOKUP($A9,Parts!$A$2:$M$200,2,FALSE())=0,"",VLOOKUP($A9,Parts!$A$2:$M$200,2,FALSE())),"")</x:f>
        <x:v>Widerstand</x:v>
      </x:c>
      <x:c r="C9" s="48" t="str">
        <x:f>IFERROR(IF(VLOOKUP($A9,Parts!$A$2:$M$200,3,FALSE())=0,"",VLOOKUP($A9,Parts!$A$2:$M$200,3,FALSE())),"")</x:f>
        <x:v>4.7 kOhm 1% SMD 1206</x:v>
      </x:c>
      <x:c r="D9" s="48" t="str">
        <x:f>IFERROR(IF(VLOOKUP($A9,Parts!$A$2:$M$200,4,FALSE())=0,"",VLOOKUP($A9,Parts!$A$2:$M$200,4,FALSE())),"")</x:f>
        <x:v>4,7 kΩ, 1 %, 250 mW</x:v>
      </x:c>
      <x:c r="E9" s="48" t="str">
        <x:f>IFERROR(IF(VLOOKUP($A9,Parts!$A$2:$M$200,5,FALSE())=0,"",VLOOKUP($A9,Parts!$A$2:$M$200,5,FALSE())),"")</x:f>
        <x:v>Resistor_SMD:R_1206_3216Metric_Pad1.30x1.75mm_HandSolder</x:v>
      </x:c>
      <x:c r="F9" t="str">
        <x:f>IFERROR(IF(VLOOKUP($A9,Parts!$A$2:$M$200,6,FALSE())=0,"",VLOOKUP($A9,Parts!$A$2:$M$200,6,FALSE())),"")</x:f>
        <x:v>Vishay</x:v>
      </x:c>
      <x:c r="G9" t="str">
        <x:f>IFERROR(IF(VLOOKUP($A9,Parts!$A$2:$M$200,7,FALSE())=0,"",VLOOKUP($A9,Parts!$A$2:$M$200,7,FALSE())),"")</x:f>
        <x:v>CRCW12064K70FKEA</x:v>
      </x:c>
      <x:c r="H9" s="58" t="s">
        <x:v>829</x:v>
      </x:c>
      <x:c r="I9" t="str">
        <x:f>IF(OR($A9="",$H9=""),"",IFERROR(IF(INDEX(Part_Suppliers!$C$2:$C$300,MATCH($A9&amp;"|"&amp;$H9,Part_Suppliers!$K$2:$K$300,0))=0,"",INDEX(Part_Suppliers!$C$2:$C$300,MATCH($A9&amp;"|"&amp;$H9,Part_Suppliers!$K$2:$K$300,0))),""))</x:f>
        <x:v>BKL 10120946</x:v>
      </x:c>
      <x:c r="J9" s="50">
        <x:v>12</x:v>
      </x:c>
      <x:c r="K9" s="50">
        <x:v>0</x:v>
      </x:c>
      <x:c r="L9" s="48" t="str">
        <x:f>IFERROR(IF(VLOOKUP($A9,Parts!$A$2:$M$200,8,FALSE())=0,"",VLOOKUP($A9,Parts!$A$2:$M$200,8,FALSE())),"")</x:f>
        <x:v>EnvNode; EnvNodeMini Rev 0.2; AnalogInput Rev 0.1; AnalogHydroPressure</x:v>
      </x:c>
      <x:c r="M9" s="48" t="str">
        <x:f>IFERROR(IF(VLOOKUP($A9,Parts!$A$2:$M$200,12,FALSE())=0,"",VLOOKUP($A9,Parts!$A$2:$M$200,12,FALSE())),"")</x:f>
        <x:v>I2C-Pull-ups für die beiden I2C-Busse</x:v>
      </x:c>
      <x:c r="N9" s="59"/>
      <x:c r="O9" s="60" t="s">
        <x:v>825</x:v>
      </x:c>
      <x:c r="S9" t="str">
        <x:f>IF(O9="drucken",COUNTIF($O$5:O9,"drucken"),"")</x:f>
      </x:c>
    </x:row>
    <x:row r="10" ht="52.75" customHeight="1">
      <x:c r="A10" t="s">
        <x:v>56</x:v>
      </x:c>
      <x:c r="B10" t="str">
        <x:f>IFERROR(IF(VLOOKUP($A10,Parts!$A$2:$M$200,2,FALSE())=0,"",VLOOKUP($A10,Parts!$A$2:$M$200,2,FALSE())),"")</x:f>
        <x:v>Kondensator</x:v>
      </x:c>
      <x:c r="C10" s="48" t="str">
        <x:f>IFERROR(IF(VLOOKUP($A10,Parts!$A$2:$M$200,3,FALSE())=0,"",VLOOKUP($A10,Parts!$A$2:$M$200,3,FALSE())),"")</x:f>
        <x:v>100 nF Keramik SMD</x:v>
      </x:c>
      <x:c r="D10" s="48" t="str">
        <x:f>IFERROR(IF(VLOOKUP($A10,Parts!$A$2:$M$200,4,FALSE())=0,"",VLOOKUP($A10,Parts!$A$2:$M$200,4,FALSE())),"")</x:f>
        <x:v>100 nF, 10 %, X7R, 100 V</x:v>
      </x:c>
      <x:c r="E10" s="48" t="str">
        <x:f>IFERROR(IF(VLOOKUP($A10,Parts!$A$2:$M$200,5,FALSE())=0,"",VLOOKUP($A10,Parts!$A$2:$M$200,5,FALSE())),"")</x:f>
        <x:v>Capacitor_SMD:C_1206_3216Metric_Pad1.33x1.80mm_HandSolder</x:v>
      </x:c>
      <x:c r="F10" t="str">
        <x:f>IFERROR(IF(VLOOKUP($A10,Parts!$A$2:$M$200,6,FALSE())=0,"",VLOOKUP($A10,Parts!$A$2:$M$200,6,FALSE())),"")</x:f>
        <x:v>Kyocera</x:v>
      </x:c>
      <x:c r="G10" t="str">
        <x:f>IFERROR(IF(VLOOKUP($A10,Parts!$A$2:$M$200,7,FALSE())=0,"",VLOOKUP($A10,Parts!$A$2:$M$200,7,FALSE())),"")</x:f>
        <x:v>C1206F104K1RACTU</x:v>
      </x:c>
      <x:c r="H10" s="58" t="s">
        <x:v>829</x:v>
      </x:c>
      <x:c r="I10" t="str">
        <x:f>IF(OR($A10="",$H10=""),"",IFERROR(IF(INDEX(Part_Suppliers!$C$2:$C$300,MATCH($A10&amp;"|"&amp;$H10,Part_Suppliers!$K$2:$K$300,0))=0,"",INDEX(Part_Suppliers!$C$2:$C$300,MATCH($A10&amp;"|"&amp;$H10,Part_Suppliers!$K$2:$K$300,0))),""))</x:f>
        <x:v>BKL 10120946</x:v>
      </x:c>
      <x:c r="J10" s="50">
        <x:v>0</x:v>
      </x:c>
      <x:c r="K10" s="50">
        <x:v>10</x:v>
      </x:c>
      <x:c r="L10" s="48" t="str">
        <x:f>IFERROR(IF(VLOOKUP($A10,Parts!$A$2:$M$200,8,FALSE())=0,"",VLOOKUP($A10,Parts!$A$2:$M$200,8,FALSE())),"")</x:f>
        <x:v>EnvNode; EnvNodeMini Rev 0.2; AnalogHydroPressure; RainDetector; SolarRadiation; Empty FullSize/HalfSize SMD/THT; DuoRelay Rev 0.2</x:v>
      </x:c>
      <x:c r="M10" s="48" t="str">
        <x:f>IFERROR(IF(VLOOKUP($A10,Parts!$A$2:$M$200,12,FALSE())=0,"",VLOOKUP($A10,Parts!$A$2:$M$200,12,FALSE())),"")</x:f>
        <x:v>Spannungsfestigkeit, Dielektrikum und Bauform vor Bestellung gegen Schaltplan und Footprint prüfen; C1 ist in allen vier aktuellen Empty-Schemata derzeit DNP; C1 ist im aktuellen DuoRelay-Schema derzeit DNP</x:v>
      </x:c>
      <x:c r="N10" s="59" t="s">
        <x:v>832</x:v>
      </x:c>
      <x:c r="O10" s="60" t="s">
        <x:v>825</x:v>
      </x:c>
      <x:c r="S10" t="str">
        <x:f>IF(O10="drucken",COUNTIF($O$5:O10,"drucken"),"")</x:f>
      </x:c>
    </x:row>
    <x:row r="11" ht="26.25" customHeight="1">
      <x:c r="A11" t="s">
        <x:v>66</x:v>
      </x:c>
      <x:c r="B11" t="str">
        <x:f>IFERROR(IF(VLOOKUP($A11,Parts!$A$2:$M$200,2,FALSE())=0,"",VLOOKUP($A11,Parts!$A$2:$M$200,2,FALSE())),"")</x:f>
        <x:v>Kondensator</x:v>
      </x:c>
      <x:c r="C11" s="48" t="str">
        <x:f>IFERROR(IF(VLOOKUP($A11,Parts!$A$2:$M$200,3,FALSE())=0,"",VLOOKUP($A11,Parts!$A$2:$M$200,3,FALSE())),"")</x:f>
        <x:v>10 uF Keramik SMD</x:v>
      </x:c>
      <x:c r="D11" s="48" t="str">
        <x:f>IFERROR(IF(VLOOKUP($A11,Parts!$A$2:$M$200,4,FALSE())=0,"",VLOOKUP($A11,Parts!$A$2:$M$200,4,FALSE())),"")</x:f>
        <x:v>10 µF, 25 V, X7R</x:v>
      </x:c>
      <x:c r="E11" s="48" t="str">
        <x:f>IFERROR(IF(VLOOKUP($A11,Parts!$A$2:$M$200,5,FALSE())=0,"",VLOOKUP($A11,Parts!$A$2:$M$200,5,FALSE())),"")</x:f>
        <x:v>Capacitor_SMD:C_1206_3216Metric_Pad1.33x1.80mm_HandSolder</x:v>
      </x:c>
      <x:c r="F11" t="str">
        <x:f>IFERROR(IF(VLOOKUP($A11,Parts!$A$2:$M$200,6,FALSE())=0,"",VLOOKUP($A11,Parts!$A$2:$M$200,6,FALSE())),"")</x:f>
        <x:v>Kyocera AVX</x:v>
      </x:c>
      <x:c r="G11" t="str">
        <x:f>IFERROR(IF(VLOOKUP($A11,Parts!$A$2:$M$200,7,FALSE())=0,"",VLOOKUP($A11,Parts!$A$2:$M$200,7,FALSE())),"")</x:f>
        <x:v>12063C106KAT2A</x:v>
      </x:c>
      <x:c r="H11" s="58" t="s">
        <x:v>829</x:v>
      </x:c>
      <x:c r="I11" t="str">
        <x:f>IF(OR($A11="",$H11=""),"",IFERROR(IF(INDEX(Part_Suppliers!$C$2:$C$300,MATCH($A11&amp;"|"&amp;$H11,Part_Suppliers!$K$2:$K$300,0))=0,"",INDEX(Part_Suppliers!$C$2:$C$300,MATCH($A11&amp;"|"&amp;$H11,Part_Suppliers!$K$2:$K$300,0))),""))</x:f>
        <x:v>BKL 10120946</x:v>
      </x:c>
      <x:c r="J11" s="50">
        <x:v>0</x:v>
      </x:c>
      <x:c r="K11" s="50">
        <x:v>10</x:v>
      </x:c>
      <x:c r="L11" s="48" t="str">
        <x:f>IFERROR(IF(VLOOKUP($A11,Parts!$A$2:$M$200,8,FALSE())=0,"",VLOOKUP($A11,Parts!$A$2:$M$200,8,FALSE())),"")</x:f>
        <x:v>EnvNode; EnvNodeMini Rev 0.2</x:v>
      </x:c>
      <x:c r="M11" s="48" t="str">
        <x:f>IFERROR(IF(VLOOKUP($A11,Parts!$A$2:$M$200,12,FALSE())=0,"",VLOOKUP($A11,Parts!$A$2:$M$200,12,FALSE())),"")</x:f>
        <x:v>Spannungsfestigkeit, Dielektrikum und Bauform vor Bestellung gegen Schaltplan und Footprint prüfen</x:v>
      </x:c>
      <x:c r="N11" s="59" t="s">
        <x:v>832</x:v>
      </x:c>
      <x:c r="O11" s="60" t="s">
        <x:v>825</x:v>
      </x:c>
      <x:c r="S11" t="str">
        <x:f>IF(O11="drucken",COUNTIF($O$5:O11,"drucken"),"")</x:f>
      </x:c>
    </x:row>
    <x:row r="12" ht="15" customHeight="1">
      <x:c r="A12" t="s">
        <x:v>74</x:v>
      </x:c>
      <x:c r="B12" t="str">
        <x:f>IFERROR(IF(VLOOKUP($A12,Parts!$A$2:$M$200,2,FALSE())=0,"",VLOOKUP($A12,Parts!$A$2:$M$200,2,FALSE())),"")</x:f>
        <x:v>Kondensator</x:v>
      </x:c>
      <x:c r="C12" s="48" t="str">
        <x:f>IFERROR(IF(VLOOKUP($A12,Parts!$A$2:$M$200,3,FALSE())=0,"",VLOOKUP($A12,Parts!$A$2:$M$200,3,FALSE())),"")</x:f>
        <x:v>47 uF 10V Tantal</x:v>
      </x:c>
      <x:c r="D12" s="48" t="str">
        <x:f>IFERROR(IF(VLOOKUP($A12,Parts!$A$2:$M$200,4,FALSE())=0,"",VLOOKUP($A12,Parts!$A$2:$M$200,4,FALSE())),"")</x:f>
        <x:v>47 µF, 10 V</x:v>
      </x:c>
      <x:c r="E12" s="48" t="str">
        <x:f>IFERROR(IF(VLOOKUP($A12,Parts!$A$2:$M$200,5,FALSE())=0,"",VLOOKUP($A12,Parts!$A$2:$M$200,5,FALSE())),"")</x:f>
        <x:v>Capacitor_Tantalum_SMD:CP_EIA-3528-21_Kemet-B</x:v>
      </x:c>
      <x:c r="F12" t="str">
        <x:f>IFERROR(IF(VLOOKUP($A12,Parts!$A$2:$M$200,6,FALSE())=0,"",VLOOKUP($A12,Parts!$A$2:$M$200,6,FALSE())),"")</x:f>
        <x:v>Kyocera AVX</x:v>
      </x:c>
      <x:c r="G12" t="str">
        <x:f>IFERROR(IF(VLOOKUP($A12,Parts!$A$2:$M$200,7,FALSE())=0,"",VLOOKUP($A12,Parts!$A$2:$M$200,7,FALSE())),"")</x:f>
        <x:v>TAJB476K010RNJ</x:v>
      </x:c>
      <x:c r="H12" s="58" t="s">
        <x:v>829</x:v>
      </x:c>
      <x:c r="I12" t="str">
        <x:f>IF(OR($A12="",$H12=""),"",IFERROR(IF(INDEX(Part_Suppliers!$C$2:$C$300,MATCH($A12&amp;"|"&amp;$H12,Part_Suppliers!$K$2:$K$300,0))=0,"",INDEX(Part_Suppliers!$C$2:$C$300,MATCH($A12&amp;"|"&amp;$H12,Part_Suppliers!$K$2:$K$300,0))),""))</x:f>
        <x:v>BKL 10120946</x:v>
      </x:c>
      <x:c r="J12" s="50">
        <x:v>0</x:v>
      </x:c>
      <x:c r="K12" s="50">
        <x:v>0</x:v>
      </x:c>
      <x:c r="L12" s="48" t="str">
        <x:f>IFERROR(IF(VLOOKUP($A12,Parts!$A$2:$M$200,8,FALSE())=0,"",VLOOKUP($A12,Parts!$A$2:$M$200,8,FALSE())),"")</x:f>
        <x:v>EnvNode; EnvNodeMini Rev 0.2</x:v>
      </x:c>
      <x:c r="M12" s="48" t="str">
        <x:f>IFERROR(IF(VLOOKUP($A12,Parts!$A$2:$M$200,12,FALSE())=0,"",VLOOKUP($A12,Parts!$A$2:$M$200,12,FALSE())),"")</x:f>
        <x:v>Polarisiert; Bauform B</x:v>
      </x:c>
      <x:c r="N12" s="59"/>
      <x:c r="O12" s="60" t="s">
        <x:v>825</x:v>
      </x:c>
      <x:c r="S12" t="str">
        <x:f>IF(O12="drucken",COUNTIF($O$5:O12,"drucken"),"")</x:f>
      </x:c>
    </x:row>
    <x:row r="13" ht="15" customHeight="1">
      <x:c r="A13" t="s">
        <x:v>81</x:v>
      </x:c>
      <x:c r="B13" t="str">
        <x:f>IFERROR(IF(VLOOKUP($A13,Parts!$A$2:$M$200,2,FALSE())=0,"",VLOOKUP($A13,Parts!$A$2:$M$200,2,FALSE())),"")</x:f>
        <x:v>Spannungsregler</x:v>
      </x:c>
      <x:c r="C13" s="48" t="str">
        <x:f>IFERROR(IF(VLOOKUP($A13,Parts!$A$2:$M$200,3,FALSE())=0,"",VLOOKUP($A13,Parts!$A$2:$M$200,3,FALSE())),"")</x:f>
        <x:v>LDO 3.3V SOT-223</x:v>
      </x:c>
      <x:c r="D13" s="48" t="str">
        <x:f>IFERROR(IF(VLOOKUP($A13,Parts!$A$2:$M$200,4,FALSE())=0,"",VLOOKUP($A13,Parts!$A$2:$M$200,4,FALSE())),"")</x:f>
        <x:v>3,3 V, 1 A</x:v>
      </x:c>
      <x:c r="E13" s="48" t="str">
        <x:f>IFERROR(IF(VLOOKUP($A13,Parts!$A$2:$M$200,5,FALSE())=0,"",VLOOKUP($A13,Parts!$A$2:$M$200,5,FALSE())),"")</x:f>
        <x:v>Package_TO_SOT_SMD:SOT-223-3_TabPin2</x:v>
      </x:c>
      <x:c r="F13" t="str">
        <x:f>IFERROR(IF(VLOOKUP($A13,Parts!$A$2:$M$200,6,FALSE())=0,"",VLOOKUP($A13,Parts!$A$2:$M$200,6,FALSE())),"")</x:f>
        <x:v>Texas Instruments</x:v>
      </x:c>
      <x:c r="G13" t="str">
        <x:f>IFERROR(IF(VLOOKUP($A13,Parts!$A$2:$M$200,7,FALSE())=0,"",VLOOKUP($A13,Parts!$A$2:$M$200,7,FALSE())),"")</x:f>
        <x:v>LM3940IMP-3.3/NOPB</x:v>
      </x:c>
      <x:c r="H13" s="58" t="s">
        <x:v>829</x:v>
      </x:c>
      <x:c r="I13" t="str">
        <x:f>IF(OR($A13="",$H13=""),"",IFERROR(IF(INDEX(Part_Suppliers!$C$2:$C$300,MATCH($A13&amp;"|"&amp;$H13,Part_Suppliers!$K$2:$K$300,0))=0,"",INDEX(Part_Suppliers!$C$2:$C$300,MATCH($A13&amp;"|"&amp;$H13,Part_Suppliers!$K$2:$K$300,0))),""))</x:f>
        <x:v>BKL 10120946</x:v>
      </x:c>
      <x:c r="J13" s="50">
        <x:v>0</x:v>
      </x:c>
      <x:c r="K13" s="50">
        <x:v>3</x:v>
      </x:c>
      <x:c r="L13" s="48" t="str">
        <x:f>IFERROR(IF(VLOOKUP($A13,Parts!$A$2:$M$200,8,FALSE())=0,"",VLOOKUP($A13,Parts!$A$2:$M$200,8,FALSE())),"")</x:f>
        <x:v>EnvNode; EnvNodeMini Rev 0.2</x:v>
      </x:c>
      <x:c r="M13" s="48" t="str">
        <x:f>IFERROR(IF(VLOOKUP($A13,Parts!$A$2:$M$200,12,FALSE())=0,"",VLOOKUP($A13,Parts!$A$2:$M$200,12,FALSE())),"")</x:f>
        <x:v>Footprint und thermische Auslegung vor Bestückung prüfen</x:v>
      </x:c>
      <x:c r="N13" s="59" t="s">
        <x:v>832</x:v>
      </x:c>
      <x:c r="O13" s="60" t="s">
        <x:v>825</x:v>
      </x:c>
      <x:c r="S13" t="str">
        <x:f>IF(O13="drucken",COUNTIF($O$5:O13,"drucken"),"")</x:f>
      </x:c>
    </x:row>
    <x:row r="14" ht="39.5" customHeight="1">
      <x:c r="A14" t="s">
        <x:v>90</x:v>
      </x:c>
      <x:c r="B14" t="str">
        <x:f>IFERROR(IF(VLOOKUP($A14,Parts!$A$2:$M$200,2,FALSE())=0,"",VLOOKUP($A14,Parts!$A$2:$M$200,2,FALSE())),"")</x:f>
        <x:v>Entwicklungsmodul</x:v>
      </x:c>
      <x:c r="C14" s="48" t="str">
        <x:f>IFERROR(IF(VLOOKUP($A14,Parts!$A$2:$M$200,3,FALSE())=0,"",VLOOKUP($A14,Parts!$A$2:$M$200,3,FALSE())),"")</x:f>
        <x:v>ESP32-DevKitC</x:v>
      </x:c>
      <x:c r="D14" s="48" t="str">
        <x:f>IFERROR(IF(VLOOKUP($A14,Parts!$A$2:$M$200,4,FALSE())=0,"",VLOOKUP($A14,Parts!$A$2:$M$200,4,FALSE())),"")</x:f>
        <x:v>38 Pin</x:v>
      </x:c>
      <x:c r="E14" s="48" t="str">
        <x:f>IFERROR(IF(VLOOKUP($A14,Parts!$A$2:$M$200,5,FALSE())=0,"",VLOOKUP($A14,Parts!$A$2:$M$200,5,FALSE())),"")</x:f>
        <x:v>PCM_Espressif:ESP32-DevKitC</x:v>
      </x:c>
      <x:c r="F14" t="str">
        <x:f>IFERROR(IF(VLOOKUP($A14,Parts!$A$2:$M$200,6,FALSE())=0,"",VLOOKUP($A14,Parts!$A$2:$M$200,6,FALSE())),"")</x:f>
        <x:v>Espressif Systems</x:v>
      </x:c>
      <x:c r="G14" t="str">
        <x:f>IFERROR(IF(VLOOKUP($A14,Parts!$A$2:$M$200,7,FALSE())=0,"",VLOOKUP($A14,Parts!$A$2:$M$200,7,FALSE())),"")</x:f>
      </x:c>
      <x:c r="H14" s="58" t="s">
        <x:v>833</x:v>
      </x:c>
      <x:c r="I14" t="str">
        <x:f>IF(OR($A14="",$H14=""),"",IFERROR(IF(INDEX(Part_Suppliers!$C$2:$C$300,MATCH($A14&amp;"|"&amp;$H14,Part_Suppliers!$K$2:$K$300,0))=0,"",INDEX(Part_Suppliers!$C$2:$C$300,MATCH($A14&amp;"|"&amp;$H14,Part_Suppliers!$K$2:$K$300,0))),""))</x:f>
      </x:c>
      <x:c r="J14" s="50">
        <x:v>3</x:v>
      </x:c>
      <x:c r="K14" s="50">
        <x:v>0</x:v>
      </x:c>
      <x:c r="L14" s="48" t="str">
        <x:f>IFERROR(IF(VLOOKUP($A14,Parts!$A$2:$M$200,8,FALSE())=0,"",VLOOKUP($A14,Parts!$A$2:$M$200,8,FALSE())),"")</x:f>
        <x:v>EnvNode; EnvNodeMini Rev 0.2</x:v>
      </x:c>
      <x:c r="M14" s="48" t="str">
        <x:f>IFERROR(IF(VLOOKUP($A14,Parts!$A$2:$M$200,12,FALSE())=0,"",VLOOKUP($A14,Parts!$A$2:$M$200,12,FALSE())),"")</x:f>
        <x:v>Exakte Modulvariante und Pinout vor Bestückung prüfen Hersteller/MPN aus verschobenen Altdaten korrigiert; genaue DevKitC-Variante fehlt.</x:v>
      </x:c>
      <x:c r="N14" s="59"/>
      <x:c r="O14" s="60" t="s">
        <x:v>825</x:v>
      </x:c>
      <x:c r="S14" t="str">
        <x:f>IF(O14="drucken",COUNTIF($O$5:O14,"drucken"),"")</x:f>
      </x:c>
    </x:row>
    <x:row r="15" ht="39.5" customHeight="1">
      <x:c r="A15" t="s">
        <x:v>99</x:v>
      </x:c>
      <x:c r="B15" t="str">
        <x:f>IFERROR(IF(VLOOKUP($A15,Parts!$A$2:$M$200,2,FALSE())=0,"",VLOOKUP($A15,Parts!$A$2:$M$200,2,FALSE())),"")</x:f>
        <x:v>PCB</x:v>
      </x:c>
      <x:c r="C15" s="48" t="str">
        <x:f>IFERROR(IF(VLOOKUP($A15,Parts!$A$2:$M$200,3,FALSE())=0,"",VLOOKUP($A15,Parts!$A$2:$M$200,3,FALSE())),"")</x:f>
        <x:v>EnvNode Mainboard Rev 0.1</x:v>
      </x:c>
      <x:c r="D15" s="48" t="str">
        <x:f>IFERROR(IF(VLOOKUP($A15,Parts!$A$2:$M$200,4,FALSE())=0,"",VLOOKUP($A15,Parts!$A$2:$M$200,4,FALSE())),"")</x:f>
        <x:v>Revision 0.1</x:v>
      </x:c>
      <x:c r="E15" s="48" t="str">
        <x:f>IFERROR(IF(VLOOKUP($A15,Parts!$A$2:$M$200,5,FALSE())=0,"",VLOOKUP($A15,Parts!$A$2:$M$200,5,FALSE())),"")</x:f>
      </x:c>
      <x:c r="F15" t="str">
        <x:f>IFERROR(IF(VLOOKUP($A15,Parts!$A$2:$M$200,6,FALSE())=0,"",VLOOKUP($A15,Parts!$A$2:$M$200,6,FALSE())),"")</x:f>
        <x:v>JLCPCB</x:v>
      </x:c>
      <x:c r="G15" t="str">
        <x:f>IFERROR(IF(VLOOKUP($A15,Parts!$A$2:$M$200,7,FALSE())=0,"",VLOOKUP($A15,Parts!$A$2:$M$200,7,FALSE())),"")</x:f>
      </x:c>
      <x:c r="H15" s="58" t="s">
        <x:v>103</x:v>
      </x:c>
      <x:c r="I15" t="str">
        <x:f>IF(OR($A15="",$H15=""),"",IFERROR(IF(INDEX(Part_Suppliers!$C$2:$C$300,MATCH($A15&amp;"|"&amp;$H15,Part_Suppliers!$K$2:$K$300,0))=0,"",INDEX(Part_Suppliers!$C$2:$C$300,MATCH($A15&amp;"|"&amp;$H15,Part_Suppliers!$K$2:$K$300,0))),""))</x:f>
      </x:c>
      <x:c r="J15" s="50">
        <x:v>5</x:v>
      </x:c>
      <x:c r="K15" s="50">
        <x:v>0</x:v>
      </x:c>
      <x:c r="L15" s="48" t="str">
        <x:f>IFERROR(IF(VLOOKUP($A15,Parts!$A$2:$M$200,8,FALSE())=0,"",VLOOKUP($A15,Parts!$A$2:$M$200,8,FALSE())),"")</x:f>
        <x:v>EnvNode</x:v>
      </x:c>
      <x:c r="M15" s="48" t="str">
        <x:f>IFERROR(IF(VLOOKUP($A15,Parts!$A$2:$M$200,12,FALSE())=0,"",VLOOKUP($A15,Parts!$A$2:$M$200,12,FALSE())),"")</x:f>
        <x:v>Unbestückte Leiterplatte; SMD-Lötjumper sind PCB-Strukturen und keine Kaufteile Historische PCB-Revision; aktueller KiCad-Stand ist Revision 0.2.</x:v>
      </x:c>
      <x:c r="N15" s="59"/>
      <x:c r="O15" s="60" t="s">
        <x:v>825</x:v>
      </x:c>
      <x:c r="S15" t="str">
        <x:f>IF(O15="drucken",COUNTIF($O$5:O15,"drucken"),"")</x:f>
      </x:c>
    </x:row>
    <x:row r="16" ht="26.25" customHeight="1">
      <x:c r="A16" t="s">
        <x:v>106</x:v>
      </x:c>
      <x:c r="B16" t="str">
        <x:f>IFERROR(IF(VLOOKUP($A16,Parts!$A$2:$M$200,2,FALSE())=0,"",VLOOKUP($A16,Parts!$A$2:$M$200,2,FALSE())),"")</x:f>
        <x:v>Steckverbinder</x:v>
      </x:c>
      <x:c r="C16" s="48" t="str">
        <x:f>IFERROR(IF(VLOOKUP($A16,Parts!$A$2:$M$200,3,FALSE())=0,"",VLOOKUP($A16,Parts!$A$2:$M$200,3,FALSE())),"")</x:f>
        <x:v>JST - Stiftleiste, gerade, 1x2-polig - PH</x:v>
      </x:c>
      <x:c r="D16" s="48" t="str">
        <x:f>IFERROR(IF(VLOOKUP($A16,Parts!$A$2:$M$200,4,FALSE())=0,"",VLOOKUP($A16,Parts!$A$2:$M$200,4,FALSE())),"")</x:f>
        <x:v>JST-PH, 2-polig, 2,00 mm</x:v>
      </x:c>
      <x:c r="E16" s="48" t="str">
        <x:f>IFERROR(IF(VLOOKUP($A16,Parts!$A$2:$M$200,5,FALSE())=0,"",VLOOKUP($A16,Parts!$A$2:$M$200,5,FALSE())),"")</x:f>
        <x:v>Connector_JST:JST_PH_B2B-PH-K_1x02_P2.00mm_Vertical</x:v>
      </x:c>
      <x:c r="F16" t="str">
        <x:f>IFERROR(IF(VLOOKUP($A16,Parts!$A$2:$M$200,6,FALSE())=0,"",VLOOKUP($A16,Parts!$A$2:$M$200,6,FALSE())),"")</x:f>
        <x:v>JST</x:v>
      </x:c>
      <x:c r="G16" t="str">
        <x:f>IFERROR(IF(VLOOKUP($A16,Parts!$A$2:$M$200,7,FALSE())=0,"",VLOOKUP($A16,Parts!$A$2:$M$200,7,FALSE())),"")</x:f>
        <x:v>B2B-PH-K-S</x:v>
      </x:c>
      <x:c r="H16" s="58" t="s">
        <x:v>829</x:v>
      </x:c>
      <x:c r="I16" t="str">
        <x:f>IF(OR($A16="",$H16=""),"",IFERROR(IF(INDEX(Part_Suppliers!$C$2:$C$300,MATCH($A16&amp;"|"&amp;$H16,Part_Suppliers!$K$2:$K$300,0))=0,"",INDEX(Part_Suppliers!$C$2:$C$300,MATCH($A16&amp;"|"&amp;$H16,Part_Suppliers!$K$2:$K$300,0))),""))</x:f>
        <x:v>BKL 10120946</x:v>
      </x:c>
      <x:c r="J16" s="50">
        <x:v>0</x:v>
      </x:c>
      <x:c r="K16" s="50">
        <x:v>0</x:v>
      </x:c>
      <x:c r="L16" s="48" t="str">
        <x:f>IFERROR(IF(VLOOKUP($A16,Parts!$A$2:$M$200,8,FALSE())=0,"",VLOOKUP($A16,Parts!$A$2:$M$200,8,FALSE())),"")</x:f>
        <x:v>EnvNode; EnvNodeMini Rev 0.2</x:v>
      </x:c>
      <x:c r="M16" s="48" t="str">
        <x:f>IFERROR(IF(VLOOKUP($A16,Parts!$A$2:$M$200,12,FALSE())=0,"",VLOOKUP($A16,Parts!$A$2:$M$200,12,FALSE())),"")</x:f>
      </x:c>
      <x:c r="N16" s="59"/>
      <x:c r="O16" s="60" t="s">
        <x:v>825</x:v>
      </x:c>
      <x:c r="S16" t="str">
        <x:f>IF(O16="drucken",COUNTIF($O$5:O16,"drucken"),"")</x:f>
      </x:c>
    </x:row>
    <x:row r="17" ht="15" customHeight="1">
      <x:c r="A17" t="s">
        <x:v>112</x:v>
      </x:c>
      <x:c r="B17" t="str">
        <x:f>IFERROR(IF(VLOOKUP($A17,Parts!$A$2:$M$200,2,FALSE())=0,"",VLOOKUP($A17,Parts!$A$2:$M$200,2,FALSE())),"")</x:f>
        <x:v>MOSFET</x:v>
      </x:c>
      <x:c r="C17" s="48" t="str">
        <x:f>IFERROR(IF(VLOOKUP($A17,Parts!$A$2:$M$200,3,FALSE())=0,"",VLOOKUP($A17,Parts!$A$2:$M$200,3,FALSE())),"")</x:f>
        <x:v>MOSFET, N-Ch 30V 5,7A 0,018R, SOT-23</x:v>
      </x:c>
      <x:c r="D17" s="48" t="str">
        <x:f>IFERROR(IF(VLOOKUP($A17,Parts!$A$2:$M$200,4,FALSE())=0,"",VLOOKUP($A17,Parts!$A$2:$M$200,4,FALSE())),"")</x:f>
        <x:v>N-Kanal, 30 V, 5,7 A</x:v>
      </x:c>
      <x:c r="E17" s="48" t="str">
        <x:f>IFERROR(IF(VLOOKUP($A17,Parts!$A$2:$M$200,5,FALSE())=0,"",VLOOKUP($A17,Parts!$A$2:$M$200,5,FALSE())),"")</x:f>
        <x:v>Package_TO_SOT_SMD:SOT-23</x:v>
      </x:c>
      <x:c r="F17" t="str">
        <x:f>IFERROR(IF(VLOOKUP($A17,Parts!$A$2:$M$200,6,FALSE())=0,"",VLOOKUP($A17,Parts!$A$2:$M$200,6,FALSE())),"")</x:f>
        <x:v>Alpha&amp;Omega Semiconductor</x:v>
      </x:c>
      <x:c r="G17" t="str">
        <x:f>IFERROR(IF(VLOOKUP($A17,Parts!$A$2:$M$200,7,FALSE())=0,"",VLOOKUP($A17,Parts!$A$2:$M$200,7,FALSE())),"")</x:f>
        <x:v>AO3400A</x:v>
      </x:c>
      <x:c r="H17" s="58" t="s">
        <x:v>829</x:v>
      </x:c>
      <x:c r="I17" t="str">
        <x:f>IF(OR($A17="",$H17=""),"",IFERROR(IF(INDEX(Part_Suppliers!$C$2:$C$300,MATCH($A17&amp;"|"&amp;$H17,Part_Suppliers!$K$2:$K$300,0))=0,"",INDEX(Part_Suppliers!$C$2:$C$300,MATCH($A17&amp;"|"&amp;$H17,Part_Suppliers!$K$2:$K$300,0))),""))</x:f>
        <x:v>BKL 10120946</x:v>
      </x:c>
      <x:c r="J17" s="50">
        <x:v>0</x:v>
      </x:c>
      <x:c r="K17" s="50">
        <x:v>5</x:v>
      </x:c>
      <x:c r="L17" s="48" t="str">
        <x:f>IFERROR(IF(VLOOKUP($A17,Parts!$A$2:$M$200,8,FALSE())=0,"",VLOOKUP($A17,Parts!$A$2:$M$200,8,FALSE())),"")</x:f>
        <x:v>RainDetector</x:v>
      </x:c>
      <x:c r="M17" s="48" t="str">
        <x:f>IFERROR(IF(VLOOKUP($A17,Parts!$A$2:$M$200,12,FALSE())=0,"",VLOOKUP($A17,Parts!$A$2:$M$200,12,FALSE())),"")</x:f>
      </x:c>
      <x:c r="N17" s="59" t="s">
        <x:v>832</x:v>
      </x:c>
      <x:c r="O17" s="60" t="s">
        <x:v>825</x:v>
      </x:c>
      <x:c r="S17" t="str">
        <x:f>IF(O17="drucken",COUNTIF($O$5:O17,"drucken"),"")</x:f>
      </x:c>
    </x:row>
    <x:row r="18" ht="26.25" customHeight="1">
      <x:c r="A18" t="s">
        <x:v>121</x:v>
      </x:c>
      <x:c r="B18" t="str">
        <x:f>IFERROR(IF(VLOOKUP($A18,Parts!$A$2:$M$200,2,FALSE())=0,"",VLOOKUP($A18,Parts!$A$2:$M$200,2,FALSE())),"")</x:f>
        <x:v>Sensormodul</x:v>
      </x:c>
      <x:c r="C18" s="48" t="str">
        <x:f>IFERROR(IF(VLOOKUP($A18,Parts!$A$2:$M$200,3,FALSE())=0,"",VLOOKUP($A18,Parts!$A$2:$M$200,3,FALSE())),"")</x:f>
        <x:v>Arduino - Temperatur- &amp; Feuchtigkeitssensor, SHTC3</x:v>
      </x:c>
      <x:c r="D18" s="48" t="str">
        <x:f>IFERROR(IF(VLOOKUP($A18,Parts!$A$2:$M$200,4,FALSE())=0,"",VLOOKUP($A18,Parts!$A$2:$M$200,4,FALSE())),"")</x:f>
        <x:v>SHTC3 Breakout</x:v>
      </x:c>
      <x:c r="E18" s="48" t="str">
        <x:f>IFERROR(IF(VLOOKUP($A18,Parts!$A$2:$M$200,5,FALSE())=0,"",VLOOKUP($A18,Parts!$A$2:$M$200,5,FALSE())),"")</x:f>
      </x:c>
      <x:c r="F18" t="str">
        <x:f>IFERROR(IF(VLOOKUP($A18,Parts!$A$2:$M$200,6,FALSE())=0,"",VLOOKUP($A18,Parts!$A$2:$M$200,6,FALSE())),"")</x:f>
        <x:v>Soldered</x:v>
      </x:c>
      <x:c r="G18" t="n">
        <x:f>IFERROR(IF(VLOOKUP($A18,Parts!$A$2:$M$200,7,FALSE())=0,"",VLOOKUP($A18,Parts!$A$2:$M$200,7,FALSE())),"")</x:f>
        <x:v>333032</x:v>
      </x:c>
      <x:c r="H18" s="58" t="s">
        <x:v>829</x:v>
      </x:c>
      <x:c r="I18" t="str">
        <x:f>IF(OR($A18="",$H18=""),"",IFERROR(IF(INDEX(Part_Suppliers!$C$2:$C$300,MATCH($A18&amp;"|"&amp;$H18,Part_Suppliers!$K$2:$K$300,0))=0,"",INDEX(Part_Suppliers!$C$2:$C$300,MATCH($A18&amp;"|"&amp;$H18,Part_Suppliers!$K$2:$K$300,0))),""))</x:f>
        <x:v>BKL 10120946</x:v>
      </x:c>
      <x:c r="J18" s="50">
        <x:v>0</x:v>
      </x:c>
      <x:c r="K18" s="50">
        <x:v>1</x:v>
      </x:c>
      <x:c r="L18" s="48" t="str">
        <x:f>IFERROR(IF(VLOOKUP($A18,Parts!$A$2:$M$200,8,FALSE())=0,"",VLOOKUP($A18,Parts!$A$2:$M$200,8,FALSE())),"")</x:f>
        <x:v>Sensor</x:v>
      </x:c>
      <x:c r="M18" s="48" t="str">
        <x:f>IFERROR(IF(VLOOKUP($A18,Parts!$A$2:$M$200,12,FALSE())=0,"",VLOOKUP($A18,Parts!$A$2:$M$200,12,FALSE())),"")</x:f>
      </x:c>
      <x:c r="N18" s="59" t="s">
        <x:v>832</x:v>
      </x:c>
      <x:c r="O18" s="60" t="s">
        <x:v>825</x:v>
      </x:c>
      <x:c r="S18" t="str">
        <x:f>IF(O18="drucken",COUNTIF($O$5:O18,"drucken"),"")</x:f>
      </x:c>
    </x:row>
    <x:row r="19" ht="26.25" customHeight="1">
      <x:c r="A19" t="s">
        <x:v>128</x:v>
      </x:c>
      <x:c r="B19" t="str">
        <x:f>IFERROR(IF(VLOOKUP($A19,Parts!$A$2:$M$200,2,FALSE())=0,"",VLOOKUP($A19,Parts!$A$2:$M$200,2,FALSE())),"")</x:f>
        <x:v>Entwicklungsmodul</x:v>
      </x:c>
      <x:c r="C19" s="48" t="str">
        <x:f>IFERROR(IF(VLOOKUP($A19,Parts!$A$2:$M$200,3,FALSE())=0,"",VLOOKUP($A19,Parts!$A$2:$M$200,3,FALSE())),"")</x:f>
        <x:v>Entwicklerboards - ADC, 4 Kanal, 16-Bit, ADS1115</x:v>
      </x:c>
      <x:c r="D19" s="48" t="str">
        <x:f>IFERROR(IF(VLOOKUP($A19,Parts!$A$2:$M$200,4,FALSE())=0,"",VLOOKUP($A19,Parts!$A$2:$M$200,4,FALSE())),"")</x:f>
        <x:v>ADS1115 Breakout, 4 Kanal, 16 Bit</x:v>
      </x:c>
      <x:c r="E19" s="48" t="str">
        <x:f>IFERROR(IF(VLOOKUP($A19,Parts!$A$2:$M$200,5,FALSE())=0,"",VLOOKUP($A19,Parts!$A$2:$M$200,5,FALSE())),"")</x:f>
      </x:c>
      <x:c r="F19" t="str">
        <x:f>IFERROR(IF(VLOOKUP($A19,Parts!$A$2:$M$200,6,FALSE())=0,"",VLOOKUP($A19,Parts!$A$2:$M$200,6,FALSE())),"")</x:f>
        <x:v>Soldered</x:v>
      </x:c>
      <x:c r="G19" t="n">
        <x:f>IFERROR(IF(VLOOKUP($A19,Parts!$A$2:$M$200,7,FALSE())=0,"",VLOOKUP($A19,Parts!$A$2:$M$200,7,FALSE())),"")</x:f>
        <x:v>333095</x:v>
      </x:c>
      <x:c r="H19" s="58" t="s">
        <x:v>829</x:v>
      </x:c>
      <x:c r="I19" t="str">
        <x:f>IF(OR($A19="",$H19=""),"",IFERROR(IF(INDEX(Part_Suppliers!$C$2:$C$300,MATCH($A19&amp;"|"&amp;$H19,Part_Suppliers!$K$2:$K$300,0))=0,"",INDEX(Part_Suppliers!$C$2:$C$300,MATCH($A19&amp;"|"&amp;$H19,Part_Suppliers!$K$2:$K$300,0))),""))</x:f>
        <x:v>BKL 10120946</x:v>
      </x:c>
      <x:c r="J19" s="50">
        <x:v>0</x:v>
      </x:c>
      <x:c r="K19" s="50">
        <x:v>1</x:v>
      </x:c>
      <x:c r="L19" s="48" t="str">
        <x:f>IFERROR(IF(VLOOKUP($A19,Parts!$A$2:$M$200,8,FALSE())=0,"",VLOOKUP($A19,Parts!$A$2:$M$200,8,FALSE())),"")</x:f>
        <x:v>A/D Wandler</x:v>
      </x:c>
      <x:c r="M19" s="48" t="str">
        <x:f>IFERROR(IF(VLOOKUP($A19,Parts!$A$2:$M$200,12,FALSE())=0,"",VLOOKUP($A19,Parts!$A$2:$M$200,12,FALSE())),"")</x:f>
      </x:c>
      <x:c r="N19" s="59" t="s">
        <x:v>834</x:v>
      </x:c>
      <x:c r="O19" s="60" t="s">
        <x:v>825</x:v>
      </x:c>
      <x:c r="S19" t="str">
        <x:f>IF(O19="drucken",COUNTIF($O$5:O19,"drucken"),"")</x:f>
      </x:c>
    </x:row>
    <x:row r="20" ht="26.25" customHeight="1">
      <x:c r="A20" t="s">
        <x:v>133</x:v>
      </x:c>
      <x:c r="B20" t="str">
        <x:f>IFERROR(IF(VLOOKUP($A20,Parts!$A$2:$M$200,2,FALSE())=0,"",VLOOKUP($A20,Parts!$A$2:$M$200,2,FALSE())),"")</x:f>
        <x:v>Widerstand</x:v>
      </x:c>
      <x:c r="C20" s="48" t="str">
        <x:f>IFERROR(IF(VLOOKUP($A20,Parts!$A$2:$M$200,3,FALSE())=0,"",VLOOKUP($A20,Parts!$A$2:$M$200,3,FALSE())),"")</x:f>
        <x:v>SMD-Widerstand, 1206, 100 kOhm, 250 mW, 0,1%</x:v>
      </x:c>
      <x:c r="D20" s="48" t="str">
        <x:f>IFERROR(IF(VLOOKUP($A20,Parts!$A$2:$M$200,4,FALSE())=0,"",VLOOKUP($A20,Parts!$A$2:$M$200,4,FALSE())),"")</x:f>
        <x:v>100 kΩ, 0,1 %, 250 mW</x:v>
      </x:c>
      <x:c r="E20" s="48" t="str">
        <x:f>IFERROR(IF(VLOOKUP($A20,Parts!$A$2:$M$200,5,FALSE())=0,"",VLOOKUP($A20,Parts!$A$2:$M$200,5,FALSE())),"")</x:f>
        <x:v>Resistor_SMD:R_1206_3216Metric_Pad1.30x1.75mm_HandSolder</x:v>
      </x:c>
      <x:c r="F20" t="str">
        <x:f>IFERROR(IF(VLOOKUP($A20,Parts!$A$2:$M$200,6,FALSE())=0,"",VLOOKUP($A20,Parts!$A$2:$M$200,6,FALSE())),"")</x:f>
        <x:v>Panasonic</x:v>
      </x:c>
      <x:c r="G20" t="str">
        <x:f>IFERROR(IF(VLOOKUP($A20,Parts!$A$2:$M$200,7,FALSE())=0,"",VLOOKUP($A20,Parts!$A$2:$M$200,7,FALSE())),"")</x:f>
        <x:v>ERA8AEB104V</x:v>
      </x:c>
      <x:c r="H20" s="58" t="s">
        <x:v>829</x:v>
      </x:c>
      <x:c r="I20" t="str">
        <x:f>IF(OR($A20="",$H20=""),"",IFERROR(IF(INDEX(Part_Suppliers!$C$2:$C$300,MATCH($A20&amp;"|"&amp;$H20,Part_Suppliers!$K$2:$K$300,0))=0,"",INDEX(Part_Suppliers!$C$2:$C$300,MATCH($A20&amp;"|"&amp;$H20,Part_Suppliers!$K$2:$K$300,0))),""))</x:f>
        <x:v>BKL 10120946</x:v>
      </x:c>
      <x:c r="J20" s="50">
        <x:v>4</x:v>
      </x:c>
      <x:c r="K20" s="50">
        <x:v>0</x:v>
      </x:c>
      <x:c r="L20" s="48" t="str">
        <x:f>IFERROR(IF(VLOOKUP($A20,Parts!$A$2:$M$200,8,FALSE())=0,"",VLOOKUP($A20,Parts!$A$2:$M$200,8,FALSE())),"")</x:f>
        <x:v>RainDetector; DuoRelay; AnalogHydroPressure</x:v>
      </x:c>
      <x:c r="M20" s="48" t="str">
        <x:f>IFERROR(IF(VLOOKUP($A20,Parts!$A$2:$M$200,12,FALSE())=0,"",VLOOKUP($A20,Parts!$A$2:$M$200,12,FALSE())),"")</x:f>
        <x:v>Lieferanten-Bestellnummer in der Altdatei enthält vermischte Angaben.</x:v>
      </x:c>
      <x:c r="N20" s="59"/>
      <x:c r="O20" s="60" t="s">
        <x:v>825</x:v>
      </x:c>
      <x:c r="S20" t="str">
        <x:f>IF(O20="drucken",COUNTIF($O$5:O20,"drucken"),"")</x:f>
      </x:c>
    </x:row>
    <x:row r="21" ht="26.25" customHeight="1">
      <x:c r="A21" t="s">
        <x:v>141</x:v>
      </x:c>
      <x:c r="B21" t="str">
        <x:f>IFERROR(IF(VLOOKUP($A21,Parts!$A$2:$M$200,2,FALSE())=0,"",VLOOKUP($A21,Parts!$A$2:$M$200,2,FALSE())),"")</x:f>
        <x:v>Widerstand</x:v>
      </x:c>
      <x:c r="C21" s="48" t="str">
        <x:f>IFERROR(IF(VLOOKUP($A21,Parts!$A$2:$M$200,3,FALSE())=0,"",VLOOKUP($A21,Parts!$A$2:$M$200,3,FALSE())),"")</x:f>
        <x:v>SMD-Widerstand, 1206, 100 Ohm, 250 mW, 5%</x:v>
      </x:c>
      <x:c r="D21" s="48" t="str">
        <x:f>IFERROR(IF(VLOOKUP($A21,Parts!$A$2:$M$200,4,FALSE())=0,"",VLOOKUP($A21,Parts!$A$2:$M$200,4,FALSE())),"")</x:f>
        <x:v>100 Ω, 5 %, 250 mW</x:v>
      </x:c>
      <x:c r="E21" s="48" t="str">
        <x:f>IFERROR(IF(VLOOKUP($A21,Parts!$A$2:$M$200,5,FALSE())=0,"",VLOOKUP($A21,Parts!$A$2:$M$200,5,FALSE())),"")</x:f>
        <x:v>Resistor_SMD:R_1206_3216Metric_Pad1.30x1.75mm_HandSolder</x:v>
      </x:c>
      <x:c r="F21" t="str">
        <x:f>IFERROR(IF(VLOOKUP($A21,Parts!$A$2:$M$200,6,FALSE())=0,"",VLOOKUP($A21,Parts!$A$2:$M$200,6,FALSE())),"")</x:f>
        <x:v>YAGEO</x:v>
      </x:c>
      <x:c r="G21" t="str">
        <x:f>IFERROR(IF(VLOOKUP($A21,Parts!$A$2:$M$200,7,FALSE())=0,"",VLOOKUP($A21,Parts!$A$2:$M$200,7,FALSE())),"")</x:f>
        <x:v>RC1206JR-07100RL</x:v>
      </x:c>
      <x:c r="H21" s="58" t="s">
        <x:v>829</x:v>
      </x:c>
      <x:c r="I21" t="str">
        <x:f>IF(OR($A21="",$H21=""),"",IFERROR(IF(INDEX(Part_Suppliers!$C$2:$C$300,MATCH($A21&amp;"|"&amp;$H21,Part_Suppliers!$K$2:$K$300,0))=0,"",INDEX(Part_Suppliers!$C$2:$C$300,MATCH($A21&amp;"|"&amp;$H21,Part_Suppliers!$K$2:$K$300,0))),""))</x:f>
        <x:v>BKL 10120946</x:v>
      </x:c>
      <x:c r="J21" s="50">
        <x:v>50</x:v>
      </x:c>
      <x:c r="K21" s="50">
        <x:v>0</x:v>
      </x:c>
      <x:c r="L21" s="48" t="str">
        <x:f>IFERROR(IF(VLOOKUP($A21,Parts!$A$2:$M$200,8,FALSE())=0,"",VLOOKUP($A21,Parts!$A$2:$M$200,8,FALSE())),"")</x:f>
        <x:v>RainDetector; SolarRadiation</x:v>
      </x:c>
      <x:c r="M21" s="48" t="str">
        <x:f>IFERROR(IF(VLOOKUP($A21,Parts!$A$2:$M$200,12,FALSE())=0,"",VLOOKUP($A21,Parts!$A$2:$M$200,12,FALSE())),"")</x:f>
      </x:c>
      <x:c r="N21" s="59"/>
      <x:c r="O21" s="60" t="s">
        <x:v>825</x:v>
      </x:c>
      <x:c r="S21" t="str">
        <x:f>IF(O21="drucken",COUNTIF($O$5:O21,"drucken"),"")</x:f>
      </x:c>
    </x:row>
    <x:row r="22" ht="26.25" customHeight="1">
      <x:c r="A22" t="s">
        <x:v>148</x:v>
      </x:c>
      <x:c r="B22" t="str">
        <x:f>IFERROR(IF(VLOOKUP($A22,Parts!$A$2:$M$200,2,FALSE())=0,"",VLOOKUP($A22,Parts!$A$2:$M$200,2,FALSE())),"")</x:f>
        <x:v>Widerstand</x:v>
      </x:c>
      <x:c r="C22" s="48" t="str">
        <x:f>IFERROR(IF(VLOOKUP($A22,Parts!$A$2:$M$200,3,FALSE())=0,"",VLOOKUP($A22,Parts!$A$2:$M$200,3,FALSE())),"")</x:f>
        <x:v>SMD-Widerstand, 1206, 10 kOhm, 250 mW, 0,1%</x:v>
      </x:c>
      <x:c r="D22" s="48" t="str">
        <x:f>IFERROR(IF(VLOOKUP($A22,Parts!$A$2:$M$200,4,FALSE())=0,"",VLOOKUP($A22,Parts!$A$2:$M$200,4,FALSE())),"")</x:f>
        <x:v>10 kΩ, 0,1 %, 250 mW</x:v>
      </x:c>
      <x:c r="E22" s="48" t="str">
        <x:f>IFERROR(IF(VLOOKUP($A22,Parts!$A$2:$M$200,5,FALSE())=0,"",VLOOKUP($A22,Parts!$A$2:$M$200,5,FALSE())),"")</x:f>
        <x:v>Resistor_SMD:R_1206_3216Metric_Pad1.30x1.75mm_HandSolder</x:v>
      </x:c>
      <x:c r="F22" t="str">
        <x:f>IFERROR(IF(VLOOKUP($A22,Parts!$A$2:$M$200,6,FALSE())=0,"",VLOOKUP($A22,Parts!$A$2:$M$200,6,FALSE())),"")</x:f>
        <x:v>Panasonic</x:v>
      </x:c>
      <x:c r="G22" t="str">
        <x:f>IFERROR(IF(VLOOKUP($A22,Parts!$A$2:$M$200,7,FALSE())=0,"",VLOOKUP($A22,Parts!$A$2:$M$200,7,FALSE())),"")</x:f>
        <x:v>ERA8AEB103V</x:v>
      </x:c>
      <x:c r="H22" s="58" t="s">
        <x:v>829</x:v>
      </x:c>
      <x:c r="I22" t="str">
        <x:f>IF(OR($A22="",$H22=""),"",IFERROR(IF(INDEX(Part_Suppliers!$C$2:$C$300,MATCH($A22&amp;"|"&amp;$H22,Part_Suppliers!$K$2:$K$300,0))=0,"",INDEX(Part_Suppliers!$C$2:$C$300,MATCH($A22&amp;"|"&amp;$H22,Part_Suppliers!$K$2:$K$300,0))),""))</x:f>
        <x:v>BKL 10120946</x:v>
      </x:c>
      <x:c r="J22" s="50">
        <x:v>9</x:v>
      </x:c>
      <x:c r="K22" s="50">
        <x:v>0</x:v>
      </x:c>
      <x:c r="L22" s="48" t="str">
        <x:f>IFERROR(IF(VLOOKUP($A22,Parts!$A$2:$M$200,8,FALSE())=0,"",VLOOKUP($A22,Parts!$A$2:$M$200,8,FALSE())),"")</x:f>
        <x:v>RainDetector</x:v>
      </x:c>
      <x:c r="M22" s="48" t="str">
        <x:f>IFERROR(IF(VLOOKUP($A22,Parts!$A$2:$M$200,12,FALSE())=0,"",VLOOKUP($A22,Parts!$A$2:$M$200,12,FALSE())),"")</x:f>
        <x:v>Offensichtlich zusammengesetzte MPN aus Altdaten normalisiert.</x:v>
      </x:c>
      <x:c r="N22" s="59"/>
      <x:c r="O22" s="60" t="s">
        <x:v>835</x:v>
      </x:c>
      <x:c r="S22" t="n">
        <x:f>IF(O22="drucken",COUNTIF($O$5:O22,"drucken"),"")</x:f>
        <x:v>1</x:v>
      </x:c>
    </x:row>
    <x:row r="23" ht="26.25" customHeight="1">
      <x:c r="A23" t="s">
        <x:v>154</x:v>
      </x:c>
      <x:c r="B23" t="str">
        <x:f>IFERROR(IF(VLOOKUP($A23,Parts!$A$2:$M$200,2,FALSE())=0,"",VLOOKUP($A23,Parts!$A$2:$M$200,2,FALSE())),"")</x:f>
        <x:v>Steckverbinder</x:v>
      </x:c>
      <x:c r="C23" s="48" t="str">
        <x:f>IFERROR(IF(VLOOKUP($A23,Parts!$A$2:$M$200,3,FALSE())=0,"",VLOOKUP($A23,Parts!$A$2:$M$200,3,FALSE())),"")</x:f>
        <x:v>Stiftleiste, 8-polig, Raster 2,54mm</x:v>
      </x:c>
      <x:c r="D23" s="48" t="str">
        <x:f>IFERROR(IF(VLOOKUP($A23,Parts!$A$2:$M$200,4,FALSE())=0,"",VLOOKUP($A23,Parts!$A$2:$M$200,4,FALSE())),"")</x:f>
        <x:v>1x8, 2,54 mm</x:v>
      </x:c>
      <x:c r="E23" s="48" t="str">
        <x:f>IFERROR(IF(VLOOKUP($A23,Parts!$A$2:$M$200,5,FALSE())=0,"",VLOOKUP($A23,Parts!$A$2:$M$200,5,FALSE())),"")</x:f>
        <x:v>Connector_PinHeader_2.54mm:PinHeader_1x08_P2.54mm_Vertical</x:v>
      </x:c>
      <x:c r="F23" t="str">
        <x:f>IFERROR(IF(VLOOKUP($A23,Parts!$A$2:$M$200,6,FALSE())=0,"",VLOOKUP($A23,Parts!$A$2:$M$200,6,FALSE())),"")</x:f>
        <x:v>BKL Electronic</x:v>
      </x:c>
      <x:c r="G23" t="n">
        <x:f>IFERROR(IF(VLOOKUP($A23,Parts!$A$2:$M$200,7,FALSE())=0,"",VLOOKUP($A23,Parts!$A$2:$M$200,7,FALSE())),"")</x:f>
        <x:v>10120505</x:v>
      </x:c>
      <x:c r="H23" s="58" t="s">
        <x:v>829</x:v>
      </x:c>
      <x:c r="I23" t="str">
        <x:f>IF(OR($A23="",$H23=""),"",IFERROR(IF(INDEX(Part_Suppliers!$C$2:$C$300,MATCH($A23&amp;"|"&amp;$H23,Part_Suppliers!$K$2:$K$300,0))=0,"",INDEX(Part_Suppliers!$C$2:$C$300,MATCH($A23&amp;"|"&amp;$H23,Part_Suppliers!$K$2:$K$300,0))),""))</x:f>
        <x:v>BKL 10120946</x:v>
      </x:c>
      <x:c r="J23" s="50">
        <x:v>0</x:v>
      </x:c>
      <x:c r="K23" s="50">
        <x:v>0</x:v>
      </x:c>
      <x:c r="L23" s="48" t="str">
        <x:f>IFERROR(IF(VLOOKUP($A23,Parts!$A$2:$M$200,8,FALSE())=0,"",VLOOKUP($A23,Parts!$A$2:$M$200,8,FALSE())),"")</x:f>
        <x:v>RainDetector</x:v>
      </x:c>
      <x:c r="M23" s="48" t="str">
        <x:f>IFERROR(IF(VLOOKUP($A23,Parts!$A$2:$M$200,12,FALSE())=0,"",VLOOKUP($A23,Parts!$A$2:$M$200,12,FALSE())),"")</x:f>
      </x:c>
      <x:c r="N23" s="59"/>
      <x:c r="O23" s="60" t="s">
        <x:v>825</x:v>
      </x:c>
      <x:c r="S23" t="str">
        <x:f>IF(O23="drucken",COUNTIF($O$5:O23,"drucken"),"")</x:f>
      </x:c>
    </x:row>
    <x:row r="24" ht="15" customHeight="1">
      <x:c r="A24" t="s">
        <x:v>161</x:v>
      </x:c>
      <x:c r="B24" t="str">
        <x:f>IFERROR(IF(VLOOKUP($A24,Parts!$A$2:$M$200,2,FALSE())=0,"",VLOOKUP($A24,Parts!$A$2:$M$200,2,FALSE())),"")</x:f>
        <x:v>IC</x:v>
      </x:c>
      <x:c r="C24" s="48" t="str">
        <x:f>IFERROR(IF(VLOOKUP($A24,Parts!$A$2:$M$200,3,FALSE())=0,"",VLOOKUP($A24,Parts!$A$2:$M$200,3,FALSE())),"")</x:f>
        <x:v>Timer-IC, Typ 555, SO-8</x:v>
      </x:c>
      <x:c r="D24" s="48" t="str">
        <x:f>IFERROR(IF(VLOOKUP($A24,Parts!$A$2:$M$200,4,FALSE())=0,"",VLOOKUP($A24,Parts!$A$2:$M$200,4,FALSE())),"")</x:f>
        <x:v>CMOS 555</x:v>
      </x:c>
      <x:c r="E24" s="48" t="str">
        <x:f>IFERROR(IF(VLOOKUP($A24,Parts!$A$2:$M$200,5,FALSE())=0,"",VLOOKUP($A24,Parts!$A$2:$M$200,5,FALSE())),"")</x:f>
        <x:v>Package_SO:SOIC-8_3.9x4.9mm_P1.27mm</x:v>
      </x:c>
      <x:c r="F24" t="str">
        <x:f>IFERROR(IF(VLOOKUP($A24,Parts!$A$2:$M$200,6,FALSE())=0,"",VLOOKUP($A24,Parts!$A$2:$M$200,6,FALSE())),"")</x:f>
        <x:v>Renesas</x:v>
      </x:c>
      <x:c r="G24" t="str">
        <x:f>IFERROR(IF(VLOOKUP($A24,Parts!$A$2:$M$200,7,FALSE())=0,"",VLOOKUP($A24,Parts!$A$2:$M$200,7,FALSE())),"")</x:f>
        <x:v>ICM7555IBAZ</x:v>
      </x:c>
      <x:c r="H24" s="58" t="s">
        <x:v>829</x:v>
      </x:c>
      <x:c r="I24" t="str">
        <x:f>IF(OR($A24="",$H24=""),"",IFERROR(IF(INDEX(Part_Suppliers!$C$2:$C$300,MATCH($A24&amp;"|"&amp;$H24,Part_Suppliers!$K$2:$K$300,0))=0,"",INDEX(Part_Suppliers!$C$2:$C$300,MATCH($A24&amp;"|"&amp;$H24,Part_Suppliers!$K$2:$K$300,0))),""))</x:f>
        <x:v>BKL 10120946</x:v>
      </x:c>
      <x:c r="J24" s="50">
        <x:v>3</x:v>
      </x:c>
      <x:c r="K24" s="50">
        <x:v>0</x:v>
      </x:c>
      <x:c r="L24" s="48" t="str">
        <x:f>IFERROR(IF(VLOOKUP($A24,Parts!$A$2:$M$200,8,FALSE())=0,"",VLOOKUP($A24,Parts!$A$2:$M$200,8,FALSE())),"")</x:f>
        <x:v>RainDetector</x:v>
      </x:c>
      <x:c r="M24" s="48" t="str">
        <x:f>IFERROR(IF(VLOOKUP($A24,Parts!$A$2:$M$200,12,FALSE())=0,"",VLOOKUP($A24,Parts!$A$2:$M$200,12,FALSE())),"")</x:f>
      </x:c>
      <x:c r="N24" s="59"/>
      <x:c r="O24" s="60" t="s">
        <x:v>825</x:v>
      </x:c>
      <x:c r="S24" t="str">
        <x:f>IF(O24="drucken",COUNTIF($O$5:O24,"drucken"),"")</x:f>
      </x:c>
    </x:row>
    <x:row r="25" ht="52.75" customHeight="1">
      <x:c r="A25" t="s">
        <x:v>169</x:v>
      </x:c>
      <x:c r="B25" t="str">
        <x:f>IFERROR(IF(VLOOKUP($A25,Parts!$A$2:$M$200,2,FALSE())=0,"",VLOOKUP($A25,Parts!$A$2:$M$200,2,FALSE())),"")</x:f>
        <x:v>Steckverbinder</x:v>
      </x:c>
      <x:c r="C25" s="48" t="str">
        <x:f>IFERROR(IF(VLOOKUP($A25,Parts!$A$2:$M$200,3,FALSE())=0,"",VLOOKUP($A25,Parts!$A$2:$M$200,3,FALSE())),"")</x:f>
        <x:v>PinSocket 1x8, 2,54mm SMD</x:v>
      </x:c>
      <x:c r="D25" s="48" t="str">
        <x:f>IFERROR(IF(VLOOKUP($A25,Parts!$A$2:$M$200,4,FALSE())=0,"",VLOOKUP($A25,Parts!$A$2:$M$200,4,FALSE())),"")</x:f>
        <x:v>1x8, 2,54 mm, SMD</x:v>
      </x:c>
      <x:c r="E25" s="48" t="str">
        <x:f>IFERROR(IF(VLOOKUP($A25,Parts!$A$2:$M$200,5,FALSE())=0,"",VLOOKUP($A25,Parts!$A$2:$M$200,5,FALSE())),"")</x:f>
      </x:c>
      <x:c r="F25" t="str">
        <x:f>IFERROR(IF(VLOOKUP($A25,Parts!$A$2:$M$200,6,FALSE())=0,"",VLOOKUP($A25,Parts!$A$2:$M$200,6,FALSE())),"")</x:f>
        <x:v>fischer Elektronik</x:v>
      </x:c>
      <x:c r="G25" t="str">
        <x:f>IFERROR(IF(VLOOKUP($A25,Parts!$A$2:$M$200,7,FALSE())=0,"",VLOOKUP($A25,Parts!$A$2:$M$200,7,FALSE())),"")</x:f>
        <x:v>BL 3 8 G</x:v>
      </x:c>
      <x:c r="H25" s="58" t="s">
        <x:v>829</x:v>
      </x:c>
      <x:c r="I25" t="str">
        <x:f>IF(OR($A25="",$H25=""),"",IFERROR(IF(INDEX(Part_Suppliers!$C$2:$C$300,MATCH($A25&amp;"|"&amp;$H25,Part_Suppliers!$K$2:$K$300,0))=0,"",INDEX(Part_Suppliers!$C$2:$C$300,MATCH($A25&amp;"|"&amp;$H25,Part_Suppliers!$K$2:$K$300,0))),""))</x:f>
        <x:v>BKL 10120946</x:v>
      </x:c>
      <x:c r="J25" s="50">
        <x:v>2</x:v>
      </x:c>
      <x:c r="K25" s="50">
        <x:v>0</x:v>
      </x:c>
      <x:c r="L25" s="48" t="str">
        <x:f>IFERROR(IF(VLOOKUP($A25,Parts!$A$2:$M$200,8,FALSE())=0,"",VLOOKUP($A25,Parts!$A$2:$M$200,8,FALSE())),"")</x:f>
        <x:v>Stall.biz/Weatherman-Detektorplatine</x:v>
      </x:c>
      <x:c r="M25" s="48" t="str">
        <x:f>IFERROR(IF(VLOOKUP($A25,Parts!$A$2:$M$200,12,FALSE())=0,"",VLOOKUP($A25,Parts!$A$2:$M$200,12,FALSE())),"")</x:f>
        <x:v>1×8-SMD-Buchsenleiste sitzt physisch auf der Stall.biz/Weatherman-Detektorplatine. Auf der RainDetector-Platine werden für J1/J2 die 1×8-THT-Stiftleisten ENP-00019 bestückt.</x:v>
      </x:c>
      <x:c r="N25" s="59"/>
      <x:c r="O25" s="60" t="s">
        <x:v>825</x:v>
      </x:c>
      <x:c r="S25" t="str">
        <x:f>IF(O25="drucken",COUNTIF($O$5:O25,"drucken"),"")</x:f>
      </x:c>
    </x:row>
    <x:row r="26" ht="26.25" customHeight="1">
      <x:c r="A26" t="s">
        <x:v>177</x:v>
      </x:c>
      <x:c r="B26" t="str">
        <x:f>IFERROR(IF(VLOOKUP($A26,Parts!$A$2:$M$200,2,FALSE())=0,"",VLOOKUP($A26,Parts!$A$2:$M$200,2,FALSE())),"")</x:f>
        <x:v>Widerstand</x:v>
      </x:c>
      <x:c r="C26" s="48" t="str">
        <x:f>IFERROR(IF(VLOOKUP($A26,Parts!$A$2:$M$200,3,FALSE())=0,"",VLOOKUP($A26,Parts!$A$2:$M$200,3,FALSE())),"")</x:f>
        <x:v>SMD-Widerstand, 1206, 47 Ohm, 250 mW, 5%</x:v>
      </x:c>
      <x:c r="D26" s="48" t="str">
        <x:f>IFERROR(IF(VLOOKUP($A26,Parts!$A$2:$M$200,4,FALSE())=0,"",VLOOKUP($A26,Parts!$A$2:$M$200,4,FALSE())),"")</x:f>
        <x:v>47 Ω</x:v>
      </x:c>
      <x:c r="E26" s="48" t="str">
        <x:f>IFERROR(IF(VLOOKUP($A26,Parts!$A$2:$M$200,5,FALSE())=0,"",VLOOKUP($A26,Parts!$A$2:$M$200,5,FALSE())),"")</x:f>
        <x:v>Resistor_SMD:R_1206_3216Metric_Pad1.30x1.75mm_HandSolder</x:v>
      </x:c>
      <x:c r="F26" t="str">
        <x:f>IFERROR(IF(VLOOKUP($A26,Parts!$A$2:$M$200,6,FALSE())=0,"",VLOOKUP($A26,Parts!$A$2:$M$200,6,FALSE())),"")</x:f>
        <x:v>RND components</x:v>
      </x:c>
      <x:c r="G26" t="str">
        <x:f>IFERROR(IF(VLOOKUP($A26,Parts!$A$2:$M$200,7,FALSE())=0,"",VLOOKUP($A26,Parts!$A$2:$M$200,7,FALSE())),"")</x:f>
        <x:v>RND 1551206S4J0470T5E</x:v>
      </x:c>
      <x:c r="H26" s="58" t="s">
        <x:v>829</x:v>
      </x:c>
      <x:c r="I26" t="str">
        <x:f>IF(OR($A26="",$H26=""),"",IFERROR(IF(INDEX(Part_Suppliers!$C$2:$C$300,MATCH($A26&amp;"|"&amp;$H26,Part_Suppliers!$K$2:$K$300,0))=0,"",INDEX(Part_Suppliers!$C$2:$C$300,MATCH($A26&amp;"|"&amp;$H26,Part_Suppliers!$K$2:$K$300,0))),""))</x:f>
        <x:v>BKL 10120946</x:v>
      </x:c>
      <x:c r="J26" s="50">
        <x:v>0</x:v>
      </x:c>
      <x:c r="K26" s="50">
        <x:v>0</x:v>
      </x:c>
      <x:c r="L26" s="48" t="str">
        <x:f>IFERROR(IF(VLOOKUP($A26,Parts!$A$2:$M$200,8,FALSE())=0,"",VLOOKUP($A26,Parts!$A$2:$M$200,8,FALSE())),"")</x:f>
        <x:v>Detector</x:v>
      </x:c>
      <x:c r="M26" s="48" t="str">
        <x:f>IFERROR(IF(VLOOKUP($A26,Parts!$A$2:$M$200,12,FALSE())=0,"",VLOOKUP($A26,Parts!$A$2:$M$200,12,FALSE())),"")</x:f>
      </x:c>
      <x:c r="N26" s="59"/>
      <x:c r="O26" s="60" t="s">
        <x:v>825</x:v>
      </x:c>
      <x:c r="S26" t="str">
        <x:f>IF(O26="drucken",COUNTIF($O$5:O26,"drucken"),"")</x:f>
      </x:c>
    </x:row>
    <x:row r="27" ht="26.25" customHeight="1">
      <x:c r="A27" t="s">
        <x:v>183</x:v>
      </x:c>
      <x:c r="B27" t="str">
        <x:f>IFERROR(IF(VLOOKUP($A27,Parts!$A$2:$M$200,2,FALSE())=0,"",VLOOKUP($A27,Parts!$A$2:$M$200,2,FALSE())),"")</x:f>
        <x:v>Relais</x:v>
      </x:c>
      <x:c r="C27" s="48" t="str">
        <x:f>IFERROR(IF(VLOOKUP($A27,Parts!$A$2:$M$200,3,FALSE())=0,"",VLOOKUP($A27,Parts!$A$2:$M$200,3,FALSE())),"")</x:f>
        <x:v>Steck-Printrelais, 1 CO, 6 A, 5 V DC sensitiv</x:v>
      </x:c>
      <x:c r="D27" s="48" t="str">
        <x:f>IFERROR(IF(VLOOKUP($A27,Parts!$A$2:$M$200,4,FALSE())=0,"",VLOOKUP($A27,Parts!$A$2:$M$200,4,FALSE())),"")</x:f>
        <x:v>5 V, 1 Wechsler, 6 A</x:v>
      </x:c>
      <x:c r="E27" s="48" t="str">
        <x:f>IFERROR(IF(VLOOKUP($A27,Parts!$A$2:$M$200,5,FALSE())=0,"",VLOOKUP($A27,Parts!$A$2:$M$200,5,FALSE())),"")</x:f>
        <x:v>Relay_THT:Relay_SPDT_Finder_34.51_Vertical</x:v>
      </x:c>
      <x:c r="F27" t="str">
        <x:f>IFERROR(IF(VLOOKUP($A27,Parts!$A$2:$M$200,6,FALSE())=0,"",VLOOKUP($A27,Parts!$A$2:$M$200,6,FALSE())),"")</x:f>
        <x:v>finder</x:v>
      </x:c>
      <x:c r="G27" t="str">
        <x:f>IFERROR(IF(VLOOKUP($A27,Parts!$A$2:$M$200,7,FALSE())=0,"",VLOOKUP($A27,Parts!$A$2:$M$200,7,FALSE())),"")</x:f>
        <x:v>34.51.7.005.0010</x:v>
      </x:c>
      <x:c r="H27" s="58" t="s">
        <x:v>829</x:v>
      </x:c>
      <x:c r="I27" t="str">
        <x:f>IF(OR($A27="",$H27=""),"",IFERROR(IF(INDEX(Part_Suppliers!$C$2:$C$300,MATCH($A27&amp;"|"&amp;$H27,Part_Suppliers!$K$2:$K$300,0))=0,"",INDEX(Part_Suppliers!$C$2:$C$300,MATCH($A27&amp;"|"&amp;$H27,Part_Suppliers!$K$2:$K$300,0))),""))</x:f>
        <x:v>BKL 10120946</x:v>
      </x:c>
      <x:c r="J27" s="50">
        <x:v>0</x:v>
      </x:c>
      <x:c r="K27" s="50">
        <x:v>0</x:v>
      </x:c>
      <x:c r="L27" s="48" t="str">
        <x:f>IFERROR(IF(VLOOKUP($A27,Parts!$A$2:$M$200,8,FALSE())=0,"",VLOOKUP($A27,Parts!$A$2:$M$200,8,FALSE())),"")</x:f>
        <x:v>DuoRelay</x:v>
      </x:c>
      <x:c r="M27" s="48" t="str">
        <x:f>IFERROR(IF(VLOOKUP($A27,Parts!$A$2:$M$200,12,FALSE())=0,"",VLOOKUP($A27,Parts!$A$2:$M$200,12,FALSE())),"")</x:f>
      </x:c>
      <x:c r="N27" s="59"/>
      <x:c r="O27" s="60" t="s">
        <x:v>825</x:v>
      </x:c>
      <x:c r="S27" t="str">
        <x:f>IF(O27="drucken",COUNTIF($O$5:O27,"drucken"),"")</x:f>
      </x:c>
    </x:row>
    <x:row r="28" ht="105.5" customHeight="1">
      <x:c r="A28" t="s">
        <x:v>192</x:v>
      </x:c>
      <x:c r="B28" t="str">
        <x:f>IFERROR(IF(VLOOKUP($A28,Parts!$A$2:$M$200,2,FALSE())=0,"",VLOOKUP($A28,Parts!$A$2:$M$200,2,FALSE())),"")</x:f>
        <x:v>IC</x:v>
      </x:c>
      <x:c r="C28" s="48" t="str">
        <x:f>IFERROR(IF(VLOOKUP($A28,Parts!$A$2:$M$200,3,FALSE())=0,"",VLOOKUP($A28,Parts!$A$2:$M$200,3,FALSE())),"")</x:f>
        <x:v>I²C-EEPROM 2 Kbit mit vorprogrammierter EUI-64 und zwei Adresspins</x:v>
      </x:c>
      <x:c r="D28" s="48" t="str">
        <x:f>IFERROR(IF(VLOOKUP($A28,Parts!$A$2:$M$200,4,FALSE())=0,"",VLOOKUP($A28,Parts!$A$2:$M$200,4,FALSE())),"")</x:f>
        <x:v>2 Kbit, I²C, EUI-64, A0/A1, 1,7–5,5 V</x:v>
      </x:c>
      <x:c r="E28" s="48" t="str">
        <x:f>IFERROR(IF(VLOOKUP($A28,Parts!$A$2:$M$200,5,FALSE())=0,"",VLOOKUP($A28,Parts!$A$2:$M$200,5,FALSE())),"")</x:f>
        <x:v>Package_TO_SOT_SMD:SOT-23-6</x:v>
      </x:c>
      <x:c r="F28" t="str">
        <x:f>IFERROR(IF(VLOOKUP($A28,Parts!$A$2:$M$200,6,FALSE())=0,"",VLOOKUP($A28,Parts!$A$2:$M$200,6,FALSE())),"")</x:f>
        <x:v>Microchip Technology</x:v>
      </x:c>
      <x:c r="G28" t="str">
        <x:f>IFERROR(IF(VLOOKUP($A28,Parts!$A$2:$M$200,7,FALSE())=0,"",VLOOKUP($A28,Parts!$A$2:$M$200,7,FALSE())),"")</x:f>
        <x:v>24AA025E64T-I/OT</x:v>
      </x:c>
      <x:c r="H28" s="58" t="s">
        <x:v>836</x:v>
      </x:c>
      <x:c r="I28" t="str">
        <x:f>IF(OR($A28="",$H28=""),"",IFERROR(IF(INDEX(Part_Suppliers!$C$2:$C$300,MATCH($A28&amp;"|"&amp;$H28,Part_Suppliers!$K$2:$K$300,0))=0,"",INDEX(Part_Suppliers!$C$2:$C$300,MATCH($A28&amp;"|"&amp;$H28,Part_Suppliers!$K$2:$K$300,0))),""))</x:f>
        <x:v>24AA025E64T-I/OTCT-ND</x:v>
      </x:c>
      <x:c r="J28" s="50">
        <x:v>0</x:v>
      </x:c>
      <x:c r="K28" s="50">
        <x:v>0</x:v>
      </x:c>
      <x:c r="L28" s="48" t="str">
        <x:f>IFERROR(IF(VLOOKUP($A28,Parts!$A$2:$M$200,8,FALSE())=0,"",VLOOKUP($A28,Parts!$A$2:$M$200,8,FALSE())),"")</x:f>
        <x:v>EnvNode; EnvNodeMini Rev 0.2; Empty FullSize/HalfSize SMD/THT; DuoRelay; AnalogHydroPressure</x:v>
      </x:c>
      <x:c r="M28" s="48" t="str">
        <x:f>IFERROR(IF(VLOOKUP($A28,Parts!$A$2:$M$200,12,FALSE())=0,"",VLOOKUP($A28,Parts!$A$2:$M$200,12,FALSE())),"")</x:f>
        <x:v>Gemeinsamer Identifikations-EEPROM für alle Boards. Frühere Lieferantendaten gehörten zur falschen SPI-Version 25AA02E64T-I/OT und wurden entfernt; Bezugsquelle, Bestellnummer und Preis neu ergänzen. Auf Modulboards derzeit DNP.; In allen vier aktuellen Empty-Schemata derzeit DNP; A1 liegt an +3V3_SYS, A0 wird über J1 herausgeführt; U1 ist in den aktuellen DuoRelay- und AnalogHydroPressure-Schemata derzeit DNP Bezug als Cut Tape bei DigiKey; keine parametrischen Ersatztypen ohne vorprogrammierte EUI-64 verwenden.</x:v>
      </x:c>
      <x:c r="N28" s="59"/>
      <x:c r="O28" s="60" t="s">
        <x:v>825</x:v>
      </x:c>
      <x:c r="S28" t="str">
        <x:f>IF(O28="drucken",COUNTIF($O$5:O28,"drucken"),"")</x:f>
      </x:c>
    </x:row>
    <x:row r="29" ht="26.25" customHeight="1">
      <x:c r="A29" t="s">
        <x:v>202</x:v>
      </x:c>
      <x:c r="B29" t="str">
        <x:f>IFERROR(IF(VLOOKUP($A29,Parts!$A$2:$M$200,2,FALSE())=0,"",VLOOKUP($A29,Parts!$A$2:$M$200,2,FALSE())),"")</x:f>
        <x:v>Steckverbinder</x:v>
      </x:c>
      <x:c r="C29" s="48" t="str">
        <x:f>IFERROR(IF(VLOOKUP($A29,Parts!$A$2:$M$200,3,FALSE())=0,"",VLOOKUP($A29,Parts!$A$2:$M$200,3,FALSE())),"")</x:f>
        <x:v>JST-PH Stiftleiste, 4-polig, vertikal</x:v>
      </x:c>
      <x:c r="D29" s="48" t="str">
        <x:f>IFERROR(IF(VLOOKUP($A29,Parts!$A$2:$M$200,4,FALSE())=0,"",VLOOKUP($A29,Parts!$A$2:$M$200,4,FALSE())),"")</x:f>
        <x:v>4-polig, 2,00 mm</x:v>
      </x:c>
      <x:c r="E29" s="48" t="str">
        <x:f>IFERROR(IF(VLOOKUP($A29,Parts!$A$2:$M$200,5,FALSE())=0,"",VLOOKUP($A29,Parts!$A$2:$M$200,5,FALSE())),"")</x:f>
        <x:v>Connector_JST:JST_PH_B4B-PH-K_1x04_P2.00mm_Vertical</x:v>
      </x:c>
      <x:c r="F29" t="str">
        <x:f>IFERROR(IF(VLOOKUP($A29,Parts!$A$2:$M$200,6,FALSE())=0,"",VLOOKUP($A29,Parts!$A$2:$M$200,6,FALSE())),"")</x:f>
        <x:v>JST</x:v>
      </x:c>
      <x:c r="G29" t="str">
        <x:f>IFERROR(IF(VLOOKUP($A29,Parts!$A$2:$M$200,7,FALSE())=0,"",VLOOKUP($A29,Parts!$A$2:$M$200,7,FALSE())),"")</x:f>
        <x:v>B4B-PH-K-S</x:v>
      </x:c>
      <x:c r="H29" s="58" t="s">
        <x:v>829</x:v>
      </x:c>
      <x:c r="I29" t="str">
        <x:f>IF(OR($A29="",$H29=""),"",IFERROR(IF(INDEX(Part_Suppliers!$C$2:$C$300,MATCH($A29&amp;"|"&amp;$H29,Part_Suppliers!$K$2:$K$300,0))=0,"",INDEX(Part_Suppliers!$C$2:$C$300,MATCH($A29&amp;"|"&amp;$H29,Part_Suppliers!$K$2:$K$300,0))),""))</x:f>
        <x:v>BKL 10120946</x:v>
      </x:c>
      <x:c r="J29" s="50">
        <x:v>0</x:v>
      </x:c>
      <x:c r="K29" s="50">
        <x:v>0</x:v>
      </x:c>
      <x:c r="L29" s="48" t="str">
        <x:f>IFERROR(IF(VLOOKUP($A29,Parts!$A$2:$M$200,8,FALSE())=0,"",VLOOKUP($A29,Parts!$A$2:$M$200,8,FALSE())),"")</x:f>
        <x:v>EnvNode</x:v>
      </x:c>
      <x:c r="M29" s="48" t="str">
        <x:f>IFERROR(IF(VLOOKUP($A29,Parts!$A$2:$M$200,12,FALSE())=0,"",VLOOKUP($A29,Parts!$A$2:$M$200,12,FALSE())),"")</x:f>
        <x:v>Mögliche Überschneidung mit dem vorhandenen JST-PH-Set prüfen.</x:v>
      </x:c>
      <x:c r="N29" s="59"/>
      <x:c r="O29" s="60" t="s">
        <x:v>825</x:v>
      </x:c>
      <x:c r="S29" t="str">
        <x:f>IF(O29="drucken",COUNTIF($O$5:O29,"drucken"),"")</x:f>
      </x:c>
    </x:row>
    <x:row r="30" ht="26.25" customHeight="1">
      <x:c r="A30" t="s">
        <x:v>210</x:v>
      </x:c>
      <x:c r="B30" t="str">
        <x:f>IFERROR(IF(VLOOKUP($A30,Parts!$A$2:$M$200,2,FALSE())=0,"",VLOOKUP($A30,Parts!$A$2:$M$200,2,FALSE())),"")</x:f>
        <x:v>Steckverbinder</x:v>
      </x:c>
      <x:c r="C30" s="48" t="str">
        <x:f>IFERROR(IF(VLOOKUP($A30,Parts!$A$2:$M$200,3,FALSE())=0,"",VLOOKUP($A30,Parts!$A$2:$M$200,3,FALSE())),"")</x:f>
        <x:v>JST-SH Stiftleiste, 4-polig, horizontal</x:v>
      </x:c>
      <x:c r="D30" s="48" t="str">
        <x:f>IFERROR(IF(VLOOKUP($A30,Parts!$A$2:$M$200,4,FALSE())=0,"",VLOOKUP($A30,Parts!$A$2:$M$200,4,FALSE())),"")</x:f>
        <x:v>4-polig, 1,00 mm</x:v>
      </x:c>
      <x:c r="E30" s="48" t="str">
        <x:f>IFERROR(IF(VLOOKUP($A30,Parts!$A$2:$M$200,5,FALSE())=0,"",VLOOKUP($A30,Parts!$A$2:$M$200,5,FALSE())),"")</x:f>
        <x:v>Connector_JST:JST_SH_SM04B-SRSS-TB_1x04-1MP_P1.00mm_Horizontal</x:v>
      </x:c>
      <x:c r="F30" t="str">
        <x:f>IFERROR(IF(VLOOKUP($A30,Parts!$A$2:$M$200,6,FALSE())=0,"",VLOOKUP($A30,Parts!$A$2:$M$200,6,FALSE())),"")</x:f>
        <x:v>JST</x:v>
      </x:c>
      <x:c r="G30" t="str">
        <x:f>IFERROR(IF(VLOOKUP($A30,Parts!$A$2:$M$200,7,FALSE())=0,"",VLOOKUP($A30,Parts!$A$2:$M$200,7,FALSE())),"")</x:f>
        <x:v>SM04B-SRSS-TB</x:v>
      </x:c>
      <x:c r="H30" s="58" t="s">
        <x:v>837</x:v>
      </x:c>
      <x:c r="I30" t="str">
        <x:f>IF(OR($A30="",$H30=""),"",IFERROR(IF(INDEX(Part_Suppliers!$C$2:$C$300,MATCH($A30&amp;"|"&amp;$H30,Part_Suppliers!$K$2:$K$300,0))=0,"",INDEX(Part_Suppliers!$C$2:$C$300,MATCH($A30&amp;"|"&amp;$H30,Part_Suppliers!$K$2:$K$300,0))),""))</x:f>
        <x:v>515-1513</x:v>
      </x:c>
      <x:c r="J30" s="50">
        <x:v>0</x:v>
      </x:c>
      <x:c r="K30" s="50">
        <x:v>0</x:v>
      </x:c>
      <x:c r="L30" s="48" t="str">
        <x:f>IFERROR(IF(VLOOKUP($A30,Parts!$A$2:$M$200,8,FALSE())=0,"",VLOOKUP($A30,Parts!$A$2:$M$200,8,FALSE())),"")</x:f>
        <x:v>EnvNode; EnvNodeMini Rev 0.2; SolarRadiation</x:v>
      </x:c>
      <x:c r="M30" s="48" t="str">
        <x:f>IFERROR(IF(VLOOKUP($A30,Parts!$A$2:$M$200,12,FALSE())=0,"",VLOOKUP($A30,Parts!$A$2:$M$200,12,FALSE())),"")</x:f>
        <x:v>MPN-Suffix und Verpackungsform festlegen; nicht mit Qwiic-Pigtail zusammenführen.</x:v>
      </x:c>
      <x:c r="N30" s="59"/>
      <x:c r="O30" s="60" t="s">
        <x:v>825</x:v>
      </x:c>
      <x:c r="S30" t="str">
        <x:f>IF(O30="drucken",COUNTIF($O$5:O30,"drucken"),"")</x:f>
      </x:c>
    </x:row>
    <x:row r="31" ht="26.25" customHeight="1">
      <x:c r="A31" t="s">
        <x:v>218</x:v>
      </x:c>
      <x:c r="B31" t="str">
        <x:f>IFERROR(IF(VLOOKUP($A31,Parts!$A$2:$M$200,2,FALSE())=0,"",VLOOKUP($A31,Parts!$A$2:$M$200,2,FALSE())),"")</x:f>
        <x:v>IC</x:v>
      </x:c>
      <x:c r="C31" s="48" t="str">
        <x:f>IFERROR(IF(VLOOKUP($A31,Parts!$A$2:$M$200,3,FALSE())=0,"",VLOOKUP($A31,Parts!$A$2:$M$200,3,FALSE())),"")</x:f>
        <x:v>16-Bit ADC mit I²C</x:v>
      </x:c>
      <x:c r="D31" s="48" t="str">
        <x:f>IFERROR(IF(VLOOKUP($A31,Parts!$A$2:$M$200,4,FALSE())=0,"",VLOOKUP($A31,Parts!$A$2:$M$200,4,FALSE())),"")</x:f>
        <x:v>ADS1115IDGS</x:v>
      </x:c>
      <x:c r="E31" s="48" t="str">
        <x:f>IFERROR(IF(VLOOKUP($A31,Parts!$A$2:$M$200,5,FALSE())=0,"",VLOOKUP($A31,Parts!$A$2:$M$200,5,FALSE())),"")</x:f>
        <x:v>Package_SO:TSSOP-10_3x3mm_P0.5mm</x:v>
      </x:c>
      <x:c r="F31" t="str">
        <x:f>IFERROR(IF(VLOOKUP($A31,Parts!$A$2:$M$200,6,FALSE())=0,"",VLOOKUP($A31,Parts!$A$2:$M$200,6,FALSE())),"")</x:f>
        <x:v>Texas Instruments</x:v>
      </x:c>
      <x:c r="G31" t="str">
        <x:f>IFERROR(IF(VLOOKUP($A31,Parts!$A$2:$M$200,7,FALSE())=0,"",VLOOKUP($A31,Parts!$A$2:$M$200,7,FALSE())),"")</x:f>
        <x:v>ADS1115IDGS</x:v>
      </x:c>
      <x:c r="H31" s="58" t="s">
        <x:v>833</x:v>
      </x:c>
      <x:c r="I31" t="str">
        <x:f>IF(OR($A31="",$H31=""),"",IFERROR(IF(INDEX(Part_Suppliers!$C$2:$C$300,MATCH($A31&amp;"|"&amp;$H31,Part_Suppliers!$K$2:$K$300,0))=0,"",INDEX(Part_Suppliers!$C$2:$C$300,MATCH($A31&amp;"|"&amp;$H31,Part_Suppliers!$K$2:$K$300,0))),""))</x:f>
      </x:c>
      <x:c r="J31" s="50">
        <x:v>0</x:v>
      </x:c>
      <x:c r="K31" s="50">
        <x:v>0</x:v>
      </x:c>
      <x:c r="L31" s="48" t="str">
        <x:f>IFERROR(IF(VLOOKUP($A31,Parts!$A$2:$M$200,8,FALSE())=0,"",VLOOKUP($A31,Parts!$A$2:$M$200,8,FALSE())),"")</x:f>
        <x:v>AnalogInput; SolarRadiation; AnalogHydroPressure</x:v>
      </x:c>
      <x:c r="M31" s="48" t="str">
        <x:f>IFERROR(IF(VLOOKUP($A31,Parts!$A$2:$M$200,12,FALSE())=0,"",VLOOKUP($A31,Parts!$A$2:$M$200,12,FALSE())),"")</x:f>
        <x:v>Nicht mit dem vorhandenen ADS1115-Entwicklungsboard zusammenführen.</x:v>
      </x:c>
      <x:c r="N31" s="59"/>
      <x:c r="O31" s="60" t="s">
        <x:v>825</x:v>
      </x:c>
      <x:c r="S31" t="str">
        <x:f>IF(O31="drucken",COUNTIF($O$5:O31,"drucken"),"")</x:f>
      </x:c>
    </x:row>
    <x:row r="32" ht="26.25" customHeight="1">
      <x:c r="A32" t="s">
        <x:v>225</x:v>
      </x:c>
      <x:c r="B32" t="str">
        <x:f>IFERROR(IF(VLOOKUP($A32,Parts!$A$2:$M$200,2,FALSE())=0,"",VLOOKUP($A32,Parts!$A$2:$M$200,2,FALSE())),"")</x:f>
        <x:v>Kondensator</x:v>
      </x:c>
      <x:c r="C32" s="48" t="str">
        <x:f>IFERROR(IF(VLOOKUP($A32,Parts!$A$2:$M$200,3,FALSE())=0,"",VLOOKUP($A32,Parts!$A$2:$M$200,3,FALSE())),"")</x:f>
        <x:v>Keramikkondensator 1 µF SMD</x:v>
      </x:c>
      <x:c r="D32" s="48" t="str">
        <x:f>IFERROR(IF(VLOOKUP($A32,Parts!$A$2:$M$200,4,FALSE())=0,"",VLOOKUP($A32,Parts!$A$2:$M$200,4,FALSE())),"")</x:f>
        <x:v>1 µF</x:v>
      </x:c>
      <x:c r="E32" s="48" t="str">
        <x:f>IFERROR(IF(VLOOKUP($A32,Parts!$A$2:$M$200,5,FALSE())=0,"",VLOOKUP($A32,Parts!$A$2:$M$200,5,FALSE())),"")</x:f>
        <x:v>Capacitor_SMD:C_1206_3216Metric_Pad1.33x1.80mm_HandSolder</x:v>
      </x:c>
      <x:c r="F32" t="str">
        <x:f>IFERROR(IF(VLOOKUP($A32,Parts!$A$2:$M$200,6,FALSE())=0,"",VLOOKUP($A32,Parts!$A$2:$M$200,6,FALSE())),"")</x:f>
        <x:v>Kyocera</x:v>
      </x:c>
      <x:c r="G32" t="str">
        <x:f>IFERROR(IF(VLOOKUP($A32,Parts!$A$2:$M$200,7,FALSE())=0,"",VLOOKUP($A32,Parts!$A$2:$M$200,7,FALSE())),"")</x:f>
        <x:v>12065C105JAT2A</x:v>
      </x:c>
      <x:c r="H32" s="58" t="s">
        <x:v>829</x:v>
      </x:c>
      <x:c r="I32" t="str">
        <x:f>IF(OR($A32="",$H32=""),"",IFERROR(IF(INDEX(Part_Suppliers!$C$2:$C$300,MATCH($A32&amp;"|"&amp;$H32,Part_Suppliers!$K$2:$K$300,0))=0,"",INDEX(Part_Suppliers!$C$2:$C$300,MATCH($A32&amp;"|"&amp;$H32,Part_Suppliers!$K$2:$K$300,0))),""))</x:f>
        <x:v>BKL 10120946</x:v>
      </x:c>
      <x:c r="J32" s="50">
        <x:v>0</x:v>
      </x:c>
      <x:c r="K32" s="50">
        <x:v>0</x:v>
      </x:c>
      <x:c r="L32" s="48" t="str">
        <x:f>IFERROR(IF(VLOOKUP($A32,Parts!$A$2:$M$200,8,FALSE())=0,"",VLOOKUP($A32,Parts!$A$2:$M$200,8,FALSE())),"")</x:f>
        <x:v>AnalogInput; AnalogHydroPressure</x:v>
      </x:c>
      <x:c r="M32" s="48" t="str">
        <x:f>IFERROR(IF(VLOOKUP($A32,Parts!$A$2:$M$200,12,FALSE())=0,"",VLOOKUP($A32,Parts!$A$2:$M$200,12,FALSE())),"")</x:f>
      </x:c>
      <x:c r="N32" s="59"/>
      <x:c r="O32" s="60" t="s">
        <x:v>825</x:v>
      </x:c>
      <x:c r="S32" t="str">
        <x:f>IF(O32="drucken",COUNTIF($O$5:O32,"drucken"),"")</x:f>
      </x:c>
    </x:row>
    <x:row r="33" ht="39.5" customHeight="1">
      <x:c r="A33" t="s">
        <x:v>231</x:v>
      </x:c>
      <x:c r="B33" t="str">
        <x:f>IFERROR(IF(VLOOKUP($A33,Parts!$A$2:$M$200,2,FALSE())=0,"",VLOOKUP($A33,Parts!$A$2:$M$200,2,FALSE())),"")</x:f>
        <x:v>Diode</x:v>
      </x:c>
      <x:c r="C33" s="48" t="str">
        <x:f>IFERROR(IF(VLOOKUP($A33,Parts!$A$2:$M$200,3,FALSE())=0,"",VLOOKUP($A33,Parts!$A$2:$M$200,3,FALSE())),"")</x:f>
        <x:v>Dual-Schottky-Diode BAT54S</x:v>
      </x:c>
      <x:c r="D33" s="48" t="str">
        <x:f>IFERROR(IF(VLOOKUP($A33,Parts!$A$2:$M$200,4,FALSE())=0,"",VLOOKUP($A33,Parts!$A$2:$M$200,4,FALSE())),"")</x:f>
        <x:v>BAT54S</x:v>
      </x:c>
      <x:c r="E33" s="48" t="str">
        <x:f>IFERROR(IF(VLOOKUP($A33,Parts!$A$2:$M$200,5,FALSE())=0,"",VLOOKUP($A33,Parts!$A$2:$M$200,5,FALSE())),"")</x:f>
        <x:v>Package_TO_SOT_SMD:SOT-23</x:v>
      </x:c>
      <x:c r="F33" t="str">
        <x:f>IFERROR(IF(VLOOKUP($A33,Parts!$A$2:$M$200,6,FALSE())=0,"",VLOOKUP($A33,Parts!$A$2:$M$200,6,FALSE())),"")</x:f>
        <x:v>Diotec</x:v>
      </x:c>
      <x:c r="G33" t="str">
        <x:f>IFERROR(IF(VLOOKUP($A33,Parts!$A$2:$M$200,7,FALSE())=0,"",VLOOKUP($A33,Parts!$A$2:$M$200,7,FALSE())),"")</x:f>
        <x:v>BAT54S</x:v>
      </x:c>
      <x:c r="H33" s="58" t="s">
        <x:v>829</x:v>
      </x:c>
      <x:c r="I33" t="str">
        <x:f>IF(OR($A33="",$H33=""),"",IFERROR(IF(INDEX(Part_Suppliers!$C$2:$C$300,MATCH($A33&amp;"|"&amp;$H33,Part_Suppliers!$K$2:$K$300,0))=0,"",INDEX(Part_Suppliers!$C$2:$C$300,MATCH($A33&amp;"|"&amp;$H33,Part_Suppliers!$K$2:$K$300,0))),""))</x:f>
        <x:v>BKL 10120946</x:v>
      </x:c>
      <x:c r="J33" s="50">
        <x:v>0</x:v>
      </x:c>
      <x:c r="K33" s="50">
        <x:v>0</x:v>
      </x:c>
      <x:c r="L33" s="48" t="str">
        <x:f>IFERROR(IF(VLOOKUP($A33,Parts!$A$2:$M$200,8,FALSE())=0,"",VLOOKUP($A33,Parts!$A$2:$M$200,8,FALSE())),"")</x:f>
        <x:v>AnalogInput; AnalogHydroPressure</x:v>
      </x:c>
      <x:c r="M33" s="48" t="str">
        <x:f>IFERROR(IF(VLOOKUP($A33,Parts!$A$2:$M$200,12,FALSE())=0,"",VLOOKUP($A33,Parts!$A$2:$M$200,12,FALSE())),"")</x:f>
        <x:v>Aktuelles AnalogHydroPressure verwendet SOT-23 und stimmt damit mit dem Artikel-Footprint überein; Gehäuse der bestellten Variante dennoch prüfen.</x:v>
      </x:c>
      <x:c r="N33" s="59"/>
      <x:c r="O33" s="60" t="s">
        <x:v>825</x:v>
      </x:c>
      <x:c r="S33" t="str">
        <x:f>IF(O33="drucken",COUNTIF($O$5:O33,"drucken"),"")</x:f>
      </x:c>
    </x:row>
    <x:row r="34" ht="26.25" customHeight="1">
      <x:c r="A34" t="s">
        <x:v>238</x:v>
      </x:c>
      <x:c r="B34" t="str">
        <x:f>IFERROR(IF(VLOOKUP($A34,Parts!$A$2:$M$200,2,FALSE())=0,"",VLOOKUP($A34,Parts!$A$2:$M$200,2,FALSE())),"")</x:f>
        <x:v>Steckverbinder</x:v>
      </x:c>
      <x:c r="C34" s="48" t="str">
        <x:f>IFERROR(IF(VLOOKUP($A34,Parts!$A$2:$M$200,3,FALSE())=0,"",VLOOKUP($A34,Parts!$A$2:$M$200,3,FALSE())),"")</x:f>
        <x:v>Buchsenleiste 2x4, vertikal</x:v>
      </x:c>
      <x:c r="D34" s="48" t="str">
        <x:f>IFERROR(IF(VLOOKUP($A34,Parts!$A$2:$M$200,4,FALSE())=0,"",VLOOKUP($A34,Parts!$A$2:$M$200,4,FALSE())),"")</x:f>
        <x:v>2x4, 2,54 mm</x:v>
      </x:c>
      <x:c r="E34" s="48" t="str">
        <x:f>IFERROR(IF(VLOOKUP($A34,Parts!$A$2:$M$200,5,FALSE())=0,"",VLOOKUP($A34,Parts!$A$2:$M$200,5,FALSE())),"")</x:f>
        <x:v>PinSocket_2x04_P2.54mm_Vertical / EnvNode Bottom-Variante</x:v>
      </x:c>
      <x:c r="F34" t="str">
        <x:f>IFERROR(IF(VLOOKUP($A34,Parts!$A$2:$M$200,6,FALSE())=0,"",VLOOKUP($A34,Parts!$A$2:$M$200,6,FALSE())),"")</x:f>
      </x:c>
      <x:c r="G34" t="str">
        <x:f>IFERROR(IF(VLOOKUP($A34,Parts!$A$2:$M$200,7,FALSE())=0,"",VLOOKUP($A34,Parts!$A$2:$M$200,7,FALSE())),"")</x:f>
      </x:c>
      <x:c r="H34" s="58" t="s">
        <x:v>833</x:v>
      </x:c>
      <x:c r="I34" t="str">
        <x:f>IF(OR($A34="",$H34=""),"",IFERROR(IF(INDEX(Part_Suppliers!$C$2:$C$300,MATCH($A34&amp;"|"&amp;$H34,Part_Suppliers!$K$2:$K$300,0))=0,"",INDEX(Part_Suppliers!$C$2:$C$300,MATCH($A34&amp;"|"&amp;$H34,Part_Suppliers!$K$2:$K$300,0))),""))</x:f>
      </x:c>
      <x:c r="J34" s="50">
        <x:v>0</x:v>
      </x:c>
      <x:c r="K34" s="50">
        <x:v>0</x:v>
      </x:c>
      <x:c r="L34" s="48" t="str">
        <x:f>IFERROR(IF(VLOOKUP($A34,Parts!$A$2:$M$200,8,FALSE())=0,"",VLOOKUP($A34,Parts!$A$2:$M$200,8,FALSE())),"")</x:f>
        <x:v>Legacy Rev 0.1: EnvNodeMini; AnalogInput; DuoRelay</x:v>
      </x:c>
      <x:c r="M34" s="48" t="str">
        <x:f>IFERROR(IF(VLOOKUP($A34,Parts!$A$2:$M$200,12,FALSE())=0,"",VLOOKUP($A34,Parts!$A$2:$M$200,12,FALSE())),"")</x:f>
        <x:v>Legacy-Artikel für die Modulsteckverbindung Rev 0.1; nicht für die aktuellen 2x7-Steckplätze verwenden.</x:v>
      </x:c>
      <x:c r="N34" s="59"/>
      <x:c r="O34" s="60" t="s">
        <x:v>825</x:v>
      </x:c>
      <x:c r="S34" t="str">
        <x:f>IF(O34="drucken",COUNTIF($O$5:O34,"drucken"),"")</x:f>
      </x:c>
    </x:row>
    <x:row r="35" ht="26.25" customHeight="1">
      <x:c r="A35" t="s">
        <x:v>247</x:v>
      </x:c>
      <x:c r="B35" t="str">
        <x:f>IFERROR(IF(VLOOKUP($A35,Parts!$A$2:$M$200,2,FALSE())=0,"",VLOOKUP($A35,Parts!$A$2:$M$200,2,FALSE())),"")</x:f>
        <x:v>Steckverbinder</x:v>
      </x:c>
      <x:c r="C35" s="48" t="str">
        <x:f>IFERROR(IF(VLOOKUP($A35,Parts!$A$2:$M$200,3,FALSE())=0,"",VLOOKUP($A35,Parts!$A$2:$M$200,3,FALSE())),"")</x:f>
        <x:v>Buchsenleiste 1x2, vertikal</x:v>
      </x:c>
      <x:c r="D35" s="48" t="str">
        <x:f>IFERROR(IF(VLOOKUP($A35,Parts!$A$2:$M$200,4,FALSE())=0,"",VLOOKUP($A35,Parts!$A$2:$M$200,4,FALSE())),"")</x:f>
        <x:v>1x2, 2,54 mm</x:v>
      </x:c>
      <x:c r="E35" s="48" t="str">
        <x:f>IFERROR(IF(VLOOKUP($A35,Parts!$A$2:$M$200,5,FALSE())=0,"",VLOOKUP($A35,Parts!$A$2:$M$200,5,FALSE())),"")</x:f>
        <x:v>Connector_PinSocket_2.54mm:PinSocket_1x02_P2.54mm_Vertical</x:v>
      </x:c>
      <x:c r="F35" t="str">
        <x:f>IFERROR(IF(VLOOKUP($A35,Parts!$A$2:$M$200,6,FALSE())=0,"",VLOOKUP($A35,Parts!$A$2:$M$200,6,FALSE())),"")</x:f>
      </x:c>
      <x:c r="G35" t="str">
        <x:f>IFERROR(IF(VLOOKUP($A35,Parts!$A$2:$M$200,7,FALSE())=0,"",VLOOKUP($A35,Parts!$A$2:$M$200,7,FALSE())),"")</x:f>
      </x:c>
      <x:c r="H35" s="58" t="s">
        <x:v>833</x:v>
      </x:c>
      <x:c r="I35" t="str">
        <x:f>IF(OR($A35="",$H35=""),"",IFERROR(IF(INDEX(Part_Suppliers!$C$2:$C$300,MATCH($A35&amp;"|"&amp;$H35,Part_Suppliers!$K$2:$K$300,0))=0,"",INDEX(Part_Suppliers!$C$2:$C$300,MATCH($A35&amp;"|"&amp;$H35,Part_Suppliers!$K$2:$K$300,0))),""))</x:f>
      </x:c>
      <x:c r="J35" s="50">
        <x:v>0</x:v>
      </x:c>
      <x:c r="K35" s="50">
        <x:v>0</x:v>
      </x:c>
      <x:c r="L35" s="48" t="str">
        <x:f>IFERROR(IF(VLOOKUP($A35,Parts!$A$2:$M$200,8,FALSE())=0,"",VLOOKUP($A35,Parts!$A$2:$M$200,8,FALSE())),"")</x:f>
        <x:v>AnalogInput; AnalogHydroPressure</x:v>
      </x:c>
      <x:c r="M35" s="48" t="str">
        <x:f>IFERROR(IF(VLOOKUP($A35,Parts!$A$2:$M$200,12,FALSE())=0,"",VLOOKUP($A35,Parts!$A$2:$M$200,12,FALSE())),"")</x:f>
      </x:c>
      <x:c r="N35" s="59"/>
      <x:c r="O35" s="60" t="s">
        <x:v>825</x:v>
      </x:c>
      <x:c r="S35" t="str">
        <x:f>IF(O35="drucken",COUNTIF($O$5:O35,"drucken"),"")</x:f>
      </x:c>
    </x:row>
    <x:row r="36" ht="26.25" customHeight="1">
      <x:c r="A36" t="s">
        <x:v>253</x:v>
      </x:c>
      <x:c r="B36" t="str">
        <x:f>IFERROR(IF(VLOOKUP($A36,Parts!$A$2:$M$200,2,FALSE())=0,"",VLOOKUP($A36,Parts!$A$2:$M$200,2,FALSE())),"")</x:f>
        <x:v>Widerstand</x:v>
      </x:c>
      <x:c r="C36" s="48" t="str">
        <x:f>IFERROR(IF(VLOOKUP($A36,Parts!$A$2:$M$200,3,FALSE())=0,"",VLOOKUP($A36,Parts!$A$2:$M$200,3,FALSE())),"")</x:f>
        <x:v>Widerstand, Metallschicht, 150 Ohm, 0207, 250 mW, 0,1%</x:v>
      </x:c>
      <x:c r="D36" s="48" t="str">
        <x:f>IFERROR(IF(VLOOKUP($A36,Parts!$A$2:$M$200,4,FALSE())=0,"",VLOOKUP($A36,Parts!$A$2:$M$200,4,FALSE())),"")</x:f>
        <x:v>150 Ω, 0,1 %, ≤25 ppm/K, &gt;0,125 W</x:v>
      </x:c>
      <x:c r="E36" s="48" t="str">
        <x:f>IFERROR(IF(VLOOKUP($A36,Parts!$A$2:$M$200,5,FALSE())=0,"",VLOOKUP($A36,Parts!$A$2:$M$200,5,FALSE())),"")</x:f>
        <x:v>Resistor_THT:R_Axial_DIN0207_L6.3mm_D2.5mm_P7.62mm_Horizontal</x:v>
      </x:c>
      <x:c r="F36" t="str">
        <x:f>IFERROR(IF(VLOOKUP($A36,Parts!$A$2:$M$200,6,FALSE())=0,"",VLOOKUP($A36,Parts!$A$2:$M$200,6,FALSE())),"")</x:f>
        <x:v>Arcol</x:v>
      </x:c>
      <x:c r="G36" t="str">
        <x:f>IFERROR(IF(VLOOKUP($A36,Parts!$A$2:$M$200,7,FALSE())=0,"",VLOOKUP($A36,Parts!$A$2:$M$200,7,FALSE())),"")</x:f>
        <x:v>MRA0207 150R B 15PPM TA</x:v>
      </x:c>
      <x:c r="H36" s="58" t="s">
        <x:v>829</x:v>
      </x:c>
      <x:c r="I36" t="str">
        <x:f>IF(OR($A36="",$H36=""),"",IFERROR(IF(INDEX(Part_Suppliers!$C$2:$C$300,MATCH($A36&amp;"|"&amp;$H36,Part_Suppliers!$K$2:$K$300,0))=0,"",INDEX(Part_Suppliers!$C$2:$C$300,MATCH($A36&amp;"|"&amp;$H36,Part_Suppliers!$K$2:$K$300,0))),""))</x:f>
        <x:v>BKL 10120946</x:v>
      </x:c>
      <x:c r="J36" s="50">
        <x:v>0</x:v>
      </x:c>
      <x:c r="K36" s="50">
        <x:v>0</x:v>
      </x:c>
      <x:c r="L36" s="48" t="str">
        <x:f>IFERROR(IF(VLOOKUP($A36,Parts!$A$2:$M$200,8,FALSE())=0,"",VLOOKUP($A36,Parts!$A$2:$M$200,8,FALSE())),"")</x:f>
        <x:v>AnalogInput; AnalogHydroPressure</x:v>
      </x:c>
      <x:c r="M36" s="48" t="str">
        <x:f>IFERROR(IF(VLOOKUP($A36,Parts!$A$2:$M$200,12,FALSE())=0,"",VLOOKUP($A36,Parts!$A$2:$M$200,12,FALSE())),"")</x:f>
      </x:c>
      <x:c r="N36" s="59"/>
      <x:c r="O36" s="60" t="s">
        <x:v>825</x:v>
      </x:c>
      <x:c r="S36" t="str">
        <x:f>IF(O36="drucken",COUNTIF($O$5:O36,"drucken"),"")</x:f>
      </x:c>
    </x:row>
    <x:row r="37" ht="15" customHeight="1">
      <x:c r="A37" t="s">
        <x:v>260</x:v>
      </x:c>
      <x:c r="B37" t="str">
        <x:f>IFERROR(IF(VLOOKUP($A37,Parts!$A$2:$M$200,2,FALSE())=0,"",VLOOKUP($A37,Parts!$A$2:$M$200,2,FALSE())),"")</x:f>
        <x:v>Diode</x:v>
      </x:c>
      <x:c r="C37" s="48" t="str">
        <x:f>IFERROR(IF(VLOOKUP($A37,Parts!$A$2:$M$200,3,FALSE())=0,"",VLOOKUP($A37,Parts!$A$2:$M$200,3,FALSE())),"")</x:f>
        <x:v>Schnelle Schaltdiode 1N4148W</x:v>
      </x:c>
      <x:c r="D37" s="48" t="str">
        <x:f>IFERROR(IF(VLOOKUP($A37,Parts!$A$2:$M$200,4,FALSE())=0,"",VLOOKUP($A37,Parts!$A$2:$M$200,4,FALSE())),"")</x:f>
        <x:v>1N4148W</x:v>
      </x:c>
      <x:c r="E37" s="48" t="str">
        <x:f>IFERROR(IF(VLOOKUP($A37,Parts!$A$2:$M$200,5,FALSE())=0,"",VLOOKUP($A37,Parts!$A$2:$M$200,5,FALSE())),"")</x:f>
        <x:v>Diode_SMD:D_SOD-123</x:v>
      </x:c>
      <x:c r="F37" t="str">
        <x:f>IFERROR(IF(VLOOKUP($A37,Parts!$A$2:$M$200,6,FALSE())=0,"",VLOOKUP($A37,Parts!$A$2:$M$200,6,FALSE())),"")</x:f>
        <x:v>Diotec</x:v>
      </x:c>
      <x:c r="G37" t="str">
        <x:f>IFERROR(IF(VLOOKUP($A37,Parts!$A$2:$M$200,7,FALSE())=0,"",VLOOKUP($A37,Parts!$A$2:$M$200,7,FALSE())),"")</x:f>
        <x:v>1N4148W</x:v>
      </x:c>
      <x:c r="H37" s="58" t="s">
        <x:v>829</x:v>
      </x:c>
      <x:c r="I37" t="str">
        <x:f>IF(OR($A37="",$H37=""),"",IFERROR(IF(INDEX(Part_Suppliers!$C$2:$C$300,MATCH($A37&amp;"|"&amp;$H37,Part_Suppliers!$K$2:$K$300,0))=0,"",INDEX(Part_Suppliers!$C$2:$C$300,MATCH($A37&amp;"|"&amp;$H37,Part_Suppliers!$K$2:$K$300,0))),""))</x:f>
        <x:v>BKL 10120946</x:v>
      </x:c>
      <x:c r="J37" s="50">
        <x:v>0</x:v>
      </x:c>
      <x:c r="K37" s="50">
        <x:v>0</x:v>
      </x:c>
      <x:c r="L37" s="48" t="str">
        <x:f>IFERROR(IF(VLOOKUP($A37,Parts!$A$2:$M$200,8,FALSE())=0,"",VLOOKUP($A37,Parts!$A$2:$M$200,8,FALSE())),"")</x:f>
        <x:v>DuoRelay</x:v>
      </x:c>
      <x:c r="M37" s="48" t="str">
        <x:f>IFERROR(IF(VLOOKUP($A37,Parts!$A$2:$M$200,12,FALSE())=0,"",VLOOKUP($A37,Parts!$A$2:$M$200,12,FALSE())),"")</x:f>
      </x:c>
      <x:c r="N37" s="59"/>
      <x:c r="O37" s="60" t="s">
        <x:v>825</x:v>
      </x:c>
      <x:c r="S37" t="str">
        <x:f>IF(O37="drucken",COUNTIF($O$5:O37,"drucken"),"")</x:f>
      </x:c>
    </x:row>
    <x:row r="38" ht="26.25" customHeight="1">
      <x:c r="A38" t="s">
        <x:v>265</x:v>
      </x:c>
      <x:c r="B38" t="str">
        <x:f>IFERROR(IF(VLOOKUP($A38,Parts!$A$2:$M$200,2,FALSE())=0,"",VLOOKUP($A38,Parts!$A$2:$M$200,2,FALSE())),"")</x:f>
        <x:v>Steckverbinder</x:v>
      </x:c>
      <x:c r="C38" s="48" t="str">
        <x:f>IFERROR(IF(VLOOKUP($A38,Parts!$A$2:$M$200,3,FALSE())=0,"",VLOOKUP($A38,Parts!$A$2:$M$200,3,FALSE())),"")</x:f>
        <x:v>Schraubklemme 1x3, horizontal</x:v>
      </x:c>
      <x:c r="D38" s="48" t="str">
        <x:f>IFERROR(IF(VLOOKUP($A38,Parts!$A$2:$M$200,4,FALSE())=0,"",VLOOKUP($A38,Parts!$A$2:$M$200,4,FALSE())),"")</x:f>
        <x:v>3-polig, 5,08 mm</x:v>
      </x:c>
      <x:c r="E38" s="48" t="str">
        <x:f>IFERROR(IF(VLOOKUP($A38,Parts!$A$2:$M$200,5,FALSE())=0,"",VLOOKUP($A38,Parts!$A$2:$M$200,5,FALSE())),"")</x:f>
        <x:v>TerminalBlock_Phoenix:TerminalBlock_Phoenix_MKDS-3-3-5.08_1x03_P5.08mm_Horizontal</x:v>
      </x:c>
      <x:c r="F38" t="str">
        <x:f>IFERROR(IF(VLOOKUP($A38,Parts!$A$2:$M$200,6,FALSE())=0,"",VLOOKUP($A38,Parts!$A$2:$M$200,6,FALSE())),"")</x:f>
        <x:v>Phoenix Contact</x:v>
      </x:c>
      <x:c r="G38" t="str">
        <x:f>IFERROR(IF(VLOOKUP($A38,Parts!$A$2:$M$200,7,FALSE())=0,"",VLOOKUP($A38,Parts!$A$2:$M$200,7,FALSE())),"")</x:f>
      </x:c>
      <x:c r="H38" s="58" t="s">
        <x:v>833</x:v>
      </x:c>
      <x:c r="I38" t="str">
        <x:f>IF(OR($A38="",$H38=""),"",IFERROR(IF(INDEX(Part_Suppliers!$C$2:$C$300,MATCH($A38&amp;"|"&amp;$H38,Part_Suppliers!$K$2:$K$300,0))=0,"",INDEX(Part_Suppliers!$C$2:$C$300,MATCH($A38&amp;"|"&amp;$H38,Part_Suppliers!$K$2:$K$300,0))),""))</x:f>
      </x:c>
      <x:c r="J38" s="50">
        <x:v>0</x:v>
      </x:c>
      <x:c r="K38" s="50">
        <x:v>0</x:v>
      </x:c>
      <x:c r="L38" s="48" t="str">
        <x:f>IFERROR(IF(VLOOKUP($A38,Parts!$A$2:$M$200,8,FALSE())=0,"",VLOOKUP($A38,Parts!$A$2:$M$200,8,FALSE())),"")</x:f>
        <x:v>DuoRelay</x:v>
      </x:c>
      <x:c r="M38" s="48" t="str">
        <x:f>IFERROR(IF(VLOOKUP($A38,Parts!$A$2:$M$200,12,FALSE())=0,"",VLOOKUP($A38,Parts!$A$2:$M$200,12,FALSE())),"")</x:f>
        <x:v>Exakte Hersteller-MPN ergänzen.</x:v>
      </x:c>
      <x:c r="N38" s="59"/>
      <x:c r="O38" s="60" t="s">
        <x:v>825</x:v>
      </x:c>
      <x:c r="S38" t="str">
        <x:f>IF(O38="drucken",COUNTIF($O$5:O38,"drucken"),"")</x:f>
      </x:c>
    </x:row>
    <x:row r="39" ht="15" customHeight="1">
      <x:c r="A39" t="s">
        <x:v>273</x:v>
      </x:c>
      <x:c r="B39" t="str">
        <x:f>IFERROR(IF(VLOOKUP($A39,Parts!$A$2:$M$200,2,FALSE())=0,"",VLOOKUP($A39,Parts!$A$2:$M$200,2,FALSE())),"")</x:f>
        <x:v>Transistor</x:v>
      </x:c>
      <x:c r="C39" s="48" t="str">
        <x:f>IFERROR(IF(VLOOKUP($A39,Parts!$A$2:$M$200,3,FALSE())=0,"",VLOOKUP($A39,Parts!$A$2:$M$200,3,FALSE())),"")</x:f>
        <x:v>NPN-Transistor BC817</x:v>
      </x:c>
      <x:c r="D39" s="48" t="str">
        <x:f>IFERROR(IF(VLOOKUP($A39,Parts!$A$2:$M$200,4,FALSE())=0,"",VLOOKUP($A39,Parts!$A$2:$M$200,4,FALSE())),"")</x:f>
        <x:v>BC817</x:v>
      </x:c>
      <x:c r="E39" s="48" t="str">
        <x:f>IFERROR(IF(VLOOKUP($A39,Parts!$A$2:$M$200,5,FALSE())=0,"",VLOOKUP($A39,Parts!$A$2:$M$200,5,FALSE())),"")</x:f>
        <x:v>Package_TO_SOT_SMD:SOT-23_Handsoldering</x:v>
      </x:c>
      <x:c r="F39" t="str">
        <x:f>IFERROR(IF(VLOOKUP($A39,Parts!$A$2:$M$200,6,FALSE())=0,"",VLOOKUP($A39,Parts!$A$2:$M$200,6,FALSE())),"")</x:f>
        <x:v>Diotec</x:v>
      </x:c>
      <x:c r="G39" t="str">
        <x:f>IFERROR(IF(VLOOKUP($A39,Parts!$A$2:$M$200,7,FALSE())=0,"",VLOOKUP($A39,Parts!$A$2:$M$200,7,FALSE())),"")</x:f>
        <x:v>BC817</x:v>
      </x:c>
      <x:c r="H39" s="58" t="s">
        <x:v>829</x:v>
      </x:c>
      <x:c r="I39" t="str">
        <x:f>IF(OR($A39="",$H39=""),"",IFERROR(IF(INDEX(Part_Suppliers!$C$2:$C$300,MATCH($A39&amp;"|"&amp;$H39,Part_Suppliers!$K$2:$K$300,0))=0,"",INDEX(Part_Suppliers!$C$2:$C$300,MATCH($A39&amp;"|"&amp;$H39,Part_Suppliers!$K$2:$K$300,0))),""))</x:f>
        <x:v>BKL 10120946</x:v>
      </x:c>
      <x:c r="J39" s="50">
        <x:v>0</x:v>
      </x:c>
      <x:c r="K39" s="50">
        <x:v>0</x:v>
      </x:c>
      <x:c r="L39" s="48" t="str">
        <x:f>IFERROR(IF(VLOOKUP($A39,Parts!$A$2:$M$200,8,FALSE())=0,"",VLOOKUP($A39,Parts!$A$2:$M$200,8,FALSE())),"")</x:f>
        <x:v>DuoRelay</x:v>
      </x:c>
      <x:c r="M39" s="48" t="str">
        <x:f>IFERROR(IF(VLOOKUP($A39,Parts!$A$2:$M$200,12,FALSE())=0,"",VLOOKUP($A39,Parts!$A$2:$M$200,12,FALSE())),"")</x:f>
      </x:c>
      <x:c r="N39" s="59"/>
      <x:c r="O39" s="60" t="s">
        <x:v>825</x:v>
      </x:c>
      <x:c r="S39" t="str">
        <x:f>IF(O39="drucken",COUNTIF($O$5:O39,"drucken"),"")</x:f>
      </x:c>
    </x:row>
    <x:row r="40" ht="26.25" customHeight="1">
      <x:c r="A40" t="s">
        <x:v>279</x:v>
      </x:c>
      <x:c r="B40" t="str">
        <x:f>IFERROR(IF(VLOOKUP($A40,Parts!$A$2:$M$200,2,FALSE())=0,"",VLOOKUP($A40,Parts!$A$2:$M$200,2,FALSE())),"")</x:f>
        <x:v>Widerstand</x:v>
      </x:c>
      <x:c r="C40" s="48" t="str">
        <x:f>IFERROR(IF(VLOOKUP($A40,Parts!$A$2:$M$200,3,FALSE())=0,"",VLOOKUP($A40,Parts!$A$2:$M$200,3,FALSE())),"")</x:f>
        <x:v>Widerstand 1 kΩ SMD</x:v>
      </x:c>
      <x:c r="D40" s="48" t="str">
        <x:f>IFERROR(IF(VLOOKUP($A40,Parts!$A$2:$M$200,4,FALSE())=0,"",VLOOKUP($A40,Parts!$A$2:$M$200,4,FALSE())),"")</x:f>
        <x:v>1 kΩ</x:v>
      </x:c>
      <x:c r="E40" s="48" t="str">
        <x:f>IFERROR(IF(VLOOKUP($A40,Parts!$A$2:$M$200,5,FALSE())=0,"",VLOOKUP($A40,Parts!$A$2:$M$200,5,FALSE())),"")</x:f>
        <x:v>Resistor_SMD:R_1206_3216Metric_Pad1.30x1.75mm_HandSolder</x:v>
      </x:c>
      <x:c r="F40" t="str">
        <x:f>IFERROR(IF(VLOOKUP($A40,Parts!$A$2:$M$200,6,FALSE())=0,"",VLOOKUP($A40,Parts!$A$2:$M$200,6,FALSE())),"")</x:f>
        <x:v>Vishay</x:v>
      </x:c>
      <x:c r="G40" t="str">
        <x:f>IFERROR(IF(VLOOKUP($A40,Parts!$A$2:$M$200,7,FALSE())=0,"",VLOOKUP($A40,Parts!$A$2:$M$200,7,FALSE())),"")</x:f>
        <x:v>CRCW12061K00FKEA</x:v>
      </x:c>
      <x:c r="H40" s="58" t="s">
        <x:v>829</x:v>
      </x:c>
      <x:c r="I40" t="str">
        <x:f>IF(OR($A40="",$H40=""),"",IFERROR(IF(INDEX(Part_Suppliers!$C$2:$C$300,MATCH($A40&amp;"|"&amp;$H40,Part_Suppliers!$K$2:$K$300,0))=0,"",INDEX(Part_Suppliers!$C$2:$C$300,MATCH($A40&amp;"|"&amp;$H40,Part_Suppliers!$K$2:$K$300,0))),""))</x:f>
        <x:v>BKL 10120946</x:v>
      </x:c>
      <x:c r="J40" s="50">
        <x:v>0</x:v>
      </x:c>
      <x:c r="K40" s="50">
        <x:v>0</x:v>
      </x:c>
      <x:c r="L40" s="48" t="str">
        <x:f>IFERROR(IF(VLOOKUP($A40,Parts!$A$2:$M$200,8,FALSE())=0,"",VLOOKUP($A40,Parts!$A$2:$M$200,8,FALSE())),"")</x:f>
        <x:v>DuoRelay</x:v>
      </x:c>
      <x:c r="M40" s="48" t="str">
        <x:f>IFERROR(IF(VLOOKUP($A40,Parts!$A$2:$M$200,12,FALSE())=0,"",VLOOKUP($A40,Parts!$A$2:$M$200,12,FALSE())),"")</x:f>
      </x:c>
      <x:c r="N40" s="59"/>
      <x:c r="O40" s="60" t="s">
        <x:v>825</x:v>
      </x:c>
      <x:c r="S40" t="str">
        <x:f>IF(O40="drucken",COUNTIF($O$5:O40,"drucken"),"")</x:f>
      </x:c>
    </x:row>
    <x:row r="41" ht="15" customHeight="1">
      <x:c r="A41" t="s">
        <x:v>284</x:v>
      </x:c>
      <x:c r="B41" t="str">
        <x:f>IFERROR(IF(VLOOKUP($A41,Parts!$A$2:$M$200,2,FALSE())=0,"",VLOOKUP($A41,Parts!$A$2:$M$200,2,FALSE())),"")</x:f>
        <x:v>Kondensator</x:v>
      </x:c>
      <x:c r="C41" s="48" t="str">
        <x:f>IFERROR(IF(VLOOKUP($A41,Parts!$A$2:$M$200,3,FALSE())=0,"",VLOOKUP($A41,Parts!$A$2:$M$200,3,FALSE())),"")</x:f>
        <x:v>Elektrolytkondensator 47 µF radial</x:v>
      </x:c>
      <x:c r="D41" s="48" t="str">
        <x:f>IFERROR(IF(VLOOKUP($A41,Parts!$A$2:$M$200,4,FALSE())=0,"",VLOOKUP($A41,Parts!$A$2:$M$200,4,FALSE())),"")</x:f>
        <x:v>47 µF, 50 V</x:v>
      </x:c>
      <x:c r="E41" s="48" t="str">
        <x:f>IFERROR(IF(VLOOKUP($A41,Parts!$A$2:$M$200,5,FALSE())=0,"",VLOOKUP($A41,Parts!$A$2:$M$200,5,FALSE())),"")</x:f>
        <x:v>Capacitor_SMD:CP_Elec_6.3x7.7</x:v>
      </x:c>
      <x:c r="F41" t="str">
        <x:f>IFERROR(IF(VLOOKUP($A41,Parts!$A$2:$M$200,6,FALSE())=0,"",VLOOKUP($A41,Parts!$A$2:$M$200,6,FALSE())),"")</x:f>
        <x:v>Europe ChemiCon</x:v>
      </x:c>
      <x:c r="G41" t="str">
        <x:f>IFERROR(IF(VLOOKUP($A41,Parts!$A$2:$M$200,7,FALSE())=0,"",VLOOKUP($A41,Parts!$A$2:$M$200,7,FALSE())),"")</x:f>
        <x:v>HHXC500ARA470MHA0G</x:v>
      </x:c>
      <x:c r="H41" s="58" t="s">
        <x:v>829</x:v>
      </x:c>
      <x:c r="I41" t="str">
        <x:f>IF(OR($A41="",$H41=""),"",IFERROR(IF(INDEX(Part_Suppliers!$C$2:$C$300,MATCH($A41&amp;"|"&amp;$H41,Part_Suppliers!$K$2:$K$300,0))=0,"",INDEX(Part_Suppliers!$C$2:$C$300,MATCH($A41&amp;"|"&amp;$H41,Part_Suppliers!$K$2:$K$300,0))),""))</x:f>
        <x:v>BKL 10120946</x:v>
      </x:c>
      <x:c r="J41" s="50">
        <x:v>0</x:v>
      </x:c>
      <x:c r="K41" s="50">
        <x:v>0</x:v>
      </x:c>
      <x:c r="L41" s="48" t="str">
        <x:f>IFERROR(IF(VLOOKUP($A41,Parts!$A$2:$M$200,8,FALSE())=0,"",VLOOKUP($A41,Parts!$A$2:$M$200,8,FALSE())),"")</x:f>
        <x:v>EnvNodeMini Rev 0.1</x:v>
      </x:c>
      <x:c r="M41" s="48" t="str">
        <x:f>IFERROR(IF(VLOOKUP($A41,Parts!$A$2:$M$200,12,FALSE())=0,"",VLOOKUP($A41,Parts!$A$2:$M$200,12,FALSE())),"")</x:f>
      </x:c>
      <x:c r="N41" s="59"/>
      <x:c r="O41" s="60" t="s">
        <x:v>825</x:v>
      </x:c>
      <x:c r="S41" t="str">
        <x:f>IF(O41="drucken",COUNTIF($O$5:O41,"drucken"),"")</x:f>
      </x:c>
    </x:row>
    <x:row r="42" ht="15" customHeight="1">
      <x:c r="A42" t="s">
        <x:v>292</x:v>
      </x:c>
      <x:c r="B42" t="str">
        <x:f>IFERROR(IF(VLOOKUP($A42,Parts!$A$2:$M$200,2,FALSE())=0,"",VLOOKUP($A42,Parts!$A$2:$M$200,2,FALSE())),"")</x:f>
        <x:v>Diode</x:v>
      </x:c>
      <x:c r="C42" s="48" t="str">
        <x:f>IFERROR(IF(VLOOKUP($A42,Parts!$A$2:$M$200,3,FALSE())=0,"",VLOOKUP($A42,Parts!$A$2:$M$200,3,FALSE())),"")</x:f>
        <x:v>Schottky-Diode STPS3L60S</x:v>
      </x:c>
      <x:c r="D42" s="48" t="str">
        <x:f>IFERROR(IF(VLOOKUP($A42,Parts!$A$2:$M$200,4,FALSE())=0,"",VLOOKUP($A42,Parts!$A$2:$M$200,4,FALSE())),"")</x:f>
        <x:v>B360B-13-F</x:v>
      </x:c>
      <x:c r="E42" s="48" t="str">
        <x:f>IFERROR(IF(VLOOKUP($A42,Parts!$A$2:$M$200,5,FALSE())=0,"",VLOOKUP($A42,Parts!$A$2:$M$200,5,FALSE())),"")</x:f>
        <x:v>Diode_SMD:D_SMB_Handsoldering</x:v>
      </x:c>
      <x:c r="F42" t="str">
        <x:f>IFERROR(IF(VLOOKUP($A42,Parts!$A$2:$M$200,6,FALSE())=0,"",VLOOKUP($A42,Parts!$A$2:$M$200,6,FALSE())),"")</x:f>
        <x:v>Diodes</x:v>
      </x:c>
      <x:c r="G42" t="str">
        <x:f>IFERROR(IF(VLOOKUP($A42,Parts!$A$2:$M$200,7,FALSE())=0,"",VLOOKUP($A42,Parts!$A$2:$M$200,7,FALSE())),"")</x:f>
        <x:v>STPS3L60S</x:v>
      </x:c>
      <x:c r="H42" s="58" t="s">
        <x:v>829</x:v>
      </x:c>
      <x:c r="I42" t="str">
        <x:f>IF(OR($A42="",$H42=""),"",IFERROR(IF(INDEX(Part_Suppliers!$C$2:$C$300,MATCH($A42&amp;"|"&amp;$H42,Part_Suppliers!$K$2:$K$300,0))=0,"",INDEX(Part_Suppliers!$C$2:$C$300,MATCH($A42&amp;"|"&amp;$H42,Part_Suppliers!$K$2:$K$300,0))),""))</x:f>
        <x:v>BKL 10120946</x:v>
      </x:c>
      <x:c r="J42" s="50">
        <x:v>0</x:v>
      </x:c>
      <x:c r="K42" s="50">
        <x:v>0</x:v>
      </x:c>
      <x:c r="L42" s="48" t="str">
        <x:f>IFERROR(IF(VLOOKUP($A42,Parts!$A$2:$M$200,8,FALSE())=0,"",VLOOKUP($A42,Parts!$A$2:$M$200,8,FALSE())),"")</x:f>
        <x:v>EnvNodeMini Rev 0.1</x:v>
      </x:c>
      <x:c r="M42" s="48" t="str">
        <x:f>IFERROR(IF(VLOOKUP($A42,Parts!$A$2:$M$200,12,FALSE())=0,"",VLOOKUP($A42,Parts!$A$2:$M$200,12,FALSE())),"")</x:f>
      </x:c>
      <x:c r="N42" s="59"/>
      <x:c r="O42" s="60" t="s">
        <x:v>825</x:v>
      </x:c>
      <x:c r="S42" t="str">
        <x:f>IF(O42="drucken",COUNTIF($O$5:O42,"drucken"),"")</x:f>
      </x:c>
    </x:row>
    <x:row r="43" ht="15" customHeight="1">
      <x:c r="A43" t="s">
        <x:v>299</x:v>
      </x:c>
      <x:c r="B43" t="str">
        <x:f>IFERROR(IF(VLOOKUP($A43,Parts!$A$2:$M$200,2,FALSE())=0,"",VLOOKUP($A43,Parts!$A$2:$M$200,2,FALSE())),"")</x:f>
        <x:v>Schutzdiode</x:v>
      </x:c>
      <x:c r="C43" s="48" t="str">
        <x:f>IFERROR(IF(VLOOKUP($A43,Parts!$A$2:$M$200,3,FALSE())=0,"",VLOOKUP($A43,Parts!$A$2:$M$200,3,FALSE())),"")</x:f>
        <x:v>TVS-Diode SMBJ24A</x:v>
      </x:c>
      <x:c r="D43" s="48" t="str">
        <x:f>IFERROR(IF(VLOOKUP($A43,Parts!$A$2:$M$200,4,FALSE())=0,"",VLOOKUP($A43,Parts!$A$2:$M$200,4,FALSE())),"")</x:f>
        <x:v>24 V</x:v>
      </x:c>
      <x:c r="E43" s="48" t="str">
        <x:f>IFERROR(IF(VLOOKUP($A43,Parts!$A$2:$M$200,5,FALSE())=0,"",VLOOKUP($A43,Parts!$A$2:$M$200,5,FALSE())),"")</x:f>
        <x:v>Diode_SMD:D_SMB_Handsoldering</x:v>
      </x:c>
      <x:c r="F43" t="str">
        <x:f>IFERROR(IF(VLOOKUP($A43,Parts!$A$2:$M$200,6,FALSE())=0,"",VLOOKUP($A43,Parts!$A$2:$M$200,6,FALSE())),"")</x:f>
        <x:v>Littelfuse</x:v>
      </x:c>
      <x:c r="G43" t="str">
        <x:f>IFERROR(IF(VLOOKUP($A43,Parts!$A$2:$M$200,7,FALSE())=0,"",VLOOKUP($A43,Parts!$A$2:$M$200,7,FALSE())),"")</x:f>
        <x:v>SMBJ24A</x:v>
      </x:c>
      <x:c r="H43" s="58" t="s">
        <x:v>829</x:v>
      </x:c>
      <x:c r="I43" t="str">
        <x:f>IF(OR($A43="",$H43=""),"",IFERROR(IF(INDEX(Part_Suppliers!$C$2:$C$300,MATCH($A43&amp;"|"&amp;$H43,Part_Suppliers!$K$2:$K$300,0))=0,"",INDEX(Part_Suppliers!$C$2:$C$300,MATCH($A43&amp;"|"&amp;$H43,Part_Suppliers!$K$2:$K$300,0))),""))</x:f>
        <x:v>BKL 10120946</x:v>
      </x:c>
      <x:c r="J43" s="50">
        <x:v>0</x:v>
      </x:c>
      <x:c r="K43" s="50">
        <x:v>0</x:v>
      </x:c>
      <x:c r="L43" s="48" t="str">
        <x:f>IFERROR(IF(VLOOKUP($A43,Parts!$A$2:$M$200,8,FALSE())=0,"",VLOOKUP($A43,Parts!$A$2:$M$200,8,FALSE())),"")</x:f>
        <x:v>EnvNodeMini Rev 0.1</x:v>
      </x:c>
      <x:c r="M43" s="48" t="str">
        <x:f>IFERROR(IF(VLOOKUP($A43,Parts!$A$2:$M$200,12,FALSE())=0,"",VLOOKUP($A43,Parts!$A$2:$M$200,12,FALSE())),"")</x:f>
      </x:c>
      <x:c r="N43" s="59"/>
      <x:c r="O43" s="60" t="s">
        <x:v>825</x:v>
      </x:c>
      <x:c r="S43" t="str">
        <x:f>IF(O43="drucken",COUNTIF($O$5:O43,"drucken"),"")</x:f>
      </x:c>
    </x:row>
    <x:row r="44" ht="15" customHeight="1">
      <x:c r="A44" t="s">
        <x:v>306</x:v>
      </x:c>
      <x:c r="B44" t="str">
        <x:f>IFERROR(IF(VLOOKUP($A44,Parts!$A$2:$M$200,2,FALSE())=0,"",VLOOKUP($A44,Parts!$A$2:$M$200,2,FALSE())),"")</x:f>
        <x:v>Sicherung</x:v>
      </x:c>
      <x:c r="C44" s="48" t="str">
        <x:f>IFERROR(IF(VLOOKUP($A44,Parts!$A$2:$M$200,3,FALSE())=0,"",VLOOKUP($A44,Parts!$A$2:$M$200,3,FALSE())),"")</x:f>
        <x:v>Sicherung 2 A</x:v>
      </x:c>
      <x:c r="D44" s="48" t="str">
        <x:f>IFERROR(IF(VLOOKUP($A44,Parts!$A$2:$M$200,4,FALSE())=0,"",VLOOKUP($A44,Parts!$A$2:$M$200,4,FALSE())),"")</x:f>
        <x:v>2 A</x:v>
      </x:c>
      <x:c r="E44" s="48" t="str">
        <x:f>IFERROR(IF(VLOOKUP($A44,Parts!$A$2:$M$200,5,FALSE())=0,"",VLOOKUP($A44,Parts!$A$2:$M$200,5,FALSE())),"")</x:f>
        <x:v>Fuse:Fuse_Littelfuse-NANO2-451_453</x:v>
      </x:c>
      <x:c r="F44" t="str">
        <x:f>IFERROR(IF(VLOOKUP($A44,Parts!$A$2:$M$200,6,FALSE())=0,"",VLOOKUP($A44,Parts!$A$2:$M$200,6,FALSE())),"")</x:f>
        <x:v>Littelfuse</x:v>
      </x:c>
      <x:c r="G44" t="str">
        <x:f>IFERROR(IF(VLOOKUP($A44,Parts!$A$2:$M$200,7,FALSE())=0,"",VLOOKUP($A44,Parts!$A$2:$M$200,7,FALSE())),"")</x:f>
      </x:c>
      <x:c r="H44" s="58" t="s">
        <x:v>833</x:v>
      </x:c>
      <x:c r="I44" t="str">
        <x:f>IF(OR($A44="",$H44=""),"",IFERROR(IF(INDEX(Part_Suppliers!$C$2:$C$300,MATCH($A44&amp;"|"&amp;$H44,Part_Suppliers!$K$2:$K$300,0))=0,"",INDEX(Part_Suppliers!$C$2:$C$300,MATCH($A44&amp;"|"&amp;$H44,Part_Suppliers!$K$2:$K$300,0))),""))</x:f>
      </x:c>
      <x:c r="J44" s="50">
        <x:v>0</x:v>
      </x:c>
      <x:c r="K44" s="50">
        <x:v>0</x:v>
      </x:c>
      <x:c r="L44" s="48" t="str">
        <x:f>IFERROR(IF(VLOOKUP($A44,Parts!$A$2:$M$200,8,FALSE())=0,"",VLOOKUP($A44,Parts!$A$2:$M$200,8,FALSE())),"")</x:f>
        <x:v>EnvNodeMini Rev 0.1</x:v>
      </x:c>
      <x:c r="M44" s="48" t="str">
        <x:f>IFERROR(IF(VLOOKUP($A44,Parts!$A$2:$M$200,12,FALSE())=0,"",VLOOKUP($A44,Parts!$A$2:$M$200,12,FALSE())),"")</x:f>
        <x:v>Exakte Serie/MPN und Auslösecharakteristik ergänzen.</x:v>
      </x:c>
      <x:c r="N44" s="59"/>
      <x:c r="O44" s="60" t="s">
        <x:v>825</x:v>
      </x:c>
      <x:c r="S44" t="str">
        <x:f>IF(O44="drucken",COUNTIF($O$5:O44,"drucken"),"")</x:f>
      </x:c>
    </x:row>
    <x:row r="45" ht="26.25" customHeight="1">
      <x:c r="A45" t="s">
        <x:v>314</x:v>
      </x:c>
      <x:c r="B45" t="str">
        <x:f>IFERROR(IF(VLOOKUP($A45,Parts!$A$2:$M$200,2,FALSE())=0,"",VLOOKUP($A45,Parts!$A$2:$M$200,2,FALSE())),"")</x:f>
        <x:v>Steckverbinder</x:v>
      </x:c>
      <x:c r="C45" s="48" t="str">
        <x:f>IFERROR(IF(VLOOKUP($A45,Parts!$A$2:$M$200,3,FALSE())=0,"",VLOOKUP($A45,Parts!$A$2:$M$200,3,FALSE())),"")</x:f>
        <x:v>Schraubklemme 1x2, horizontal</x:v>
      </x:c>
      <x:c r="D45" s="48" t="str">
        <x:f>IFERROR(IF(VLOOKUP($A45,Parts!$A$2:$M$200,4,FALSE())=0,"",VLOOKUP($A45,Parts!$A$2:$M$200,4,FALSE())),"")</x:f>
        <x:v>2-polig, 5,00 mm</x:v>
      </x:c>
      <x:c r="E45" s="48" t="str">
        <x:f>IFERROR(IF(VLOOKUP($A45,Parts!$A$2:$M$200,5,FALSE())=0,"",VLOOKUP($A45,Parts!$A$2:$M$200,5,FALSE())),"")</x:f>
        <x:v>TerminalBlock_RND:TerminalBlock_RND_205-00001_1x02_P5.00mm_Horizontal</x:v>
      </x:c>
      <x:c r="F45" t="str">
        <x:f>IFERROR(IF(VLOOKUP($A45,Parts!$A$2:$M$200,6,FALSE())=0,"",VLOOKUP($A45,Parts!$A$2:$M$200,6,FALSE())),"")</x:f>
        <x:v>RND</x:v>
      </x:c>
      <x:c r="G45" t="str">
        <x:f>IFERROR(IF(VLOOKUP($A45,Parts!$A$2:$M$200,7,FALSE())=0,"",VLOOKUP($A45,Parts!$A$2:$M$200,7,FALSE())),"")</x:f>
        <x:v>205-00001</x:v>
      </x:c>
      <x:c r="H45" s="58" t="s">
        <x:v>833</x:v>
      </x:c>
      <x:c r="I45" t="str">
        <x:f>IF(OR($A45="",$H45=""),"",IFERROR(IF(INDEX(Part_Suppliers!$C$2:$C$300,MATCH($A45&amp;"|"&amp;$H45,Part_Suppliers!$K$2:$K$300,0))=0,"",INDEX(Part_Suppliers!$C$2:$C$300,MATCH($A45&amp;"|"&amp;$H45,Part_Suppliers!$K$2:$K$300,0))),""))</x:f>
      </x:c>
      <x:c r="J45" s="50">
        <x:v>0</x:v>
      </x:c>
      <x:c r="K45" s="50">
        <x:v>0</x:v>
      </x:c>
      <x:c r="L45" s="48" t="str">
        <x:f>IFERROR(IF(VLOOKUP($A45,Parts!$A$2:$M$200,8,FALSE())=0,"",VLOOKUP($A45,Parts!$A$2:$M$200,8,FALSE())),"")</x:f>
        <x:v>EnvNodeMini Rev 0.1</x:v>
      </x:c>
      <x:c r="M45" s="48" t="str">
        <x:f>IFERROR(IF(VLOOKUP($A45,Parts!$A$2:$M$200,12,FALSE())=0,"",VLOOKUP($A45,Parts!$A$2:$M$200,12,FALSE())),"")</x:f>
      </x:c>
      <x:c r="N45" s="59"/>
      <x:c r="O45" s="60" t="s">
        <x:v>825</x:v>
      </x:c>
      <x:c r="S45" t="str">
        <x:f>IF(O45="drucken",COUNTIF($O$5:O45,"drucken"),"")</x:f>
      </x:c>
    </x:row>
    <x:row r="46" ht="15" customHeight="1">
      <x:c r="A46" t="s">
        <x:v>321</x:v>
      </x:c>
      <x:c r="B46" t="str">
        <x:f>IFERROR(IF(VLOOKUP($A46,Parts!$A$2:$M$200,2,FALSE())=0,"",VLOOKUP($A46,Parts!$A$2:$M$200,2,FALSE())),"")</x:f>
        <x:v>DC/DC-Wandler</x:v>
      </x:c>
      <x:c r="C46" s="48" t="str">
        <x:f>IFERROR(IF(VLOOKUP($A46,Parts!$A$2:$M$200,3,FALSE())=0,"",VLOOKUP($A46,Parts!$A$2:$M$200,3,FALSE())),"")</x:f>
        <x:v>Schaltreglermodul 5 V</x:v>
      </x:c>
      <x:c r="D46" s="48" t="str">
        <x:f>IFERROR(IF(VLOOKUP($A46,Parts!$A$2:$M$200,4,FALSE())=0,"",VLOOKUP($A46,Parts!$A$2:$M$200,4,FALSE())),"")</x:f>
        <x:v>TSR 1-2450</x:v>
      </x:c>
      <x:c r="E46" s="48" t="str">
        <x:f>IFERROR(IF(VLOOKUP($A46,Parts!$A$2:$M$200,5,FALSE())=0,"",VLOOKUP($A46,Parts!$A$2:$M$200,5,FALSE())),"")</x:f>
        <x:v>Converter_DCDC:Converter_DCDC_TRACO_TSR-1_THT</x:v>
      </x:c>
      <x:c r="F46" t="str">
        <x:f>IFERROR(IF(VLOOKUP($A46,Parts!$A$2:$M$200,6,FALSE())=0,"",VLOOKUP($A46,Parts!$A$2:$M$200,6,FALSE())),"")</x:f>
        <x:v>Traco Power</x:v>
      </x:c>
      <x:c r="G46" t="str">
        <x:f>IFERROR(IF(VLOOKUP($A46,Parts!$A$2:$M$200,7,FALSE())=0,"",VLOOKUP($A46,Parts!$A$2:$M$200,7,FALSE())),"")</x:f>
        <x:v>TSR 1-2450</x:v>
      </x:c>
      <x:c r="H46" s="58" t="s">
        <x:v>829</x:v>
      </x:c>
      <x:c r="I46" t="str">
        <x:f>IF(OR($A46="",$H46=""),"",IFERROR(IF(INDEX(Part_Suppliers!$C$2:$C$300,MATCH($A46&amp;"|"&amp;$H46,Part_Suppliers!$K$2:$K$300,0))=0,"",INDEX(Part_Suppliers!$C$2:$C$300,MATCH($A46&amp;"|"&amp;$H46,Part_Suppliers!$K$2:$K$300,0))),""))</x:f>
        <x:v>BKL 10120946</x:v>
      </x:c>
      <x:c r="J46" s="50">
        <x:v>0</x:v>
      </x:c>
      <x:c r="K46" s="50">
        <x:v>0</x:v>
      </x:c>
      <x:c r="L46" s="48" t="str">
        <x:f>IFERROR(IF(VLOOKUP($A46,Parts!$A$2:$M$200,8,FALSE())=0,"",VLOOKUP($A46,Parts!$A$2:$M$200,8,FALSE())),"")</x:f>
        <x:v>EnvNodeMini Rev 0.1</x:v>
      </x:c>
      <x:c r="M46" s="48" t="str">
        <x:f>IFERROR(IF(VLOOKUP($A46,Parts!$A$2:$M$200,12,FALSE())=0,"",VLOOKUP($A46,Parts!$A$2:$M$200,12,FALSE())),"")</x:f>
      </x:c>
      <x:c r="N46" s="59"/>
      <x:c r="O46" s="60" t="s">
        <x:v>825</x:v>
      </x:c>
      <x:c r="S46" t="str">
        <x:f>IF(O46="drucken",COUNTIF($O$5:O46,"drucken"),"")</x:f>
      </x:c>
    </x:row>
    <x:row r="47" ht="26.25" customHeight="1">
      <x:c r="A47" t="s">
        <x:v>328</x:v>
      </x:c>
      <x:c r="B47" t="str">
        <x:f>IFERROR(IF(VLOOKUP($A47,Parts!$A$2:$M$200,2,FALSE())=0,"",VLOOKUP($A47,Parts!$A$2:$M$200,2,FALSE())),"")</x:f>
        <x:v>DC/DC-Wandler</x:v>
      </x:c>
      <x:c r="C47" s="48" t="str">
        <x:f>IFERROR(IF(VLOOKUP($A47,Parts!$A$2:$M$200,3,FALSE())=0,"",VLOOKUP($A47,Parts!$A$2:$M$200,3,FALSE())),"")</x:f>
        <x:v>Schaltreglermodul 3,3 V</x:v>
      </x:c>
      <x:c r="D47" s="48" t="str">
        <x:f>IFERROR(IF(VLOOKUP($A47,Parts!$A$2:$M$200,4,FALSE())=0,"",VLOOKUP($A47,Parts!$A$2:$M$200,4,FALSE())),"")</x:f>
        <x:v>TSR 1-2433</x:v>
      </x:c>
      <x:c r="E47" s="48" t="str">
        <x:f>IFERROR(IF(VLOOKUP($A47,Parts!$A$2:$M$200,5,FALSE())=0,"",VLOOKUP($A47,Parts!$A$2:$M$200,5,FALSE())),"")</x:f>
        <x:v>Converter_DCDC:Converter_DCDC_TRACO_TSR-1_THT</x:v>
      </x:c>
      <x:c r="F47" t="str">
        <x:f>IFERROR(IF(VLOOKUP($A47,Parts!$A$2:$M$200,6,FALSE())=0,"",VLOOKUP($A47,Parts!$A$2:$M$200,6,FALSE())),"")</x:f>
        <x:v>Traco Power</x:v>
      </x:c>
      <x:c r="G47" t="str">
        <x:f>IFERROR(IF(VLOOKUP($A47,Parts!$A$2:$M$200,7,FALSE())=0,"",VLOOKUP($A47,Parts!$A$2:$M$200,7,FALSE())),"")</x:f>
        <x:v>TSR 1-2433</x:v>
      </x:c>
      <x:c r="H47" s="58" t="s">
        <x:v>829</x:v>
      </x:c>
      <x:c r="I47" t="str">
        <x:f>IF(OR($A47="",$H47=""),"",IFERROR(IF(INDEX(Part_Suppliers!$C$2:$C$300,MATCH($A47&amp;"|"&amp;$H47,Part_Suppliers!$K$2:$K$300,0))=0,"",INDEX(Part_Suppliers!$C$2:$C$300,MATCH($A47&amp;"|"&amp;$H47,Part_Suppliers!$K$2:$K$300,0))),""))</x:f>
        <x:v>BKL 10120946</x:v>
      </x:c>
      <x:c r="J47" s="50">
        <x:v>0</x:v>
      </x:c>
      <x:c r="K47" s="50">
        <x:v>0</x:v>
      </x:c>
      <x:c r="L47" s="48" t="str">
        <x:f>IFERROR(IF(VLOOKUP($A47,Parts!$A$2:$M$200,8,FALSE())=0,"",VLOOKUP($A47,Parts!$A$2:$M$200,8,FALSE())),"")</x:f>
        <x:v>EnvNodeMini Rev 0.1</x:v>
      </x:c>
      <x:c r="M47" s="48" t="str">
        <x:f>IFERROR(IF(VLOOKUP($A47,Parts!$A$2:$M$200,12,FALSE())=0,"",VLOOKUP($A47,Parts!$A$2:$M$200,12,FALSE())),"")</x:f>
        <x:v>KiCad-Library-ID basiert auf TSR_1-2450; Wert und tatsächliches Teil prüfen.</x:v>
      </x:c>
      <x:c r="N47" s="59"/>
      <x:c r="O47" s="60" t="s">
        <x:v>825</x:v>
      </x:c>
      <x:c r="S47" t="str">
        <x:f>IF(O47="drucken",COUNTIF($O$5:O47,"drucken"),"")</x:f>
      </x:c>
    </x:row>
    <x:row r="48" ht="26.25" customHeight="1">
      <x:c r="A48" t="s">
        <x:v>333</x:v>
      </x:c>
      <x:c r="B48" t="str">
        <x:f>IFERROR(IF(VLOOKUP($A48,Parts!$A$2:$M$200,2,FALSE())=0,"",VLOOKUP($A48,Parts!$A$2:$M$200,2,FALSE())),"")</x:f>
        <x:v>Kondensator</x:v>
      </x:c>
      <x:c r="C48" s="48" t="str">
        <x:f>IFERROR(IF(VLOOKUP($A48,Parts!$A$2:$M$200,3,FALSE())=0,"",VLOOKUP($A48,Parts!$A$2:$M$200,3,FALSE())),"")</x:f>
        <x:v>Keramikkondensator 10 nF SMD</x:v>
      </x:c>
      <x:c r="D48" s="48" t="str">
        <x:f>IFERROR(IF(VLOOKUP($A48,Parts!$A$2:$M$200,4,FALSE())=0,"",VLOOKUP($A48,Parts!$A$2:$M$200,4,FALSE())),"")</x:f>
        <x:v>10 nF</x:v>
      </x:c>
      <x:c r="E48" s="48" t="str">
        <x:f>IFERROR(IF(VLOOKUP($A48,Parts!$A$2:$M$200,5,FALSE())=0,"",VLOOKUP($A48,Parts!$A$2:$M$200,5,FALSE())),"")</x:f>
        <x:v>Capacitor_SMD:C_1206_3216Metric_Pad1.33x1.80mm_HandSolder</x:v>
      </x:c>
      <x:c r="F48" t="str">
        <x:f>IFERROR(IF(VLOOKUP($A48,Parts!$A$2:$M$200,6,FALSE())=0,"",VLOOKUP($A48,Parts!$A$2:$M$200,6,FALSE())),"")</x:f>
        <x:v>Kyocera</x:v>
      </x:c>
      <x:c r="G48" t="str">
        <x:f>IFERROR(IF(VLOOKUP($A48,Parts!$A$2:$M$200,7,FALSE())=0,"",VLOOKUP($A48,Parts!$A$2:$M$200,7,FALSE())),"")</x:f>
        <x:v>12061C103JAT2A</x:v>
      </x:c>
      <x:c r="H48" s="58" t="s">
        <x:v>829</x:v>
      </x:c>
      <x:c r="I48" t="str">
        <x:f>IF(OR($A48="",$H48=""),"",IFERROR(IF(INDEX(Part_Suppliers!$C$2:$C$300,MATCH($A48&amp;"|"&amp;$H48,Part_Suppliers!$K$2:$K$300,0))=0,"",INDEX(Part_Suppliers!$C$2:$C$300,MATCH($A48&amp;"|"&amp;$H48,Part_Suppliers!$K$2:$K$300,0))),""))</x:f>
        <x:v>BKL 10120946</x:v>
      </x:c>
      <x:c r="J48" s="50">
        <x:v>0</x:v>
      </x:c>
      <x:c r="K48" s="50">
        <x:v>0</x:v>
      </x:c>
      <x:c r="L48" s="48" t="str">
        <x:f>IFERROR(IF(VLOOKUP($A48,Parts!$A$2:$M$200,8,FALSE())=0,"",VLOOKUP($A48,Parts!$A$2:$M$200,8,FALSE())),"")</x:f>
        <x:v>SolarRadiation</x:v>
      </x:c>
      <x:c r="M48" s="48" t="str">
        <x:f>IFERROR(IF(VLOOKUP($A48,Parts!$A$2:$M$200,12,FALSE())=0,"",VLOOKUP($A48,Parts!$A$2:$M$200,12,FALSE())),"")</x:f>
      </x:c>
      <x:c r="N48" s="59"/>
      <x:c r="O48" s="60" t="s">
        <x:v>825</x:v>
      </x:c>
      <x:c r="S48" t="str">
        <x:f>IF(O48="drucken",COUNTIF($O$5:O48,"drucken"),"")</x:f>
      </x:c>
    </x:row>
    <x:row r="49" ht="26.25" customHeight="1">
      <x:c r="A49" t="s">
        <x:v>339</x:v>
      </x:c>
      <x:c r="B49" t="str">
        <x:f>IFERROR(IF(VLOOKUP($A49,Parts!$A$2:$M$200,2,FALSE())=0,"",VLOOKUP($A49,Parts!$A$2:$M$200,2,FALSE())),"")</x:f>
        <x:v>Widerstand</x:v>
      </x:c>
      <x:c r="C49" s="48" t="str">
        <x:f>IFERROR(IF(VLOOKUP($A49,Parts!$A$2:$M$200,3,FALSE())=0,"",VLOOKUP($A49,Parts!$A$2:$M$200,3,FALSE())),"")</x:f>
        <x:v>Widerstand, Metallschicht, 2 Ohm, 0207, 600 mW, 0,1%</x:v>
      </x:c>
      <x:c r="D49" s="48" t="str">
        <x:f>IFERROR(IF(VLOOKUP($A49,Parts!$A$2:$M$200,4,FALSE())=0,"",VLOOKUP($A49,Parts!$A$2:$M$200,4,FALSE())),"")</x:f>
        <x:v>2 Ω</x:v>
      </x:c>
      <x:c r="E49" s="48" t="str">
        <x:f>IFERROR(IF(VLOOKUP($A49,Parts!$A$2:$M$200,5,FALSE())=0,"",VLOOKUP($A49,Parts!$A$2:$M$200,5,FALSE())),"")</x:f>
        <x:v>Resistor_THT:R_Axial_DIN0207_L6.3mm_D2.5mm_P7.62mm_Horizontal</x:v>
      </x:c>
      <x:c r="F49" t="str">
        <x:f>IFERROR(IF(VLOOKUP($A49,Parts!$A$2:$M$200,6,FALSE())=0,"",VLOOKUP($A49,Parts!$A$2:$M$200,6,FALSE())),"")</x:f>
        <x:v>Yageo</x:v>
      </x:c>
      <x:c r="G49" t="str">
        <x:f>IFERROR(IF(VLOOKUP($A49,Parts!$A$2:$M$200,7,FALSE())=0,"",VLOOKUP($A49,Parts!$A$2:$M$200,7,FALSE())),"")</x:f>
        <x:v>MF0207FTE52-2R</x:v>
      </x:c>
      <x:c r="H49" s="58" t="s">
        <x:v>829</x:v>
      </x:c>
      <x:c r="I49" t="str">
        <x:f>IF(OR($A49="",$H49=""),"",IFERROR(IF(INDEX(Part_Suppliers!$C$2:$C$300,MATCH($A49&amp;"|"&amp;$H49,Part_Suppliers!$K$2:$K$300,0))=0,"",INDEX(Part_Suppliers!$C$2:$C$300,MATCH($A49&amp;"|"&amp;$H49,Part_Suppliers!$K$2:$K$300,0))),""))</x:f>
        <x:v>BKL 10120946</x:v>
      </x:c>
      <x:c r="J49" s="50">
        <x:v>0</x:v>
      </x:c>
      <x:c r="K49" s="50">
        <x:v>0</x:v>
      </x:c>
      <x:c r="L49" s="48" t="str">
        <x:f>IFERROR(IF(VLOOKUP($A49,Parts!$A$2:$M$200,8,FALSE())=0,"",VLOOKUP($A49,Parts!$A$2:$M$200,8,FALSE())),"")</x:f>
        <x:v>SolarRadiation</x:v>
      </x:c>
      <x:c r="M49" s="48" t="str">
        <x:f>IFERROR(IF(VLOOKUP($A49,Parts!$A$2:$M$200,12,FALSE())=0,"",VLOOKUP($A49,Parts!$A$2:$M$200,12,FALSE())),"")</x:f>
      </x:c>
      <x:c r="N49" s="59"/>
      <x:c r="O49" s="60" t="s">
        <x:v>825</x:v>
      </x:c>
      <x:c r="S49" t="str">
        <x:f>IF(O49="drucken",COUNTIF($O$5:O49,"drucken"),"")</x:f>
      </x:c>
    </x:row>
    <x:row r="50" ht="15" customHeight="1">
      <x:c r="A50" t="s">
        <x:v>345</x:v>
      </x:c>
      <x:c r="B50" t="str">
        <x:f>IFERROR(IF(VLOOKUP($A50,Parts!$A$2:$M$200,2,FALSE())=0,"",VLOOKUP($A50,Parts!$A$2:$M$200,2,FALSE())),"")</x:f>
        <x:v>Solarzelle</x:v>
      </x:c>
      <x:c r="C50" s="48" t="str">
        <x:f>IFERROR(IF(VLOOKUP($A50,Parts!$A$2:$M$200,3,FALSE())=0,"",VLOOKUP($A50,Parts!$A$2:$M$200,3,FALSE())),"")</x:f>
        <x:v>Solarzelle KXOB25-14X1F-TB</x:v>
      </x:c>
      <x:c r="D50" s="48" t="str">
        <x:f>IFERROR(IF(VLOOKUP($A50,Parts!$A$2:$M$200,4,FALSE())=0,"",VLOOKUP($A50,Parts!$A$2:$M$200,4,FALSE())),"")</x:f>
        <x:v>KXOB25-14X1F-TB</x:v>
      </x:c>
      <x:c r="E50" s="48" t="str">
        <x:f>IFERROR(IF(VLOOKUP($A50,Parts!$A$2:$M$200,5,FALSE())=0,"",VLOOKUP($A50,Parts!$A$2:$M$200,5,FALSE())),"")</x:f>
        <x:v>EnvNode-Footprints:KXOB25-14X1F</x:v>
      </x:c>
      <x:c r="F50" t="str">
        <x:f>IFERROR(IF(VLOOKUP($A50,Parts!$A$2:$M$200,6,FALSE())=0,"",VLOOKUP($A50,Parts!$A$2:$M$200,6,FALSE())),"")</x:f>
      </x:c>
      <x:c r="G50" t="str">
        <x:f>IFERROR(IF(VLOOKUP($A50,Parts!$A$2:$M$200,7,FALSE())=0,"",VLOOKUP($A50,Parts!$A$2:$M$200,7,FALSE())),"")</x:f>
        <x:v>KXOB25-14X1F-TB</x:v>
      </x:c>
      <x:c r="H50" s="58" t="s">
        <x:v>833</x:v>
      </x:c>
      <x:c r="I50" t="str">
        <x:f>IF(OR($A50="",$H50=""),"",IFERROR(IF(INDEX(Part_Suppliers!$C$2:$C$300,MATCH($A50&amp;"|"&amp;$H50,Part_Suppliers!$K$2:$K$300,0))=0,"",INDEX(Part_Suppliers!$C$2:$C$300,MATCH($A50&amp;"|"&amp;$H50,Part_Suppliers!$K$2:$K$300,0))),""))</x:f>
      </x:c>
      <x:c r="J50" s="50">
        <x:v>0</x:v>
      </x:c>
      <x:c r="K50" s="50">
        <x:v>0</x:v>
      </x:c>
      <x:c r="L50" s="48" t="str">
        <x:f>IFERROR(IF(VLOOKUP($A50,Parts!$A$2:$M$200,8,FALSE())=0,"",VLOOKUP($A50,Parts!$A$2:$M$200,8,FALSE())),"")</x:f>
        <x:v>SolarRadiation</x:v>
      </x:c>
      <x:c r="M50" s="48" t="str">
        <x:f>IFERROR(IF(VLOOKUP($A50,Parts!$A$2:$M$200,12,FALSE())=0,"",VLOOKUP($A50,Parts!$A$2:$M$200,12,FALSE())),"")</x:f>
      </x:c>
      <x:c r="N50" s="59"/>
      <x:c r="O50" s="60" t="s">
        <x:v>825</x:v>
      </x:c>
      <x:c r="S50" t="str">
        <x:f>IF(O50="drucken",COUNTIF($O$5:O50,"drucken"),"")</x:f>
      </x:c>
    </x:row>
    <x:row r="51" ht="26.25" customHeight="1">
      <x:c r="A51" t="s">
        <x:v>352</x:v>
      </x:c>
      <x:c r="B51" t="str">
        <x:f>IFERROR(IF(VLOOKUP($A51,Parts!$A$2:$M$200,2,FALSE())=0,"",VLOOKUP($A51,Parts!$A$2:$M$200,2,FALSE())),"")</x:f>
        <x:v>Sensor-IC</x:v>
      </x:c>
      <x:c r="C51" s="48" t="str">
        <x:f>IFERROR(IF(VLOOKUP($A51,Parts!$A$2:$M$200,3,FALSE())=0,"",VLOOKUP($A51,Parts!$A$2:$M$200,3,FALSE())),"")</x:f>
        <x:v>Temperatursensor TMP100</x:v>
      </x:c>
      <x:c r="D51" s="48" t="str">
        <x:f>IFERROR(IF(VLOOKUP($A51,Parts!$A$2:$M$200,4,FALSE())=0,"",VLOOKUP($A51,Parts!$A$2:$M$200,4,FALSE())),"")</x:f>
        <x:v>TMP100</x:v>
      </x:c>
      <x:c r="E51" s="48" t="str">
        <x:f>IFERROR(IF(VLOOKUP($A51,Parts!$A$2:$M$200,5,FALSE())=0,"",VLOOKUP($A51,Parts!$A$2:$M$200,5,FALSE())),"")</x:f>
        <x:v>Package_TO_SOT_SMD:SOT-23-6</x:v>
      </x:c>
      <x:c r="F51" t="str">
        <x:f>IFERROR(IF(VLOOKUP($A51,Parts!$A$2:$M$200,6,FALSE())=0,"",VLOOKUP($A51,Parts!$A$2:$M$200,6,FALSE())),"")</x:f>
        <x:v>Texas Instruments</x:v>
      </x:c>
      <x:c r="G51" t="str">
        <x:f>IFERROR(IF(VLOOKUP($A51,Parts!$A$2:$M$200,7,FALSE())=0,"",VLOOKUP($A51,Parts!$A$2:$M$200,7,FALSE())),"")</x:f>
        <x:v>TMP100</x:v>
      </x:c>
      <x:c r="H51" s="58" t="s">
        <x:v>833</x:v>
      </x:c>
      <x:c r="I51" t="str">
        <x:f>IF(OR($A51="",$H51=""),"",IFERROR(IF(INDEX(Part_Suppliers!$C$2:$C$300,MATCH($A51&amp;"|"&amp;$H51,Part_Suppliers!$K$2:$K$300,0))=0,"",INDEX(Part_Suppliers!$C$2:$C$300,MATCH($A51&amp;"|"&amp;$H51,Part_Suppliers!$K$2:$K$300,0))),""))</x:f>
      </x:c>
      <x:c r="J51" s="50">
        <x:v>0</x:v>
      </x:c>
      <x:c r="K51" s="50">
        <x:v>0</x:v>
      </x:c>
      <x:c r="L51" s="48" t="str">
        <x:f>IFERROR(IF(VLOOKUP($A51,Parts!$A$2:$M$200,8,FALSE())=0,"",VLOOKUP($A51,Parts!$A$2:$M$200,8,FALSE())),"")</x:f>
        <x:v>SolarRadiation</x:v>
      </x:c>
      <x:c r="M51" s="48" t="str">
        <x:f>IFERROR(IF(VLOOKUP($A51,Parts!$A$2:$M$200,12,FALSE())=0,"",VLOOKUP($A51,Parts!$A$2:$M$200,12,FALSE())),"")</x:f>
        <x:v>Vollständige bestellbare MPN einschließlich Genauigkeits-/Gehäusevariante ergänzen.</x:v>
      </x:c>
      <x:c r="N51" s="59"/>
      <x:c r="O51" s="60" t="s">
        <x:v>825</x:v>
      </x:c>
      <x:c r="S51" t="str">
        <x:f>IF(O51="drucken",COUNTIF($O$5:O51,"drucken"),"")</x:f>
      </x:c>
    </x:row>
    <x:row r="52" ht="26.25" customHeight="1">
      <x:c r="A52" t="s">
        <x:v>358</x:v>
      </x:c>
      <x:c r="B52" t="str">
        <x:f>IFERROR(IF(VLOOKUP($A52,Parts!$A$2:$M$200,2,FALSE())=0,"",VLOOKUP($A52,Parts!$A$2:$M$200,2,FALSE())),"")</x:f>
        <x:v>PCB</x:v>
      </x:c>
      <x:c r="C52" s="48" t="str">
        <x:f>IFERROR(IF(VLOOKUP($A52,Parts!$A$2:$M$200,3,FALSE())=0,"",VLOOKUP($A52,Parts!$A$2:$M$200,3,FALSE())),"")</x:f>
        <x:v>EnvNode Mainboard PCB</x:v>
      </x:c>
      <x:c r="D52" s="48" t="str">
        <x:f>IFERROR(IF(VLOOKUP($A52,Parts!$A$2:$M$200,4,FALSE())=0,"",VLOOKUP($A52,Parts!$A$2:$M$200,4,FALSE())),"")</x:f>
        <x:v>Revision 0.2</x:v>
      </x:c>
      <x:c r="E52" s="48" t="str">
        <x:f>IFERROR(IF(VLOOKUP($A52,Parts!$A$2:$M$200,5,FALSE())=0,"",VLOOKUP($A52,Parts!$A$2:$M$200,5,FALSE())),"")</x:f>
        <x:v>PCB: EnvNode.kicad_pcb</x:v>
      </x:c>
      <x:c r="F52" t="str">
        <x:f>IFERROR(IF(VLOOKUP($A52,Parts!$A$2:$M$200,6,FALSE())=0,"",VLOOKUP($A52,Parts!$A$2:$M$200,6,FALSE())),"")</x:f>
        <x:v>JLCPCB</x:v>
      </x:c>
      <x:c r="G52" t="str">
        <x:f>IFERROR(IF(VLOOKUP($A52,Parts!$A$2:$M$200,7,FALSE())=0,"",VLOOKUP($A52,Parts!$A$2:$M$200,7,FALSE())),"")</x:f>
      </x:c>
      <x:c r="H52" s="58" t="s">
        <x:v>103</x:v>
      </x:c>
      <x:c r="I52" t="str">
        <x:f>IF(OR($A52="",$H52=""),"",IFERROR(IF(INDEX(Part_Suppliers!$C$2:$C$300,MATCH($A52&amp;"|"&amp;$H52,Part_Suppliers!$K$2:$K$300,0))=0,"",INDEX(Part_Suppliers!$C$2:$C$300,MATCH($A52&amp;"|"&amp;$H52,Part_Suppliers!$K$2:$K$300,0))),""))</x:f>
      </x:c>
      <x:c r="J52" s="50">
        <x:v>0</x:v>
      </x:c>
      <x:c r="K52" s="50">
        <x:v>0</x:v>
      </x:c>
      <x:c r="L52" s="48" t="str">
        <x:f>IFERROR(IF(VLOOKUP($A52,Parts!$A$2:$M$200,8,FALSE())=0,"",VLOOKUP($A52,Parts!$A$2:$M$200,8,FALSE())),"")</x:f>
        <x:v>EnvNode</x:v>
      </x:c>
      <x:c r="M52" s="48" t="str">
        <x:f>IFERROR(IF(VLOOKUP($A52,Parts!$A$2:$M$200,12,FALSE())=0,"",VLOOKUP($A52,Parts!$A$2:$M$200,12,FALSE())),"")</x:f>
        <x:v>Aktueller KiCad-Stand; Fertiger und konkrete Fertigungsvariante festlegen.</x:v>
      </x:c>
      <x:c r="N52" s="59"/>
      <x:c r="O52" s="60" t="s">
        <x:v>825</x:v>
      </x:c>
      <x:c r="S52" t="str">
        <x:f>IF(O52="drucken",COUNTIF($O$5:O52,"drucken"),"")</x:f>
      </x:c>
    </x:row>
    <x:row r="53" ht="26.25" customHeight="1">
      <x:c r="A53" t="s">
        <x:v>364</x:v>
      </x:c>
      <x:c r="B53" t="str">
        <x:f>IFERROR(IF(VLOOKUP($A53,Parts!$A$2:$M$200,2,FALSE())=0,"",VLOOKUP($A53,Parts!$A$2:$M$200,2,FALSE())),"")</x:f>
        <x:v>PCB</x:v>
      </x:c>
      <x:c r="C53" s="48" t="str">
        <x:f>IFERROR(IF(VLOOKUP($A53,Parts!$A$2:$M$200,3,FALSE())=0,"",VLOOKUP($A53,Parts!$A$2:$M$200,3,FALSE())),"")</x:f>
        <x:v>EnvNode Mini PCB</x:v>
      </x:c>
      <x:c r="D53" s="48" t="str">
        <x:f>IFERROR(IF(VLOOKUP($A53,Parts!$A$2:$M$200,4,FALSE())=0,"",VLOOKUP($A53,Parts!$A$2:$M$200,4,FALSE())),"")</x:f>
        <x:v>Revision 0.1</x:v>
      </x:c>
      <x:c r="E53" s="48" t="str">
        <x:f>IFERROR(IF(VLOOKUP($A53,Parts!$A$2:$M$200,5,FALSE())=0,"",VLOOKUP($A53,Parts!$A$2:$M$200,5,FALSE())),"")</x:f>
        <x:v>PCB: EnvNodeMini.kicad_pcb</x:v>
      </x:c>
      <x:c r="F53" t="str">
        <x:f>IFERROR(IF(VLOOKUP($A53,Parts!$A$2:$M$200,6,FALSE())=0,"",VLOOKUP($A53,Parts!$A$2:$M$200,6,FALSE())),"")</x:f>
      </x:c>
      <x:c r="G53" t="str">
        <x:f>IFERROR(IF(VLOOKUP($A53,Parts!$A$2:$M$200,7,FALSE())=0,"",VLOOKUP($A53,Parts!$A$2:$M$200,7,FALSE())),"")</x:f>
      </x:c>
      <x:c r="H53" s="58" t="s">
        <x:v>833</x:v>
      </x:c>
      <x:c r="I53" t="str">
        <x:f>IF(OR($A53="",$H53=""),"",IFERROR(IF(INDEX(Part_Suppliers!$C$2:$C$300,MATCH($A53&amp;"|"&amp;$H53,Part_Suppliers!$K$2:$K$300,0))=0,"",INDEX(Part_Suppliers!$C$2:$C$300,MATCH($A53&amp;"|"&amp;$H53,Part_Suppliers!$K$2:$K$300,0))),""))</x:f>
      </x:c>
      <x:c r="J53" s="50">
        <x:v>0</x:v>
      </x:c>
      <x:c r="K53" s="50">
        <x:v>0</x:v>
      </x:c>
      <x:c r="L53" s="48" t="str">
        <x:f>IFERROR(IF(VLOOKUP($A53,Parts!$A$2:$M$200,8,FALSE())=0,"",VLOOKUP($A53,Parts!$A$2:$M$200,8,FALSE())),"")</x:f>
        <x:v>EnvNodeMini Rev 0.1</x:v>
      </x:c>
      <x:c r="M53" s="48" t="str">
        <x:f>IFERROR(IF(VLOOKUP($A53,Parts!$A$2:$M$200,12,FALSE())=0,"",VLOOKUP($A53,Parts!$A$2:$M$200,12,FALSE())),"")</x:f>
        <x:v>Legacy-Leiterplatte Revision 0.1; für Revision 0.2 existiert ein eigener Artikel.</x:v>
      </x:c>
      <x:c r="N53" s="59"/>
      <x:c r="O53" s="60" t="s">
        <x:v>825</x:v>
      </x:c>
      <x:c r="S53" t="str">
        <x:f>IF(O53="drucken",COUNTIF($O$5:O53,"drucken"),"")</x:f>
      </x:c>
    </x:row>
    <x:row r="54" ht="15" customHeight="1">
      <x:c r="A54" t="s">
        <x:v>369</x:v>
      </x:c>
      <x:c r="B54" t="str">
        <x:f>IFERROR(IF(VLOOKUP($A54,Parts!$A$2:$M$200,2,FALSE())=0,"",VLOOKUP($A54,Parts!$A$2:$M$200,2,FALSE())),"")</x:f>
        <x:v>PCB</x:v>
      </x:c>
      <x:c r="C54" s="48" t="str">
        <x:f>IFERROR(IF(VLOOKUP($A54,Parts!$A$2:$M$200,3,FALSE())=0,"",VLOOKUP($A54,Parts!$A$2:$M$200,3,FALSE())),"")</x:f>
        <x:v>AnalogInput HalfSize PCB</x:v>
      </x:c>
      <x:c r="D54" s="48" t="str">
        <x:f>IFERROR(IF(VLOOKUP($A54,Parts!$A$2:$M$200,4,FALSE())=0,"",VLOOKUP($A54,Parts!$A$2:$M$200,4,FALSE())),"")</x:f>
        <x:v>Revision 0.1</x:v>
      </x:c>
      <x:c r="E54" s="48" t="str">
        <x:f>IFERROR(IF(VLOOKUP($A54,Parts!$A$2:$M$200,5,FALSE())=0,"",VLOOKUP($A54,Parts!$A$2:$M$200,5,FALSE())),"")</x:f>
        <x:v>PCB: AnalogInput.kicad_pcb</x:v>
      </x:c>
      <x:c r="F54" t="str">
        <x:f>IFERROR(IF(VLOOKUP($A54,Parts!$A$2:$M$200,6,FALSE())=0,"",VLOOKUP($A54,Parts!$A$2:$M$200,6,FALSE())),"")</x:f>
      </x:c>
      <x:c r="G54" t="str">
        <x:f>IFERROR(IF(VLOOKUP($A54,Parts!$A$2:$M$200,7,FALSE())=0,"",VLOOKUP($A54,Parts!$A$2:$M$200,7,FALSE())),"")</x:f>
      </x:c>
      <x:c r="H54" s="58" t="s">
        <x:v>833</x:v>
      </x:c>
      <x:c r="I54" t="str">
        <x:f>IF(OR($A54="",$H54=""),"",IFERROR(IF(INDEX(Part_Suppliers!$C$2:$C$300,MATCH($A54&amp;"|"&amp;$H54,Part_Suppliers!$K$2:$K$300,0))=0,"",INDEX(Part_Suppliers!$C$2:$C$300,MATCH($A54&amp;"|"&amp;$H54,Part_Suppliers!$K$2:$K$300,0))),""))</x:f>
      </x:c>
      <x:c r="J54" s="50">
        <x:v>0</x:v>
      </x:c>
      <x:c r="K54" s="50">
        <x:v>0</x:v>
      </x:c>
      <x:c r="L54" s="48" t="str">
        <x:f>IFERROR(IF(VLOOKUP($A54,Parts!$A$2:$M$200,8,FALSE())=0,"",VLOOKUP($A54,Parts!$A$2:$M$200,8,FALSE())),"")</x:f>
        <x:v>AnalogInput</x:v>
      </x:c>
      <x:c r="M54" s="48" t="str">
        <x:f>IFERROR(IF(VLOOKUP($A54,Parts!$A$2:$M$200,12,FALSE())=0,"",VLOOKUP($A54,Parts!$A$2:$M$200,12,FALSE())),"")</x:f>
        <x:v>Fertiger und konkrete Fertigungsvariante festlegen.</x:v>
      </x:c>
      <x:c r="N54" s="59"/>
      <x:c r="O54" s="60" t="s">
        <x:v>825</x:v>
      </x:c>
      <x:c r="S54" t="str">
        <x:f>IF(O54="drucken",COUNTIF($O$5:O54,"drucken"),"")</x:f>
      </x:c>
    </x:row>
    <x:row r="55" ht="26.25" customHeight="1">
      <x:c r="A55" t="s">
        <x:v>375</x:v>
      </x:c>
      <x:c r="B55" t="str">
        <x:f>IFERROR(IF(VLOOKUP($A55,Parts!$A$2:$M$200,2,FALSE())=0,"",VLOOKUP($A55,Parts!$A$2:$M$200,2,FALSE())),"")</x:f>
        <x:v>PCB</x:v>
      </x:c>
      <x:c r="C55" s="48" t="str">
        <x:f>IFERROR(IF(VLOOKUP($A55,Parts!$A$2:$M$200,3,FALSE())=0,"",VLOOKUP($A55,Parts!$A$2:$M$200,3,FALSE())),"")</x:f>
        <x:v>DuoRelay FullSize PCB Rev 0.1</x:v>
      </x:c>
      <x:c r="D55" s="48" t="str">
        <x:f>IFERROR(IF(VLOOKUP($A55,Parts!$A$2:$M$200,4,FALSE())=0,"",VLOOKUP($A55,Parts!$A$2:$M$200,4,FALSE())),"")</x:f>
        <x:v>Revision 0.1</x:v>
      </x:c>
      <x:c r="E55" s="48" t="str">
        <x:f>IFERROR(IF(VLOOKUP($A55,Parts!$A$2:$M$200,5,FALSE())=0,"",VLOOKUP($A55,Parts!$A$2:$M$200,5,FALSE())),"")</x:f>
        <x:v>PCB: DuoRelay.kicad_pcb</x:v>
      </x:c>
      <x:c r="F55" t="str">
        <x:f>IFERROR(IF(VLOOKUP($A55,Parts!$A$2:$M$200,6,FALSE())=0,"",VLOOKUP($A55,Parts!$A$2:$M$200,6,FALSE())),"")</x:f>
      </x:c>
      <x:c r="G55" t="str">
        <x:f>IFERROR(IF(VLOOKUP($A55,Parts!$A$2:$M$200,7,FALSE())=0,"",VLOOKUP($A55,Parts!$A$2:$M$200,7,FALSE())),"")</x:f>
      </x:c>
      <x:c r="H55" s="58" t="s">
        <x:v>833</x:v>
      </x:c>
      <x:c r="I55" t="str">
        <x:f>IF(OR($A55="",$H55=""),"",IFERROR(IF(INDEX(Part_Suppliers!$C$2:$C$300,MATCH($A55&amp;"|"&amp;$H55,Part_Suppliers!$K$2:$K$300,0))=0,"",INDEX(Part_Suppliers!$C$2:$C$300,MATCH($A55&amp;"|"&amp;$H55,Part_Suppliers!$K$2:$K$300,0))),""))</x:f>
      </x:c>
      <x:c r="J55" s="50">
        <x:v>0</x:v>
      </x:c>
      <x:c r="K55" s="50">
        <x:v>0</x:v>
      </x:c>
      <x:c r="L55" s="48" t="str">
        <x:f>IFERROR(IF(VLOOKUP($A55,Parts!$A$2:$M$200,8,FALSE())=0,"",VLOOKUP($A55,Parts!$A$2:$M$200,8,FALSE())),"")</x:f>
        <x:v>DuoRelay Rev 0.1</x:v>
      </x:c>
      <x:c r="M55" s="48" t="str">
        <x:f>IFERROR(IF(VLOOKUP($A55,Parts!$A$2:$M$200,12,FALSE())=0,"",VLOOKUP($A55,Parts!$A$2:$M$200,12,FALSE())),"")</x:f>
        <x:v>Legacy-Leiterplatte Revision 0.1; der aktuelle KiCad-Stand ist Revision 0.2 und besitzt einen eigenen Artikel.</x:v>
      </x:c>
      <x:c r="N55" s="59"/>
      <x:c r="O55" s="60" t="s">
        <x:v>825</x:v>
      </x:c>
      <x:c r="S55" t="str">
        <x:f>IF(O55="drucken",COUNTIF($O$5:O55,"drucken"),"")</x:f>
      </x:c>
    </x:row>
    <x:row r="56" ht="15" customHeight="1">
      <x:c r="A56" t="s">
        <x:v>381</x:v>
      </x:c>
      <x:c r="B56" t="str">
        <x:f>IFERROR(IF(VLOOKUP($A56,Parts!$A$2:$M$200,2,FALSE())=0,"",VLOOKUP($A56,Parts!$A$2:$M$200,2,FALSE())),"")</x:f>
        <x:v>PCB</x:v>
      </x:c>
      <x:c r="C56" s="48" t="str">
        <x:f>IFERROR(IF(VLOOKUP($A56,Parts!$A$2:$M$200,3,FALSE())=0,"",VLOOKUP($A56,Parts!$A$2:$M$200,3,FALSE())),"")</x:f>
        <x:v>SolarRadiation PCB</x:v>
      </x:c>
      <x:c r="D56" s="48" t="str">
        <x:f>IFERROR(IF(VLOOKUP($A56,Parts!$A$2:$M$200,4,FALSE())=0,"",VLOOKUP($A56,Parts!$A$2:$M$200,4,FALSE())),"")</x:f>
        <x:v>Revision 0.1</x:v>
      </x:c>
      <x:c r="E56" s="48" t="str">
        <x:f>IFERROR(IF(VLOOKUP($A56,Parts!$A$2:$M$200,5,FALSE())=0,"",VLOOKUP($A56,Parts!$A$2:$M$200,5,FALSE())),"")</x:f>
        <x:v>PCB: SolarRadiation.kicad_pcb</x:v>
      </x:c>
      <x:c r="F56" t="str">
        <x:f>IFERROR(IF(VLOOKUP($A56,Parts!$A$2:$M$200,6,FALSE())=0,"",VLOOKUP($A56,Parts!$A$2:$M$200,6,FALSE())),"")</x:f>
      </x:c>
      <x:c r="G56" t="str">
        <x:f>IFERROR(IF(VLOOKUP($A56,Parts!$A$2:$M$200,7,FALSE())=0,"",VLOOKUP($A56,Parts!$A$2:$M$200,7,FALSE())),"")</x:f>
      </x:c>
      <x:c r="H56" s="58" t="s">
        <x:v>833</x:v>
      </x:c>
      <x:c r="I56" t="str">
        <x:f>IF(OR($A56="",$H56=""),"",IFERROR(IF(INDEX(Part_Suppliers!$C$2:$C$300,MATCH($A56&amp;"|"&amp;$H56,Part_Suppliers!$K$2:$K$300,0))=0,"",INDEX(Part_Suppliers!$C$2:$C$300,MATCH($A56&amp;"|"&amp;$H56,Part_Suppliers!$K$2:$K$300,0))),""))</x:f>
      </x:c>
      <x:c r="J56" s="50">
        <x:v>0</x:v>
      </x:c>
      <x:c r="K56" s="50">
        <x:v>0</x:v>
      </x:c>
      <x:c r="L56" s="48" t="str">
        <x:f>IFERROR(IF(VLOOKUP($A56,Parts!$A$2:$M$200,8,FALSE())=0,"",VLOOKUP($A56,Parts!$A$2:$M$200,8,FALSE())),"")</x:f>
        <x:v>SolarRadiation</x:v>
      </x:c>
      <x:c r="M56" s="48" t="str">
        <x:f>IFERROR(IF(VLOOKUP($A56,Parts!$A$2:$M$200,12,FALSE())=0,"",VLOOKUP($A56,Parts!$A$2:$M$200,12,FALSE())),"")</x:f>
        <x:v>Fertiger und konkrete Fertigungsvariante festlegen.</x:v>
      </x:c>
      <x:c r="N56" s="59"/>
      <x:c r="O56" s="60" t="s">
        <x:v>825</x:v>
      </x:c>
      <x:c r="S56" t="str">
        <x:f>IF(O56="drucken",COUNTIF($O$5:O56,"drucken"),"")</x:f>
      </x:c>
    </x:row>
    <x:row r="57" ht="15" customHeight="1">
      <x:c r="A57" t="s">
        <x:v>385</x:v>
      </x:c>
      <x:c r="B57" t="str">
        <x:f>IFERROR(IF(VLOOKUP($A57,Parts!$A$2:$M$200,2,FALSE())=0,"",VLOOKUP($A57,Parts!$A$2:$M$200,2,FALSE())),"")</x:f>
        <x:v>PCB</x:v>
      </x:c>
      <x:c r="C57" s="48" t="str">
        <x:f>IFERROR(IF(VLOOKUP($A57,Parts!$A$2:$M$200,3,FALSE())=0,"",VLOOKUP($A57,Parts!$A$2:$M$200,3,FALSE())),"")</x:f>
        <x:v>RainDetector PCB</x:v>
      </x:c>
      <x:c r="D57" s="48" t="str">
        <x:f>IFERROR(IF(VLOOKUP($A57,Parts!$A$2:$M$200,4,FALSE())=0,"",VLOOKUP($A57,Parts!$A$2:$M$200,4,FALSE())),"")</x:f>
        <x:v>Revision 1.0</x:v>
      </x:c>
      <x:c r="E57" s="48" t="str">
        <x:f>IFERROR(IF(VLOOKUP($A57,Parts!$A$2:$M$200,5,FALSE())=0,"",VLOOKUP($A57,Parts!$A$2:$M$200,5,FALSE())),"")</x:f>
        <x:v>PCB: Raindetector.kicad_pcb</x:v>
      </x:c>
      <x:c r="F57" t="str">
        <x:f>IFERROR(IF(VLOOKUP($A57,Parts!$A$2:$M$200,6,FALSE())=0,"",VLOOKUP($A57,Parts!$A$2:$M$200,6,FALSE())),"")</x:f>
      </x:c>
      <x:c r="G57" t="str">
        <x:f>IFERROR(IF(VLOOKUP($A57,Parts!$A$2:$M$200,7,FALSE())=0,"",VLOOKUP($A57,Parts!$A$2:$M$200,7,FALSE())),"")</x:f>
      </x:c>
      <x:c r="H57" s="58" t="s">
        <x:v>103</x:v>
      </x:c>
      <x:c r="I57" t="str">
        <x:f>IF(OR($A57="",$H57=""),"",IFERROR(IF(INDEX(Part_Suppliers!$C$2:$C$300,MATCH($A57&amp;"|"&amp;$H57,Part_Suppliers!$K$2:$K$300,0))=0,"",INDEX(Part_Suppliers!$C$2:$C$300,MATCH($A57&amp;"|"&amp;$H57,Part_Suppliers!$K$2:$K$300,0))),""))</x:f>
      </x:c>
      <x:c r="J57" s="50">
        <x:v>5</x:v>
      </x:c>
      <x:c r="K57" s="50">
        <x:v>0</x:v>
      </x:c>
      <x:c r="L57" s="48" t="str">
        <x:f>IFERROR(IF(VLOOKUP($A57,Parts!$A$2:$M$200,8,FALSE())=0,"",VLOOKUP($A57,Parts!$A$2:$M$200,8,FALSE())),"")</x:f>
        <x:v>RainDetector</x:v>
      </x:c>
      <x:c r="M57" s="48" t="str">
        <x:f>IFERROR(IF(VLOOKUP($A57,Parts!$A$2:$M$200,12,FALSE())=0,"",VLOOKUP($A57,Parts!$A$2:$M$200,12,FALSE())),"")</x:f>
        <x:v>Fertiger und konkrete Fertigungsvariante festlegen.</x:v>
      </x:c>
      <x:c r="N57" s="59"/>
      <x:c r="O57" s="60" t="s">
        <x:v>825</x:v>
      </x:c>
      <x:c r="S57" t="str">
        <x:f>IF(O57="drucken",COUNTIF($O$5:O57,"drucken"),"")</x:f>
      </x:c>
    </x:row>
    <x:row r="58" ht="52.75" customHeight="1">
      <x:c r="A58" t="s">
        <x:v>390</x:v>
      </x:c>
      <x:c r="B58" t="str">
        <x:f>IFERROR(IF(VLOOKUP($A58,Parts!$A$2:$M$200,2,FALSE())=0,"",VLOOKUP($A58,Parts!$A$2:$M$200,2,FALSE())),"")</x:f>
        <x:v>Steckverbinder</x:v>
      </x:c>
      <x:c r="C58" s="48" t="str">
        <x:f>IFERROR(IF(VLOOKUP($A58,Parts!$A$2:$M$200,3,FALSE())=0,"",VLOOKUP($A58,Parts!$A$2:$M$200,3,FALSE())),"")</x:f>
        <x:v>Buchsenleiste 2x7, 2,54 mm, vertikal</x:v>
      </x:c>
      <x:c r="D58" s="48" t="str">
        <x:f>IFERROR(IF(VLOOKUP($A58,Parts!$A$2:$M$200,4,FALSE())=0,"",VLOOKUP($A58,Parts!$A$2:$M$200,4,FALSE())),"")</x:f>
        <x:v>2x7, 2,54 mm, THT, vertikal, vergoldet, Bauhöhe 8,4 mm</x:v>
      </x:c>
      <x:c r="E58" s="48" t="str">
        <x:f>IFERROR(IF(VLOOKUP($A58,Parts!$A$2:$M$200,5,FALSE())=0,"",VLOOKUP($A58,Parts!$A$2:$M$200,5,FALSE())),"")</x:f>
        <x:v>Connector_PinSocket_2.54mm:PinSocket_2x07_P2.54mm_Vertical</x:v>
      </x:c>
      <x:c r="F58" t="str">
        <x:f>IFERROR(IF(VLOOKUP($A58,Parts!$A$2:$M$200,6,FALSE())=0,"",VLOOKUP($A58,Parts!$A$2:$M$200,6,FALSE())),"")</x:f>
        <x:v>Würth Elektronik</x:v>
      </x:c>
      <x:c r="G58" t="n">
        <x:f>IFERROR(IF(VLOOKUP($A58,Parts!$A$2:$M$200,7,FALSE())=0,"",VLOOKUP($A58,Parts!$A$2:$M$200,7,FALSE())),"")</x:f>
        <x:v>61301421821</x:v>
      </x:c>
      <x:c r="H58" s="58" t="s">
        <x:v>836</x:v>
      </x:c>
      <x:c r="I58" t="str">
        <x:f>IF(OR($A58="",$H58=""),"",IFERROR(IF(INDEX(Part_Suppliers!$C$2:$C$300,MATCH($A58&amp;"|"&amp;$H58,Part_Suppliers!$K$2:$K$300,0))=0,"",INDEX(Part_Suppliers!$C$2:$C$300,MATCH($A58&amp;"|"&amp;$H58,Part_Suppliers!$K$2:$K$300,0))),""))</x:f>
        <x:v>24AA025E64T-I/OTCT-ND</x:v>
      </x:c>
      <x:c r="J58" s="50">
        <x:v>0</x:v>
      </x:c>
      <x:c r="K58" s="50">
        <x:v>0</x:v>
      </x:c>
      <x:c r="L58" s="48" t="str">
        <x:f>IFERROR(IF(VLOOKUP($A58,Parts!$A$2:$M$200,8,FALSE())=0,"",VLOOKUP($A58,Parts!$A$2:$M$200,8,FALSE())),"")</x:f>
        <x:v>EnvNodeMini Rev 0.2</x:v>
      </x:c>
      <x:c r="M58" s="48" t="str">
        <x:f>IFERROR(IF(VLOOKUP($A58,Parts!$A$2:$M$200,12,FALSE())=0,"",VLOOKUP($A58,Parts!$A$2:$M$200,12,FALSE())),"")</x:f>
        <x:v>Würth WR-PHD Dual Socket Header, 14 Kontakte, 2,54 mm, THT, vergoldet, 3 A/250 V AC. Der generische KiCad-Footprint bildet Raster und THT-Anordnung ab; Gehäusekontur/Courtyard sind nicht herstellerspezifisch.</x:v>
      </x:c>
      <x:c r="N58" s="59"/>
      <x:c r="O58" s="60" t="s">
        <x:v>825</x:v>
      </x:c>
      <x:c r="S58" t="str">
        <x:f>IF(O58="drucken",COUNTIF($O$5:O58,"drucken"),"")</x:f>
      </x:c>
    </x:row>
    <x:row r="59" ht="66" customHeight="1">
      <x:c r="A59" t="s">
        <x:v>401</x:v>
      </x:c>
      <x:c r="B59" t="str">
        <x:f>IFERROR(IF(VLOOKUP($A59,Parts!$A$2:$M$200,2,FALSE())=0,"",VLOOKUP($A59,Parts!$A$2:$M$200,2,FALSE())),"")</x:f>
        <x:v>Diode</x:v>
      </x:c>
      <x:c r="C59" s="48" t="str">
        <x:f>IFERROR(IF(VLOOKUP($A59,Parts!$A$2:$M$200,3,FALSE())=0,"",VLOOKUP($A59,Parts!$A$2:$M$200,3,FALSE())),"")</x:f>
        <x:v>Schottky-Diode SS14, SMA</x:v>
      </x:c>
      <x:c r="D59" s="48" t="str">
        <x:f>IFERROR(IF(VLOOKUP($A59,Parts!$A$2:$M$200,4,FALSE())=0,"",VLOOKUP($A59,Parts!$A$2:$M$200,4,FALSE())),"")</x:f>
        <x:v>SS14, 1 A, 40 V, UF max. 0,5 V, IFSM 40 A</x:v>
      </x:c>
      <x:c r="E59" s="48" t="str">
        <x:f>IFERROR(IF(VLOOKUP($A59,Parts!$A$2:$M$200,5,FALSE())=0,"",VLOOKUP($A59,Parts!$A$2:$M$200,5,FALSE())),"")</x:f>
        <x:v>Diode_SMD:D_SMA</x:v>
      </x:c>
      <x:c r="F59" t="str">
        <x:f>IFERROR(IF(VLOOKUP($A59,Parts!$A$2:$M$200,6,FALSE())=0,"",VLOOKUP($A59,Parts!$A$2:$M$200,6,FALSE())),"")</x:f>
        <x:v>Vishay</x:v>
      </x:c>
      <x:c r="G59" t="str">
        <x:f>IFERROR(IF(VLOOKUP($A59,Parts!$A$2:$M$200,7,FALSE())=0,"",VLOOKUP($A59,Parts!$A$2:$M$200,7,FALSE())),"")</x:f>
        <x:v>SS14-E3/61T</x:v>
      </x:c>
      <x:c r="H59" s="58" t="s">
        <x:v>829</x:v>
      </x:c>
      <x:c r="I59" t="str">
        <x:f>IF(OR($A59="",$H59=""),"",IFERROR(IF(INDEX(Part_Suppliers!$C$2:$C$300,MATCH($A59&amp;"|"&amp;$H59,Part_Suppliers!$K$2:$K$300,0))=0,"",INDEX(Part_Suppliers!$C$2:$C$300,MATCH($A59&amp;"|"&amp;$H59,Part_Suppliers!$K$2:$K$300,0))),""))</x:f>
        <x:v>BKL 10120946</x:v>
      </x:c>
      <x:c r="J59" s="50">
        <x:v>0</x:v>
      </x:c>
      <x:c r="K59" s="50">
        <x:v>0</x:v>
      </x:c>
      <x:c r="L59" s="48" t="str">
        <x:f>IFERROR(IF(VLOOKUP($A59,Parts!$A$2:$M$200,8,FALSE())=0,"",VLOOKUP($A59,Parts!$A$2:$M$200,8,FALSE())),"")</x:f>
        <x:v>EnvNodeMini Rev 0.2</x:v>
      </x:c>
      <x:c r="M59" s="48" t="str">
        <x:f>IFERROR(IF(VLOOKUP($A59,Parts!$A$2:$M$200,12,FALSE())=0,"",VLOOKUP($A59,Parts!$A$2:$M$200,12,FALSE())),"")</x:f>
        <x:v>Vishay Schottky-Gleichrichter im DO-214AC-/SMA-Gehäuse, 40 V Sperrspannung, 1 A Dauerstrom, 40 A Stoßstrom und Temperaturbereich −65 bis +150 °C. D1 entkoppelt +3V3_EXT, D2 entkoppelt +3V3_DEVKIT; beide speisen mit der Kathode +3V3_SYS. Zwei Stück je EnvNode Mini Rev 0.2.</x:v>
      </x:c>
      <x:c r="N59" s="59"/>
      <x:c r="O59" s="60" t="s">
        <x:v>825</x:v>
      </x:c>
      <x:c r="S59" t="str">
        <x:f>IF(O59="drucken",COUNTIF($O$5:O59,"drucken"),"")</x:f>
      </x:c>
    </x:row>
    <x:row r="60" ht="66" customHeight="1">
      <x:c r="A60" t="s">
        <x:v>408</x:v>
      </x:c>
      <x:c r="B60" t="str">
        <x:f>IFERROR(IF(VLOOKUP($A60,Parts!$A$2:$M$200,2,FALSE())=0,"",VLOOKUP($A60,Parts!$A$2:$M$200,2,FALSE())),"")</x:f>
        <x:v>Kondensator</x:v>
      </x:c>
      <x:c r="C60" s="48" t="str">
        <x:f>IFERROR(IF(VLOOKUP($A60,Parts!$A$2:$M$200,3,FALSE())=0,"",VLOOKUP($A60,Parts!$A$2:$M$200,3,FALSE())),"")</x:f>
        <x:v>Elektrolytkondensator 10 µF SMD</x:v>
      </x:c>
      <x:c r="D60" s="48" t="str">
        <x:f>IFERROR(IF(VLOOKUP($A60,Parts!$A$2:$M$200,4,FALSE())=0,"",VLOOKUP($A60,Parts!$A$2:$M$200,4,FALSE())),"")</x:f>
        <x:v>10 µF, ±20 %, 25 V, 85 °C, 2000 h</x:v>
      </x:c>
      <x:c r="E60" s="48" t="str">
        <x:f>IFERROR(IF(VLOOKUP($A60,Parts!$A$2:$M$200,5,FALSE())=0,"",VLOOKUP($A60,Parts!$A$2:$M$200,5,FALSE())),"")</x:f>
        <x:v>Capacitor_SMD:CP_Elec_5x5.4</x:v>
      </x:c>
      <x:c r="F60" t="str">
        <x:f>IFERROR(IF(VLOOKUP($A60,Parts!$A$2:$M$200,6,FALSE())=0,"",VLOOKUP($A60,Parts!$A$2:$M$200,6,FALSE())),"")</x:f>
        <x:v>Panasonic</x:v>
      </x:c>
      <x:c r="G60" t="str">
        <x:f>IFERROR(IF(VLOOKUP($A60,Parts!$A$2:$M$200,7,FALSE())=0,"",VLOOKUP($A60,Parts!$A$2:$M$200,7,FALSE())),"")</x:f>
        <x:v>EEE1EA100SR</x:v>
      </x:c>
      <x:c r="H60" s="58" t="s">
        <x:v>829</x:v>
      </x:c>
      <x:c r="I60" t="str">
        <x:f>IF(OR($A60="",$H60=""),"",IFERROR(IF(INDEX(Part_Suppliers!$C$2:$C$300,MATCH($A60&amp;"|"&amp;$H60,Part_Suppliers!$K$2:$K$300,0))=0,"",INDEX(Part_Suppliers!$C$2:$C$300,MATCH($A60&amp;"|"&amp;$H60,Part_Suppliers!$K$2:$K$300,0))),""))</x:f>
        <x:v>BKL 10120946</x:v>
      </x:c>
      <x:c r="J60" s="50">
        <x:v>0</x:v>
      </x:c>
      <x:c r="K60" s="50">
        <x:v>0</x:v>
      </x:c>
      <x:c r="L60" s="48" t="str">
        <x:f>IFERROR(IF(VLOOKUP($A60,Parts!$A$2:$M$200,8,FALSE())=0,"",VLOOKUP($A60,Parts!$A$2:$M$200,8,FALSE())),"")</x:f>
        <x:v>EnvNodeMini Rev 0.2</x:v>
      </x:c>
      <x:c r="M60" s="48" t="str">
        <x:f>IFERROR(IF(VLOOKUP($A60,Parts!$A$2:$M$200,12,FALSE())=0,"",VLOOKUP($A60,Parts!$A$2:$M$200,12,FALSE())),"")</x:f>
        <x:v>Panasonic SMD-Aluminium-Elektrolytkondensator, 10 µF ±20 %, 25 V, 85 °C, 2000 h. Abmessungen Ø 5,0 × 5,4 mm passen exakt zum zugewiesenen KiCad-Footprint. C6 liegt zwischen +3V3_SYS und GND; 25 V bieten deutliche Spannungsreserve. Polarität beachten.</x:v>
      </x:c>
      <x:c r="N60" s="59"/>
      <x:c r="O60" s="60" t="s">
        <x:v>825</x:v>
      </x:c>
      <x:c r="S60" t="str">
        <x:f>IF(O60="drucken",COUNTIF($O$5:O60,"drucken"),"")</x:f>
      </x:c>
    </x:row>
    <x:row r="61" ht="26.25" customHeight="1">
      <x:c r="A61" t="s">
        <x:v>416</x:v>
      </x:c>
      <x:c r="B61" t="str">
        <x:f>IFERROR(IF(VLOOKUP($A61,Parts!$A$2:$M$200,2,FALSE())=0,"",VLOOKUP($A61,Parts!$A$2:$M$200,2,FALSE())),"")</x:f>
        <x:v>PCB</x:v>
      </x:c>
      <x:c r="C61" s="48" t="str">
        <x:f>IFERROR(IF(VLOOKUP($A61,Parts!$A$2:$M$200,3,FALSE())=0,"",VLOOKUP($A61,Parts!$A$2:$M$200,3,FALSE())),"")</x:f>
        <x:v>EnvNode Mini PCB Rev 0.2</x:v>
      </x:c>
      <x:c r="D61" s="48" t="str">
        <x:f>IFERROR(IF(VLOOKUP($A61,Parts!$A$2:$M$200,4,FALSE())=0,"",VLOOKUP($A61,Parts!$A$2:$M$200,4,FALSE())),"")</x:f>
        <x:v>Revision 0.2</x:v>
      </x:c>
      <x:c r="E61" s="48" t="str">
        <x:f>IFERROR(IF(VLOOKUP($A61,Parts!$A$2:$M$200,5,FALSE())=0,"",VLOOKUP($A61,Parts!$A$2:$M$200,5,FALSE())),"")</x:f>
        <x:v>PCB: MainBoards/EnvNode Mini/EnvNode Mini.kicad_pcb</x:v>
      </x:c>
      <x:c r="F61" t="str">
        <x:f>IFERROR(IF(VLOOKUP($A61,Parts!$A$2:$M$200,6,FALSE())=0,"",VLOOKUP($A61,Parts!$A$2:$M$200,6,FALSE())),"")</x:f>
        <x:v>JLCPCB</x:v>
      </x:c>
      <x:c r="G61" t="str">
        <x:f>IFERROR(IF(VLOOKUP($A61,Parts!$A$2:$M$200,7,FALSE())=0,"",VLOOKUP($A61,Parts!$A$2:$M$200,7,FALSE())),"")</x:f>
      </x:c>
      <x:c r="H61" s="58" t="s">
        <x:v>103</x:v>
      </x:c>
      <x:c r="I61" t="str">
        <x:f>IF(OR($A61="",$H61=""),"",IFERROR(IF(INDEX(Part_Suppliers!$C$2:$C$300,MATCH($A61&amp;"|"&amp;$H61,Part_Suppliers!$K$2:$K$300,0))=0,"",INDEX(Part_Suppliers!$C$2:$C$300,MATCH($A61&amp;"|"&amp;$H61,Part_Suppliers!$K$2:$K$300,0))),""))</x:f>
      </x:c>
      <x:c r="J61" s="50">
        <x:v>0</x:v>
      </x:c>
      <x:c r="K61" s="50">
        <x:v>0</x:v>
      </x:c>
      <x:c r="L61" s="48" t="str">
        <x:f>IFERROR(IF(VLOOKUP($A61,Parts!$A$2:$M$200,8,FALSE())=0,"",VLOOKUP($A61,Parts!$A$2:$M$200,8,FALSE())),"")</x:f>
        <x:v>EnvNodeMini Rev 0.2</x:v>
      </x:c>
      <x:c r="M61" s="48" t="str">
        <x:f>IFERROR(IF(VLOOKUP($A61,Parts!$A$2:$M$200,12,FALSE())=0,"",VLOOKUP($A61,Parts!$A$2:$M$200,12,FALSE())),"")</x:f>
        <x:v>Aktueller KiCad-Stand; Fertiger und konkrete Fertigungsvariante festlegen.</x:v>
      </x:c>
      <x:c r="N61" s="59"/>
      <x:c r="O61" s="60" t="s">
        <x:v>825</x:v>
      </x:c>
      <x:c r="S61" t="str">
        <x:f>IF(O61="drucken",COUNTIF($O$5:O61,"drucken"),"")</x:f>
      </x:c>
    </x:row>
    <x:row r="62" ht="66" customHeight="1">
      <x:c r="A62" t="s">
        <x:v>420</x:v>
      </x:c>
      <x:c r="B62" t="str">
        <x:f>IFERROR(IF(VLOOKUP($A62,Parts!$A$2:$M$200,2,FALSE())=0,"",VLOOKUP($A62,Parts!$A$2:$M$200,2,FALSE())),"")</x:f>
        <x:v>Steckverbinder</x:v>
      </x:c>
      <x:c r="C62" s="48" t="str">
        <x:f>IFERROR(IF(VLOOKUP($A62,Parts!$A$2:$M$200,3,FALSE())=0,"",VLOOKUP($A62,Parts!$A$2:$M$200,3,FALSE())),"")</x:f>
        <x:v>Stiftleiste 2x7, 2,54 mm, SMD</x:v>
      </x:c>
      <x:c r="D62" s="48" t="str">
        <x:f>IFERROR(IF(VLOOKUP($A62,Parts!$A$2:$M$200,4,FALSE())=0,"",VLOOKUP($A62,Parts!$A$2:$M$200,4,FALSE())),"")</x:f>
        <x:v>2x7, 2,54 mm, SMD, vertikal, vergoldet, 6,0 mm Stecklänge</x:v>
      </x:c>
      <x:c r="E62" s="48" t="str">
        <x:f>IFERROR(IF(VLOOKUP($A62,Parts!$A$2:$M$200,5,FALSE())=0,"",VLOOKUP($A62,Parts!$A$2:$M$200,5,FALSE())),"")</x:f>
        <x:v>EnvNode-Footprints:J_Wurth_WR-PHD_61031421121</x:v>
      </x:c>
      <x:c r="F62" t="str">
        <x:f>IFERROR(IF(VLOOKUP($A62,Parts!$A$2:$M$200,6,FALSE())=0,"",VLOOKUP($A62,Parts!$A$2:$M$200,6,FALSE())),"")</x:f>
        <x:v>Würth Elektronik</x:v>
      </x:c>
      <x:c r="G62" t="n">
        <x:f>IFERROR(IF(VLOOKUP($A62,Parts!$A$2:$M$200,7,FALSE())=0,"",VLOOKUP($A62,Parts!$A$2:$M$200,7,FALSE())),"")</x:f>
        <x:v>61031421121</x:v>
      </x:c>
      <x:c r="H62" s="58" t="s">
        <x:v>836</x:v>
      </x:c>
      <x:c r="I62" t="str">
        <x:f>IF(OR($A62="",$H62=""),"",IFERROR(IF(INDEX(Part_Suppliers!$C$2:$C$300,MATCH($A62&amp;"|"&amp;$H62,Part_Suppliers!$K$2:$K$300,0))=0,"",INDEX(Part_Suppliers!$C$2:$C$300,MATCH($A62&amp;"|"&amp;$H62,Part_Suppliers!$K$2:$K$300,0))),""))</x:f>
        <x:v>24AA025E64T-I/OTCT-ND</x:v>
      </x:c>
      <x:c r="J62" s="50">
        <x:v>0</x:v>
      </x:c>
      <x:c r="K62" s="50">
        <x:v>0</x:v>
      </x:c>
      <x:c r="L62" s="48" t="str">
        <x:f>IFERROR(IF(VLOOKUP($A62,Parts!$A$2:$M$200,8,FALSE())=0,"",VLOOKUP($A62,Parts!$A$2:$M$200,8,FALSE())),"")</x:f>
        <x:v>Empty FullSize/HalfSize SMD</x:v>
      </x:c>
      <x:c r="M62" s="48" t="str">
        <x:f>IFERROR(IF(VLOOKUP($A62,Parts!$A$2:$M$200,12,FALSE())=0,"",VLOOKUP($A62,Parts!$A$2:$M$200,12,FALSE())),"")</x:f>
        <x:v>Würth WR-PHD SMD-Stiftleiste, 14 Kontakte, 2,54 mm, vergoldet, 3 A/250 V. Exakter Artikel für den Projekt-Footprint J_Wurth_WR-PHD_61031421121. Einzelpreis Gurtabschnitt, Stand 2026-09-01; Preis und Verfügbarkeit vor Bestellung prüfen.</x:v>
      </x:c>
      <x:c r="N62" s="59"/>
      <x:c r="O62" s="60" t="s">
        <x:v>825</x:v>
      </x:c>
      <x:c r="S62" t="str">
        <x:f>IF(O62="drucken",COUNTIF($O$5:O62,"drucken"),"")</x:f>
      </x:c>
    </x:row>
    <x:row r="63" ht="92.5" customHeight="1">
      <x:c r="A63" t="s">
        <x:v>429</x:v>
      </x:c>
      <x:c r="B63" t="str">
        <x:f>IFERROR(IF(VLOOKUP($A63,Parts!$A$2:$M$200,2,FALSE())=0,"",VLOOKUP($A63,Parts!$A$2:$M$200,2,FALSE())),"")</x:f>
        <x:v>Steckverbinder</x:v>
      </x:c>
      <x:c r="C63" s="48" t="str">
        <x:f>IFERROR(IF(VLOOKUP($A63,Parts!$A$2:$M$200,3,FALSE())=0,"",VLOOKUP($A63,Parts!$A$2:$M$200,3,FALSE())),"")</x:f>
        <x:v>Stiftleiste 2x7, 2,54 mm, vertikal, Bottom-Mount</x:v>
      </x:c>
      <x:c r="D63" s="48" t="str">
        <x:f>IFERROR(IF(VLOOKUP($A63,Parts!$A$2:$M$200,4,FALSE())=0,"",VLOOKUP($A63,Parts!$A$2:$M$200,4,FALSE())),"")</x:f>
        <x:v>2x7, 2,54 mm, THT, vertikal, vergoldet, 6,1 mm Stecklänge, 3,0 mm Lötstift</x:v>
      </x:c>
      <x:c r="E63" s="48" t="str">
        <x:f>IFERROR(IF(VLOOKUP($A63,Parts!$A$2:$M$200,5,FALSE())=0,"",VLOOKUP($A63,Parts!$A$2:$M$200,5,FALSE())),"")</x:f>
        <x:v>EnvNode-Footprints:PinHeader_2x07_P2.54mm_Vertical_Bottom</x:v>
      </x:c>
      <x:c r="F63" t="str">
        <x:f>IFERROR(IF(VLOOKUP($A63,Parts!$A$2:$M$200,6,FALSE())=0,"",VLOOKUP($A63,Parts!$A$2:$M$200,6,FALSE())),"")</x:f>
        <x:v>ECON Connect</x:v>
      </x:c>
      <x:c r="G63" t="str">
        <x:f>IFERROR(IF(VLOOKUP($A63,Parts!$A$2:$M$200,7,FALSE())=0,"",VLOOKUP($A63,Parts!$A$2:$M$200,7,FALSE())),"")</x:f>
        <x:v>SL14G2</x:v>
      </x:c>
      <x:c r="H63" s="58" t="s">
        <x:v>829</x:v>
      </x:c>
      <x:c r="I63" t="str">
        <x:f>IF(OR($A63="",$H63=""),"",IFERROR(IF(INDEX(Part_Suppliers!$C$2:$C$300,MATCH($A63&amp;"|"&amp;$H63,Part_Suppliers!$K$2:$K$300,0))=0,"",INDEX(Part_Suppliers!$C$2:$C$300,MATCH($A63&amp;"|"&amp;$H63,Part_Suppliers!$K$2:$K$300,0))),""))</x:f>
        <x:v>BKL 10120946</x:v>
      </x:c>
      <x:c r="J63" s="50">
        <x:v>0</x:v>
      </x:c>
      <x:c r="K63" s="50">
        <x:v>0</x:v>
      </x:c>
      <x:c r="L63" s="48" t="str">
        <x:f>IFERROR(IF(VLOOKUP($A63,Parts!$A$2:$M$200,8,FALSE())=0,"",VLOOKUP($A63,Parts!$A$2:$M$200,8,FALSE())),"")</x:f>
        <x:v>Empty FullSize/HalfSize THT; DuoRelay Rev 0.2; AnalogHydroPressure</x:v>
      </x:c>
      <x:c r="M63" s="48" t="str">
        <x:f>IFERROR(IF(VLOOKUP($A63,Parts!$A$2:$M$200,12,FALSE())=0,"",VLOOKUP($A63,Parts!$A$2:$M$200,12,FALSE())),"")</x:f>
        <x:v>Standard-THT-Stiftleiste mit 11,6 mm Gesamtlänge, vergoldeten Kontakten und 3 A Nennstrom. Die Bestückung von der Modulunterseite und die dafür passende Pinorientierung werden durch den Projekt-Footprint PinHeader_2x07_P2.54mm_Vertical_Bottom festgelegt. Einzelpreis inkl. MwSt., Stand 2026-09-01; Preis und Verfügbarkeit vor Bestellung prüfen.</x:v>
      </x:c>
      <x:c r="N63" s="59"/>
      <x:c r="O63" s="60" t="s">
        <x:v>825</x:v>
      </x:c>
      <x:c r="S63" t="str">
        <x:f>IF(O63="drucken",COUNTIF($O$5:O63,"drucken"),"")</x:f>
      </x:c>
    </x:row>
    <x:row r="64" ht="26.25" customHeight="1">
      <x:c r="A64" t="s">
        <x:v>440</x:v>
      </x:c>
      <x:c r="B64" t="str">
        <x:f>IFERROR(IF(VLOOKUP($A64,Parts!$A$2:$M$200,2,FALSE())=0,"",VLOOKUP($A64,Parts!$A$2:$M$200,2,FALSE())),"")</x:f>
        <x:v>PCB</x:v>
      </x:c>
      <x:c r="C64" s="48" t="str">
        <x:f>IFERROR(IF(VLOOKUP($A64,Parts!$A$2:$M$200,3,FALSE())=0,"",VLOOKUP($A64,Parts!$A$2:$M$200,3,FALSE())),"")</x:f>
        <x:v>Empty FullSize SMD PCB</x:v>
      </x:c>
      <x:c r="D64" s="48" t="str">
        <x:f>IFERROR(IF(VLOOKUP($A64,Parts!$A$2:$M$200,4,FALSE())=0,"",VLOOKUP($A64,Parts!$A$2:$M$200,4,FALSE())),"")</x:f>
        <x:v>Revision offen</x:v>
      </x:c>
      <x:c r="E64" s="48" t="str">
        <x:f>IFERROR(IF(VLOOKUP($A64,Parts!$A$2:$M$200,5,FALSE())=0,"",VLOOKUP($A64,Parts!$A$2:$M$200,5,FALSE())),"")</x:f>
        <x:v>PCB: Modules/FullSize/Empty-SMD/Empty-SMD.kicad_pcb</x:v>
      </x:c>
      <x:c r="F64" t="str">
        <x:f>IFERROR(IF(VLOOKUP($A64,Parts!$A$2:$M$200,6,FALSE())=0,"",VLOOKUP($A64,Parts!$A$2:$M$200,6,FALSE())),"")</x:f>
      </x:c>
      <x:c r="G64" t="str">
        <x:f>IFERROR(IF(VLOOKUP($A64,Parts!$A$2:$M$200,7,FALSE())=0,"",VLOOKUP($A64,Parts!$A$2:$M$200,7,FALSE())),"")</x:f>
      </x:c>
      <x:c r="H64" s="58" t="s">
        <x:v>833</x:v>
      </x:c>
      <x:c r="I64" t="str">
        <x:f>IF(OR($A64="",$H64=""),"",IFERROR(IF(INDEX(Part_Suppliers!$C$2:$C$300,MATCH($A64&amp;"|"&amp;$H64,Part_Suppliers!$K$2:$K$300,0))=0,"",INDEX(Part_Suppliers!$C$2:$C$300,MATCH($A64&amp;"|"&amp;$H64,Part_Suppliers!$K$2:$K$300,0))),""))</x:f>
      </x:c>
      <x:c r="J64" s="50">
        <x:v>0</x:v>
      </x:c>
      <x:c r="K64" s="50">
        <x:v>0</x:v>
      </x:c>
      <x:c r="L64" s="48" t="str">
        <x:f>IFERROR(IF(VLOOKUP($A64,Parts!$A$2:$M$200,8,FALSE())=0,"",VLOOKUP($A64,Parts!$A$2:$M$200,8,FALSE())),"")</x:f>
        <x:v>Empty FullSize SMD</x:v>
      </x:c>
      <x:c r="M64" s="48" t="str">
        <x:f>IFERROR(IF(VLOOKUP($A64,Parts!$A$2:$M$200,12,FALSE())=0,"",VLOOKUP($A64,Parts!$A$2:$M$200,12,FALSE())),"")</x:f>
        <x:v>Aktueller KiCad-Stand; Revision, Fertiger und konkrete Fertigungsvariante festlegen.</x:v>
      </x:c>
      <x:c r="N64" s="59"/>
      <x:c r="O64" s="60" t="s">
        <x:v>825</x:v>
      </x:c>
      <x:c r="S64" t="str">
        <x:f>IF(O64="drucken",COUNTIF($O$5:O64,"drucken"),"")</x:f>
      </x:c>
    </x:row>
    <x:row r="65" ht="26.25" customHeight="1">
      <x:c r="A65" t="s">
        <x:v>447</x:v>
      </x:c>
      <x:c r="B65" t="str">
        <x:f>IFERROR(IF(VLOOKUP($A65,Parts!$A$2:$M$200,2,FALSE())=0,"",VLOOKUP($A65,Parts!$A$2:$M$200,2,FALSE())),"")</x:f>
        <x:v>PCB</x:v>
      </x:c>
      <x:c r="C65" s="48" t="str">
        <x:f>IFERROR(IF(VLOOKUP($A65,Parts!$A$2:$M$200,3,FALSE())=0,"",VLOOKUP($A65,Parts!$A$2:$M$200,3,FALSE())),"")</x:f>
        <x:v>Empty FullSize THT PCB</x:v>
      </x:c>
      <x:c r="D65" s="48" t="str">
        <x:f>IFERROR(IF(VLOOKUP($A65,Parts!$A$2:$M$200,4,FALSE())=0,"",VLOOKUP($A65,Parts!$A$2:$M$200,4,FALSE())),"")</x:f>
        <x:v>Revision offen</x:v>
      </x:c>
      <x:c r="E65" s="48" t="str">
        <x:f>IFERROR(IF(VLOOKUP($A65,Parts!$A$2:$M$200,5,FALSE())=0,"",VLOOKUP($A65,Parts!$A$2:$M$200,5,FALSE())),"")</x:f>
        <x:v>PCB: Modules/FullSize/Empty-THT/Empty-THT.kicad_pcb</x:v>
      </x:c>
      <x:c r="F65" t="str">
        <x:f>IFERROR(IF(VLOOKUP($A65,Parts!$A$2:$M$200,6,FALSE())=0,"",VLOOKUP($A65,Parts!$A$2:$M$200,6,FALSE())),"")</x:f>
      </x:c>
      <x:c r="G65" t="str">
        <x:f>IFERROR(IF(VLOOKUP($A65,Parts!$A$2:$M$200,7,FALSE())=0,"",VLOOKUP($A65,Parts!$A$2:$M$200,7,FALSE())),"")</x:f>
      </x:c>
      <x:c r="H65" s="58" t="s">
        <x:v>833</x:v>
      </x:c>
      <x:c r="I65" t="str">
        <x:f>IF(OR($A65="",$H65=""),"",IFERROR(IF(INDEX(Part_Suppliers!$C$2:$C$300,MATCH($A65&amp;"|"&amp;$H65,Part_Suppliers!$K$2:$K$300,0))=0,"",INDEX(Part_Suppliers!$C$2:$C$300,MATCH($A65&amp;"|"&amp;$H65,Part_Suppliers!$K$2:$K$300,0))),""))</x:f>
      </x:c>
      <x:c r="J65" s="50">
        <x:v>0</x:v>
      </x:c>
      <x:c r="K65" s="50">
        <x:v>0</x:v>
      </x:c>
      <x:c r="L65" s="48" t="str">
        <x:f>IFERROR(IF(VLOOKUP($A65,Parts!$A$2:$M$200,8,FALSE())=0,"",VLOOKUP($A65,Parts!$A$2:$M$200,8,FALSE())),"")</x:f>
        <x:v>Empty FullSize THT</x:v>
      </x:c>
      <x:c r="M65" s="48" t="str">
        <x:f>IFERROR(IF(VLOOKUP($A65,Parts!$A$2:$M$200,12,FALSE())=0,"",VLOOKUP($A65,Parts!$A$2:$M$200,12,FALSE())),"")</x:f>
        <x:v>Aktueller KiCad-Stand; Revision, Fertiger und konkrete Fertigungsvariante festlegen.</x:v>
      </x:c>
      <x:c r="N65" s="59"/>
      <x:c r="O65" s="60" t="s">
        <x:v>825</x:v>
      </x:c>
      <x:c r="S65" t="str">
        <x:f>IF(O65="drucken",COUNTIF($O$5:O65,"drucken"),"")</x:f>
      </x:c>
    </x:row>
    <x:row r="66" ht="26.25" customHeight="1">
      <x:c r="A66" t="s">
        <x:v>452</x:v>
      </x:c>
      <x:c r="B66" t="str">
        <x:f>IFERROR(IF(VLOOKUP($A66,Parts!$A$2:$M$200,2,FALSE())=0,"",VLOOKUP($A66,Parts!$A$2:$M$200,2,FALSE())),"")</x:f>
        <x:v>PCB</x:v>
      </x:c>
      <x:c r="C66" s="48" t="str">
        <x:f>IFERROR(IF(VLOOKUP($A66,Parts!$A$2:$M$200,3,FALSE())=0,"",VLOOKUP($A66,Parts!$A$2:$M$200,3,FALSE())),"")</x:f>
        <x:v>Empty HalfSize SMD PCB</x:v>
      </x:c>
      <x:c r="D66" s="48" t="str">
        <x:f>IFERROR(IF(VLOOKUP($A66,Parts!$A$2:$M$200,4,FALSE())=0,"",VLOOKUP($A66,Parts!$A$2:$M$200,4,FALSE())),"")</x:f>
        <x:v>Revision offen</x:v>
      </x:c>
      <x:c r="E66" s="48" t="str">
        <x:f>IFERROR(IF(VLOOKUP($A66,Parts!$A$2:$M$200,5,FALSE())=0,"",VLOOKUP($A66,Parts!$A$2:$M$200,5,FALSE())),"")</x:f>
        <x:v>PCB: Modules/HalfSize/Empty-SMD/Empty-SMD.kicad_pcb</x:v>
      </x:c>
      <x:c r="F66" t="str">
        <x:f>IFERROR(IF(VLOOKUP($A66,Parts!$A$2:$M$200,6,FALSE())=0,"",VLOOKUP($A66,Parts!$A$2:$M$200,6,FALSE())),"")</x:f>
      </x:c>
      <x:c r="G66" t="str">
        <x:f>IFERROR(IF(VLOOKUP($A66,Parts!$A$2:$M$200,7,FALSE())=0,"",VLOOKUP($A66,Parts!$A$2:$M$200,7,FALSE())),"")</x:f>
      </x:c>
      <x:c r="H66" s="58" t="s">
        <x:v>833</x:v>
      </x:c>
      <x:c r="I66" t="str">
        <x:f>IF(OR($A66="",$H66=""),"",IFERROR(IF(INDEX(Part_Suppliers!$C$2:$C$300,MATCH($A66&amp;"|"&amp;$H66,Part_Suppliers!$K$2:$K$300,0))=0,"",INDEX(Part_Suppliers!$C$2:$C$300,MATCH($A66&amp;"|"&amp;$H66,Part_Suppliers!$K$2:$K$300,0))),""))</x:f>
      </x:c>
      <x:c r="J66" s="50">
        <x:v>0</x:v>
      </x:c>
      <x:c r="K66" s="50">
        <x:v>0</x:v>
      </x:c>
      <x:c r="L66" s="48" t="str">
        <x:f>IFERROR(IF(VLOOKUP($A66,Parts!$A$2:$M$200,8,FALSE())=0,"",VLOOKUP($A66,Parts!$A$2:$M$200,8,FALSE())),"")</x:f>
        <x:v>Empty HalfSize SMD</x:v>
      </x:c>
      <x:c r="M66" s="48" t="str">
        <x:f>IFERROR(IF(VLOOKUP($A66,Parts!$A$2:$M$200,12,FALSE())=0,"",VLOOKUP($A66,Parts!$A$2:$M$200,12,FALSE())),"")</x:f>
        <x:v>Aktueller KiCad-Stand; Revision, Fertiger und konkrete Fertigungsvariante festlegen.</x:v>
      </x:c>
      <x:c r="N66" s="59"/>
      <x:c r="O66" s="60" t="s">
        <x:v>825</x:v>
      </x:c>
      <x:c r="S66" t="str">
        <x:f>IF(O66="drucken",COUNTIF($O$5:O66,"drucken"),"")</x:f>
      </x:c>
    </x:row>
    <x:row r="67" ht="26.25" customHeight="1">
      <x:c r="A67" t="s">
        <x:v>457</x:v>
      </x:c>
      <x:c r="B67" t="str">
        <x:f>IFERROR(IF(VLOOKUP($A67,Parts!$A$2:$M$200,2,FALSE())=0,"",VLOOKUP($A67,Parts!$A$2:$M$200,2,FALSE())),"")</x:f>
        <x:v>PCB</x:v>
      </x:c>
      <x:c r="C67" s="48" t="str">
        <x:f>IFERROR(IF(VLOOKUP($A67,Parts!$A$2:$M$200,3,FALSE())=0,"",VLOOKUP($A67,Parts!$A$2:$M$200,3,FALSE())),"")</x:f>
        <x:v>Empty HalfSize THT PCB</x:v>
      </x:c>
      <x:c r="D67" s="48" t="str">
        <x:f>IFERROR(IF(VLOOKUP($A67,Parts!$A$2:$M$200,4,FALSE())=0,"",VLOOKUP($A67,Parts!$A$2:$M$200,4,FALSE())),"")</x:f>
        <x:v>Revision offen</x:v>
      </x:c>
      <x:c r="E67" s="48" t="str">
        <x:f>IFERROR(IF(VLOOKUP($A67,Parts!$A$2:$M$200,5,FALSE())=0,"",VLOOKUP($A67,Parts!$A$2:$M$200,5,FALSE())),"")</x:f>
        <x:v>PCB: Modules/HalfSize/Empty-THT/Empty-THT.kicad_pcb</x:v>
      </x:c>
      <x:c r="F67" t="str">
        <x:f>IFERROR(IF(VLOOKUP($A67,Parts!$A$2:$M$200,6,FALSE())=0,"",VLOOKUP($A67,Parts!$A$2:$M$200,6,FALSE())),"")</x:f>
      </x:c>
      <x:c r="G67" t="str">
        <x:f>IFERROR(IF(VLOOKUP($A67,Parts!$A$2:$M$200,7,FALSE())=0,"",VLOOKUP($A67,Parts!$A$2:$M$200,7,FALSE())),"")</x:f>
      </x:c>
      <x:c r="H67" s="58" t="s">
        <x:v>833</x:v>
      </x:c>
      <x:c r="I67" t="str">
        <x:f>IF(OR($A67="",$H67=""),"",IFERROR(IF(INDEX(Part_Suppliers!$C$2:$C$300,MATCH($A67&amp;"|"&amp;$H67,Part_Suppliers!$K$2:$K$300,0))=0,"",INDEX(Part_Suppliers!$C$2:$C$300,MATCH($A67&amp;"|"&amp;$H67,Part_Suppliers!$K$2:$K$300,0))),""))</x:f>
      </x:c>
      <x:c r="J67" s="50">
        <x:v>0</x:v>
      </x:c>
      <x:c r="K67" s="50">
        <x:v>0</x:v>
      </x:c>
      <x:c r="L67" s="48" t="str">
        <x:f>IFERROR(IF(VLOOKUP($A67,Parts!$A$2:$M$200,8,FALSE())=0,"",VLOOKUP($A67,Parts!$A$2:$M$200,8,FALSE())),"")</x:f>
        <x:v>Empty HalfSize THT</x:v>
      </x:c>
      <x:c r="M67" s="48" t="str">
        <x:f>IFERROR(IF(VLOOKUP($A67,Parts!$A$2:$M$200,12,FALSE())=0,"",VLOOKUP($A67,Parts!$A$2:$M$200,12,FALSE())),"")</x:f>
        <x:v>Aktueller KiCad-Stand; Revision, Fertiger und konkrete Fertigungsvariante festlegen.</x:v>
      </x:c>
      <x:c r="N67" s="59"/>
      <x:c r="O67" s="60" t="s">
        <x:v>825</x:v>
      </x:c>
      <x:c r="S67" t="str">
        <x:f>IF(O67="drucken",COUNTIF($O$5:O67,"drucken"),"")</x:f>
      </x:c>
    </x:row>
    <x:row r="68" ht="52.75" customHeight="1">
      <x:c r="A68" t="s">
        <x:v>462</x:v>
      </x:c>
      <x:c r="B68" t="str">
        <x:f>IFERROR(IF(VLOOKUP($A68,Parts!$A$2:$M$200,2,FALSE())=0,"",VLOOKUP($A68,Parts!$A$2:$M$200,2,FALSE())),"")</x:f>
        <x:v>LED</x:v>
      </x:c>
      <x:c r="C68" s="48" t="str">
        <x:f>IFERROR(IF(VLOOKUP($A68,Parts!$A$2:$M$200,3,FALSE())=0,"",VLOOKUP($A68,Parts!$A$2:$M$200,3,FALSE())),"")</x:f>
        <x:v>LED SMD 1206, rot</x:v>
      </x:c>
      <x:c r="D68" s="48" t="str">
        <x:f>IFERROR(IF(VLOOKUP($A68,Parts!$A$2:$M$200,4,FALSE())=0,"",VLOOKUP($A68,Parts!$A$2:$M$200,4,FALSE())),"")</x:f>
        <x:v>Hyperrot, 645 nm, 250 mcd, 140°, Vf 2,0–2,5 V, IF max. 30 mA</x:v>
      </x:c>
      <x:c r="E68" s="48" t="str">
        <x:f>IFERROR(IF(VLOOKUP($A68,Parts!$A$2:$M$200,5,FALSE())=0,"",VLOOKUP($A68,Parts!$A$2:$M$200,5,FALSE())),"")</x:f>
        <x:v>LED_SMD:LED_1206_3216Metric_Pad1.42x1.75mm_HandSolder</x:v>
      </x:c>
      <x:c r="F68" t="str">
        <x:f>IFERROR(IF(VLOOKUP($A68,Parts!$A$2:$M$200,6,FALSE())=0,"",VLOOKUP($A68,Parts!$A$2:$M$200,6,FALSE())),"")</x:f>
        <x:v>Kingbright</x:v>
      </x:c>
      <x:c r="G68" t="str">
        <x:f>IFERROR(IF(VLOOKUP($A68,Parts!$A$2:$M$200,7,FALSE())=0,"",VLOOKUP($A68,Parts!$A$2:$M$200,7,FALSE())),"")</x:f>
        <x:v>KP-3216SURC</x:v>
      </x:c>
      <x:c r="H68" s="58" t="s">
        <x:v>829</x:v>
      </x:c>
      <x:c r="I68" t="str">
        <x:f>IF(OR($A68="",$H68=""),"",IFERROR(IF(INDEX(Part_Suppliers!$C$2:$C$300,MATCH($A68&amp;"|"&amp;$H68,Part_Suppliers!$K$2:$K$300,0))=0,"",INDEX(Part_Suppliers!$C$2:$C$300,MATCH($A68&amp;"|"&amp;$H68,Part_Suppliers!$K$2:$K$300,0))),""))</x:f>
        <x:v>BKL 10120946</x:v>
      </x:c>
      <x:c r="J68" s="50">
        <x:v>0</x:v>
      </x:c>
      <x:c r="K68" s="50">
        <x:v>0</x:v>
      </x:c>
      <x:c r="L68" s="48" t="str">
        <x:f>IFERROR(IF(VLOOKUP($A68,Parts!$A$2:$M$200,8,FALSE())=0,"",VLOOKUP($A68,Parts!$A$2:$M$200,8,FALSE())),"")</x:f>
        <x:v>DuoRelay Rev 0.2</x:v>
      </x:c>
      <x:c r="M68" s="48" t="str">
        <x:f>IFERROR(IF(VLOOKUP($A68,Parts!$A$2:$M$200,12,FALSE())=0,"",VLOOKUP($A68,Parts!$A$2:$M$200,12,FALSE())),"")</x:f>
        <x:v>Kingbright SMD-LED im 1206-/3216-Gehäuse, hyperrot, 250 mcd, 140° Abstrahlwinkel, Bauhöhe 1,1 mm. Im DuoRelay liegen D3/D4 über je 1,5 kΩ an +5 V; bei etwa 2 V Vorwärtsspannung fließen rund 2 mA.</x:v>
      </x:c>
      <x:c r="N68" s="59"/>
      <x:c r="O68" s="60" t="s">
        <x:v>825</x:v>
      </x:c>
      <x:c r="S68" t="str">
        <x:f>IF(O68="drucken",COUNTIF($O$5:O68,"drucken"),"")</x:f>
      </x:c>
    </x:row>
    <x:row r="69" ht="39.5" customHeight="1">
      <x:c r="A69" t="s">
        <x:v>473</x:v>
      </x:c>
      <x:c r="B69" t="str">
        <x:f>IFERROR(IF(VLOOKUP($A69,Parts!$A$2:$M$200,2,FALSE())=0,"",VLOOKUP($A69,Parts!$A$2:$M$200,2,FALSE())),"")</x:f>
        <x:v>Widerstand</x:v>
      </x:c>
      <x:c r="C69" s="48" t="str">
        <x:f>IFERROR(IF(VLOOKUP($A69,Parts!$A$2:$M$200,3,FALSE())=0,"",VLOOKUP($A69,Parts!$A$2:$M$200,3,FALSE())),"")</x:f>
        <x:v>Widerstand 1,5 kΩ SMD</x:v>
      </x:c>
      <x:c r="D69" s="48" t="str">
        <x:f>IFERROR(IF(VLOOKUP($A69,Parts!$A$2:$M$200,4,FALSE())=0,"",VLOOKUP($A69,Parts!$A$2:$M$200,4,FALSE())),"")</x:f>
        <x:v>1,5 kΩ, 1 %, 0,25 W, 1206</x:v>
      </x:c>
      <x:c r="E69" s="48" t="str">
        <x:f>IFERROR(IF(VLOOKUP($A69,Parts!$A$2:$M$200,5,FALSE())=0,"",VLOOKUP($A69,Parts!$A$2:$M$200,5,FALSE())),"")</x:f>
        <x:v>Resistor_SMD:R_1206_3216Metric_Pad1.30x1.75mm_HandSolder</x:v>
      </x:c>
      <x:c r="F69" t="str">
        <x:f>IFERROR(IF(VLOOKUP($A69,Parts!$A$2:$M$200,6,FALSE())=0,"",VLOOKUP($A69,Parts!$A$2:$M$200,6,FALSE())),"")</x:f>
        <x:v>Vishay</x:v>
      </x:c>
      <x:c r="G69" t="str">
        <x:f>IFERROR(IF(VLOOKUP($A69,Parts!$A$2:$M$200,7,FALSE())=0,"",VLOOKUP($A69,Parts!$A$2:$M$200,7,FALSE())),"")</x:f>
        <x:v>CRCW12061K50FKEA</x:v>
      </x:c>
      <x:c r="H69" s="58" t="s">
        <x:v>829</x:v>
      </x:c>
      <x:c r="I69" t="str">
        <x:f>IF(OR($A69="",$H69=""),"",IFERROR(IF(INDEX(Part_Suppliers!$C$2:$C$300,MATCH($A69&amp;"|"&amp;$H69,Part_Suppliers!$K$2:$K$300,0))=0,"",INDEX(Part_Suppliers!$C$2:$C$300,MATCH($A69&amp;"|"&amp;$H69,Part_Suppliers!$K$2:$K$300,0))),""))</x:f>
        <x:v>BKL 10120946</x:v>
      </x:c>
      <x:c r="J69" s="50">
        <x:v>0</x:v>
      </x:c>
      <x:c r="K69" s="50">
        <x:v>0</x:v>
      </x:c>
      <x:c r="L69" s="48" t="str">
        <x:f>IFERROR(IF(VLOOKUP($A69,Parts!$A$2:$M$200,8,FALSE())=0,"",VLOOKUP($A69,Parts!$A$2:$M$200,8,FALSE())),"")</x:f>
        <x:v>DuoRelay Rev 0.2</x:v>
      </x:c>
      <x:c r="M69" s="48" t="str">
        <x:f>IFERROR(IF(VLOOKUP($A69,Parts!$A$2:$M$200,12,FALSE())=0,"",VLOOKUP($A69,Parts!$A$2:$M$200,12,FALSE())),"")</x:f>
        <x:v>Exakt passend als Vorwiderstand der Relais-LEDs. Einzelpreis, Stand 2026-09-01; Preis und Verfügbarkeit vor Bestellung prüfen.</x:v>
      </x:c>
      <x:c r="N69" s="59"/>
      <x:c r="O69" s="60" t="s">
        <x:v>825</x:v>
      </x:c>
      <x:c r="S69" t="str">
        <x:f>IF(O69="drucken",COUNTIF($O$5:O69,"drucken"),"")</x:f>
      </x:c>
    </x:row>
    <x:row r="70" ht="26.25" customHeight="1">
      <x:c r="A70" t="s">
        <x:v>481</x:v>
      </x:c>
      <x:c r="B70" t="str">
        <x:f>IFERROR(IF(VLOOKUP($A70,Parts!$A$2:$M$200,2,FALSE())=0,"",VLOOKUP($A70,Parts!$A$2:$M$200,2,FALSE())),"")</x:f>
        <x:v>PCB</x:v>
      </x:c>
      <x:c r="C70" s="48" t="str">
        <x:f>IFERROR(IF(VLOOKUP($A70,Parts!$A$2:$M$200,3,FALSE())=0,"",VLOOKUP($A70,Parts!$A$2:$M$200,3,FALSE())),"")</x:f>
        <x:v>DuoRelay FullSize PCB Rev 0.2</x:v>
      </x:c>
      <x:c r="D70" s="48" t="str">
        <x:f>IFERROR(IF(VLOOKUP($A70,Parts!$A$2:$M$200,4,FALSE())=0,"",VLOOKUP($A70,Parts!$A$2:$M$200,4,FALSE())),"")</x:f>
        <x:v>Revision 0.2</x:v>
      </x:c>
      <x:c r="E70" s="48" t="str">
        <x:f>IFERROR(IF(VLOOKUP($A70,Parts!$A$2:$M$200,5,FALSE())=0,"",VLOOKUP($A70,Parts!$A$2:$M$200,5,FALSE())),"")</x:f>
        <x:v>PCB: Modules/FullSize/DuoRelay/DuoRelay.kicad_pcb</x:v>
      </x:c>
      <x:c r="F70" t="str">
        <x:f>IFERROR(IF(VLOOKUP($A70,Parts!$A$2:$M$200,6,FALSE())=0,"",VLOOKUP($A70,Parts!$A$2:$M$200,6,FALSE())),"")</x:f>
        <x:v>JLCPCB</x:v>
      </x:c>
      <x:c r="G70" t="str">
        <x:f>IFERROR(IF(VLOOKUP($A70,Parts!$A$2:$M$200,7,FALSE())=0,"",VLOOKUP($A70,Parts!$A$2:$M$200,7,FALSE())),"")</x:f>
      </x:c>
      <x:c r="H70" s="58" t="s">
        <x:v>103</x:v>
      </x:c>
      <x:c r="I70" t="str">
        <x:f>IF(OR($A70="",$H70=""),"",IFERROR(IF(INDEX(Part_Suppliers!$C$2:$C$300,MATCH($A70&amp;"|"&amp;$H70,Part_Suppliers!$K$2:$K$300,0))=0,"",INDEX(Part_Suppliers!$C$2:$C$300,MATCH($A70&amp;"|"&amp;$H70,Part_Suppliers!$K$2:$K$300,0))),""))</x:f>
      </x:c>
      <x:c r="J70" s="50">
        <x:v>0</x:v>
      </x:c>
      <x:c r="K70" s="50">
        <x:v>0</x:v>
      </x:c>
      <x:c r="L70" s="48" t="str">
        <x:f>IFERROR(IF(VLOOKUP($A70,Parts!$A$2:$M$200,8,FALSE())=0,"",VLOOKUP($A70,Parts!$A$2:$M$200,8,FALSE())),"")</x:f>
        <x:v>DuoRelay Rev 0.2</x:v>
      </x:c>
      <x:c r="M70" s="48" t="str">
        <x:f>IFERROR(IF(VLOOKUP($A70,Parts!$A$2:$M$200,12,FALSE())=0,"",VLOOKUP($A70,Parts!$A$2:$M$200,12,FALSE())),"")</x:f>
        <x:v>Aktueller KiCad-Stand; Fertiger und konkrete Fertigungsvariante festlegen.</x:v>
      </x:c>
      <x:c r="N70" s="59"/>
      <x:c r="O70" s="60" t="s">
        <x:v>825</x:v>
      </x:c>
      <x:c r="S70" t="str">
        <x:f>IF(O70="drucken",COUNTIF($O$5:O70,"drucken"),"")</x:f>
      </x:c>
    </x:row>
    <x:row r="71" ht="39.5" customHeight="1">
      <x:c r="A71" t="s">
        <x:v>485</x:v>
      </x:c>
      <x:c r="B71" t="str">
        <x:f>IFERROR(IF(VLOOKUP($A71,Parts!$A$2:$M$200,2,FALSE())=0,"",VLOOKUP($A71,Parts!$A$2:$M$200,2,FALSE())),"")</x:f>
        <x:v>Kondensator</x:v>
      </x:c>
      <x:c r="C71" s="48" t="str">
        <x:f>IFERROR(IF(VLOOKUP($A71,Parts!$A$2:$M$200,3,FALSE())=0,"",VLOOKUP($A71,Parts!$A$2:$M$200,3,FALSE())),"")</x:f>
        <x:v>Keramikkondensator 4,7 µF SMD</x:v>
      </x:c>
      <x:c r="D71" s="48" t="str">
        <x:f>IFERROR(IF(VLOOKUP($A71,Parts!$A$2:$M$200,4,FALSE())=0,"",VLOOKUP($A71,Parts!$A$2:$M$200,4,FALSE())),"")</x:f>
        <x:v>4,7 µF, 25 V, X7R, ±10 %, 1206</x:v>
      </x:c>
      <x:c r="E71" s="48" t="str">
        <x:f>IFERROR(IF(VLOOKUP($A71,Parts!$A$2:$M$200,5,FALSE())=0,"",VLOOKUP($A71,Parts!$A$2:$M$200,5,FALSE())),"")</x:f>
        <x:v>Capacitor_SMD:C_1206_3216Metric_Pad1.33x1.80mm_HandSolder</x:v>
      </x:c>
      <x:c r="F71" t="str">
        <x:f>IFERROR(IF(VLOOKUP($A71,Parts!$A$2:$M$200,6,FALSE())=0,"",VLOOKUP($A71,Parts!$A$2:$M$200,6,FALSE())),"")</x:f>
        <x:v>Samsung Electro-Mechanics</x:v>
      </x:c>
      <x:c r="G71" t="str">
        <x:f>IFERROR(IF(VLOOKUP($A71,Parts!$A$2:$M$200,7,FALSE())=0,"",VLOOKUP($A71,Parts!$A$2:$M$200,7,FALSE())),"")</x:f>
        <x:v>CL31B475KAHNNNE</x:v>
      </x:c>
      <x:c r="H71" s="58" t="s">
        <x:v>829</x:v>
      </x:c>
      <x:c r="I71" t="str">
        <x:f>IF(OR($A71="",$H71=""),"",IFERROR(IF(INDEX(Part_Suppliers!$C$2:$C$300,MATCH($A71&amp;"|"&amp;$H71,Part_Suppliers!$K$2:$K$300,0))=0,"",INDEX(Part_Suppliers!$C$2:$C$300,MATCH($A71&amp;"|"&amp;$H71,Part_Suppliers!$K$2:$K$300,0))),""))</x:f>
        <x:v>BKL 10120946</x:v>
      </x:c>
      <x:c r="J71" s="50">
        <x:v>0</x:v>
      </x:c>
      <x:c r="K71" s="50">
        <x:v>0</x:v>
      </x:c>
      <x:c r="L71" s="48" t="str">
        <x:f>IFERROR(IF(VLOOKUP($A71,Parts!$A$2:$M$200,8,FALSE())=0,"",VLOOKUP($A71,Parts!$A$2:$M$200,8,FALSE())),"")</x:f>
        <x:v>AnalogHydroPressure</x:v>
      </x:c>
      <x:c r="M71" s="48" t="str">
        <x:f>IFERROR(IF(VLOOKUP($A71,Parts!$A$2:$M$200,12,FALSE())=0,"",VLOOKUP($A71,Parts!$A$2:$M$200,12,FALSE())),"")</x:f>
        <x:v>25-V-Ausführung übertrifft die geforderten mindestens 10 V. Einzelpreis, Stand 2026-09-01; Preis und Verfügbarkeit vor Bestellung prüfen.</x:v>
      </x:c>
      <x:c r="N71" s="59"/>
      <x:c r="O71" s="60" t="s">
        <x:v>825</x:v>
      </x:c>
      <x:c r="S71" t="str">
        <x:f>IF(O71="drucken",COUNTIF($O$5:O71,"drucken"),"")</x:f>
      </x:c>
    </x:row>
    <x:row r="72" ht="39.5" customHeight="1">
      <x:c r="A72" t="s">
        <x:v>493</x:v>
      </x:c>
      <x:c r="B72" t="str">
        <x:f>IFERROR(IF(VLOOKUP($A72,Parts!$A$2:$M$200,2,FALSE())=0,"",VLOOKUP($A72,Parts!$A$2:$M$200,2,FALSE())),"")</x:f>
        <x:v>Kondensator</x:v>
      </x:c>
      <x:c r="C72" s="48" t="str">
        <x:f>IFERROR(IF(VLOOKUP($A72,Parts!$A$2:$M$200,3,FALSE())=0,"",VLOOKUP($A72,Parts!$A$2:$M$200,3,FALSE())),"")</x:f>
        <x:v>Keramikkondensator 4,7 µF SMD</x:v>
      </x:c>
      <x:c r="D72" s="48" t="str">
        <x:f>IFERROR(IF(VLOOKUP($A72,Parts!$A$2:$M$200,4,FALSE())=0,"",VLOOKUP($A72,Parts!$A$2:$M$200,4,FALSE())),"")</x:f>
        <x:v>4,7 µF, 50 V, X7R, ±10 %, 1210</x:v>
      </x:c>
      <x:c r="E72" s="48" t="str">
        <x:f>IFERROR(IF(VLOOKUP($A72,Parts!$A$2:$M$200,5,FALSE())=0,"",VLOOKUP($A72,Parts!$A$2:$M$200,5,FALSE())),"")</x:f>
        <x:v>Capacitor_SMD:C_1210_3225Metric_Pad1.33x2.70mm_HandSolder</x:v>
      </x:c>
      <x:c r="F72" t="str">
        <x:f>IFERROR(IF(VLOOKUP($A72,Parts!$A$2:$M$200,6,FALSE())=0,"",VLOOKUP($A72,Parts!$A$2:$M$200,6,FALSE())),"")</x:f>
        <x:v>Samsung Electro-Mechanics</x:v>
      </x:c>
      <x:c r="G72" t="str">
        <x:f>IFERROR(IF(VLOOKUP($A72,Parts!$A$2:$M$200,7,FALSE())=0,"",VLOOKUP($A72,Parts!$A$2:$M$200,7,FALSE())),"")</x:f>
        <x:v>CL32B475KBJVPNE</x:v>
      </x:c>
      <x:c r="H72" s="58" t="s">
        <x:v>829</x:v>
      </x:c>
      <x:c r="I72" t="str">
        <x:f>IF(OR($A72="",$H72=""),"",IFERROR(IF(INDEX(Part_Suppliers!$C$2:$C$300,MATCH($A72&amp;"|"&amp;$H72,Part_Suppliers!$K$2:$K$300,0))=0,"",INDEX(Part_Suppliers!$C$2:$C$300,MATCH($A72&amp;"|"&amp;$H72,Part_Suppliers!$K$2:$K$300,0))),""))</x:f>
        <x:v>BKL 10120946</x:v>
      </x:c>
      <x:c r="J72" s="50">
        <x:v>0</x:v>
      </x:c>
      <x:c r="K72" s="50">
        <x:v>0</x:v>
      </x:c>
      <x:c r="L72" s="48" t="str">
        <x:f>IFERROR(IF(VLOOKUP($A72,Parts!$A$2:$M$200,8,FALSE())=0,"",VLOOKUP($A72,Parts!$A$2:$M$200,8,FALSE())),"")</x:f>
        <x:v>AnalogHydroPressure</x:v>
      </x:c>
      <x:c r="M72" s="48" t="str">
        <x:f>IFERROR(IF(VLOOKUP($A72,Parts!$A$2:$M$200,12,FALSE())=0,"",VLOOKUP($A72,Parts!$A$2:$M$200,12,FALSE())),"")</x:f>
        <x:v>Passende 50-V-/1210-Ausführung für den Ausgang des 24-V-Boosters. Einzelpreis, Stand 2026-09-01; Preis und Verfügbarkeit vor Bestellung prüfen.</x:v>
      </x:c>
      <x:c r="N72" s="59"/>
      <x:c r="O72" s="60" t="s">
        <x:v>825</x:v>
      </x:c>
      <x:c r="S72" t="str">
        <x:f>IF(O72="drucken",COUNTIF($O$5:O72,"drucken"),"")</x:f>
      </x:c>
    </x:row>
    <x:row r="73" ht="52.75" customHeight="1">
      <x:c r="A73" t="s">
        <x:v>500</x:v>
      </x:c>
      <x:c r="B73" t="str">
        <x:f>IFERROR(IF(VLOOKUP($A73,Parts!$A$2:$M$200,2,FALSE())=0,"",VLOOKUP($A73,Parts!$A$2:$M$200,2,FALSE())),"")</x:f>
        <x:v>Diode</x:v>
      </x:c>
      <x:c r="C73" s="48" t="str">
        <x:f>IFERROR(IF(VLOOKUP($A73,Parts!$A$2:$M$200,3,FALSE())=0,"",VLOOKUP($A73,Parts!$A$2:$M$200,3,FALSE())),"")</x:f>
        <x:v>Schottky-Diode SMD</x:v>
      </x:c>
      <x:c r="D73" s="48" t="str">
        <x:f>IFERROR(IF(VLOOKUP($A73,Parts!$A$2:$M$200,4,FALSE())=0,"",VLOOKUP($A73,Parts!$A$2:$M$200,4,FALSE())),"")</x:f>
        <x:v>Typ und elektrische Daten offen</x:v>
      </x:c>
      <x:c r="E73" s="48" t="str">
        <x:f>IFERROR(IF(VLOOKUP($A73,Parts!$A$2:$M$200,5,FALSE())=0,"",VLOOKUP($A73,Parts!$A$2:$M$200,5,FALSE())),"")</x:f>
        <x:v>Diode_SMD:D_SOD-323F</x:v>
      </x:c>
      <x:c r="F73" t="str">
        <x:f>IFERROR(IF(VLOOKUP($A73,Parts!$A$2:$M$200,6,FALSE())=0,"",VLOOKUP($A73,Parts!$A$2:$M$200,6,FALSE())),"")</x:f>
      </x:c>
      <x:c r="G73" t="str">
        <x:f>IFERROR(IF(VLOOKUP($A73,Parts!$A$2:$M$200,7,FALSE())=0,"",VLOOKUP($A73,Parts!$A$2:$M$200,7,FALSE())),"")</x:f>
      </x:c>
      <x:c r="H73" s="58" t="s">
        <x:v>833</x:v>
      </x:c>
      <x:c r="I73" t="str">
        <x:f>IF(OR($A73="",$H73=""),"",IFERROR(IF(INDEX(Part_Suppliers!$C$2:$C$300,MATCH($A73&amp;"|"&amp;$H73,Part_Suppliers!$K$2:$K$300,0))=0,"",INDEX(Part_Suppliers!$C$2:$C$300,MATCH($A73&amp;"|"&amp;$H73,Part_Suppliers!$K$2:$K$300,0))),""))</x:f>
      </x:c>
      <x:c r="J73" s="50">
        <x:v>0</x:v>
      </x:c>
      <x:c r="K73" s="50">
        <x:v>0</x:v>
      </x:c>
      <x:c r="L73" s="48" t="str">
        <x:f>IFERROR(IF(VLOOKUP($A73,Parts!$A$2:$M$200,8,FALSE())=0,"",VLOOKUP($A73,Parts!$A$2:$M$200,8,FALSE())),"")</x:f>
        <x:v>AnalogHydroPressure</x:v>
      </x:c>
      <x:c r="M73" s="48" t="str">
        <x:f>IFERROR(IF(VLOOKUP($A73,Parts!$A$2:$M$200,12,FALSE())=0,"",VLOOKUP($A73,Parts!$A$2:$M$200,12,FALSE())),"")</x:f>
        <x:v>Schema enthält nur den generischen Wert D_Schottky; Sperrspannung, Strom, Hersteller und MPN festlegen. Einkaufsdaten bleiben offen, bis Sperrspannung und Strombelastbarkeit festgelegt sind.</x:v>
      </x:c>
      <x:c r="N73" s="59"/>
      <x:c r="O73" s="60" t="s">
        <x:v>825</x:v>
      </x:c>
      <x:c r="S73" t="str">
        <x:f>IF(O73="drucken",COUNTIF($O$5:O73,"drucken"),"")</x:f>
      </x:c>
    </x:row>
    <x:row r="74" ht="39.5" customHeight="1">
      <x:c r="A74" t="s">
        <x:v>507</x:v>
      </x:c>
      <x:c r="B74" t="str">
        <x:f>IFERROR(IF(VLOOKUP($A74,Parts!$A$2:$M$200,2,FALSE())=0,"",VLOOKUP($A74,Parts!$A$2:$M$200,2,FALSE())),"")</x:f>
        <x:v>Induktivität</x:v>
      </x:c>
      <x:c r="C74" s="48" t="str">
        <x:f>IFERROR(IF(VLOOKUP($A74,Parts!$A$2:$M$200,3,FALSE())=0,"",VLOOKUP($A74,Parts!$A$2:$M$200,3,FALSE())),"")</x:f>
        <x:v>Leistungsinduktivität 0,68 µH</x:v>
      </x:c>
      <x:c r="D74" s="48" t="str">
        <x:f>IFERROR(IF(VLOOKUP($A74,Parts!$A$2:$M$200,4,FALSE())=0,"",VLOOKUP($A74,Parts!$A$2:$M$200,4,FALSE())),"")</x:f>
        <x:v>0,68 µH, 8,2 A, DCR 9 mΩ, WE-MAPI 3012</x:v>
      </x:c>
      <x:c r="E74" s="48" t="str">
        <x:f>IFERROR(IF(VLOOKUP($A74,Parts!$A$2:$M$200,5,FALSE())=0,"",VLOOKUP($A74,Parts!$A$2:$M$200,5,FALSE())),"")</x:f>
        <x:v>Inductor_SMD:L_Wuerth_MAPI-3012</x:v>
      </x:c>
      <x:c r="F74" t="str">
        <x:f>IFERROR(IF(VLOOKUP($A74,Parts!$A$2:$M$200,6,FALSE())=0,"",VLOOKUP($A74,Parts!$A$2:$M$200,6,FALSE())),"")</x:f>
        <x:v>Würth Elektronik</x:v>
      </x:c>
      <x:c r="G74" t="n">
        <x:f>IFERROR(IF(VLOOKUP($A74,Parts!$A$2:$M$200,7,FALSE())=0,"",VLOOKUP($A74,Parts!$A$2:$M$200,7,FALSE())),"")</x:f>
        <x:v>744383560068</x:v>
      </x:c>
      <x:c r="H74" s="58" t="s">
        <x:v>838</x:v>
      </x:c>
      <x:c r="I74" t="str">
        <x:f>IF(OR($A74="",$H74=""),"",IFERROR(IF(INDEX(Part_Suppliers!$C$2:$C$300,MATCH($A74&amp;"|"&amp;$H74,Part_Suppliers!$K$2:$K$300,0))=0,"",INDEX(Part_Suppliers!$C$2:$C$300,MATCH($A74&amp;"|"&amp;$H74,Part_Suppliers!$K$2:$K$300,0))),""))</x:f>
        <x:v>710-744383560068</x:v>
      </x:c>
      <x:c r="J74" s="50">
        <x:v>0</x:v>
      </x:c>
      <x:c r="K74" s="50">
        <x:v>0</x:v>
      </x:c>
      <x:c r="L74" s="48" t="str">
        <x:f>IFERROR(IF(VLOOKUP($A74,Parts!$A$2:$M$200,8,FALSE())=0,"",VLOOKUP($A74,Parts!$A$2:$M$200,8,FALSE())),"")</x:f>
        <x:v>AnalogHydroPressure</x:v>
      </x:c>
      <x:c r="M74" s="48" t="str">
        <x:f>IFERROR(IF(VLOOKUP($A74,Parts!$A$2:$M$200,12,FALSE())=0,"",VLOOKUP($A74,Parts!$A$2:$M$200,12,FALSE())),"")</x:f>
        <x:v>Exakte MAPI-3012-Ausführung: 680 nH, 8,2 A, DCR 9 mΩ, AEC-Q200. Einzelpreis, Stand 2026-09-01; Preis und Verfügbarkeit vor Bestellung prüfen.</x:v>
      </x:c>
      <x:c r="N74" s="59"/>
      <x:c r="O74" s="60" t="s">
        <x:v>825</x:v>
      </x:c>
      <x:c r="S74" t="str">
        <x:f>IF(O74="drucken",COUNTIF($O$5:O74,"drucken"),"")</x:f>
      </x:c>
    </x:row>
    <x:row r="75" ht="26.25" customHeight="1">
      <x:c r="A75" t="s">
        <x:v>517</x:v>
      </x:c>
      <x:c r="B75" t="str">
        <x:f>IFERROR(IF(VLOOKUP($A75,Parts!$A$2:$M$200,2,FALSE())=0,"",VLOOKUP($A75,Parts!$A$2:$M$200,2,FALSE())),"")</x:f>
        <x:v>Widerstand</x:v>
      </x:c>
      <x:c r="C75" s="48" t="str">
        <x:f>IFERROR(IF(VLOOKUP($A75,Parts!$A$2:$M$200,3,FALSE())=0,"",VLOOKUP($A75,Parts!$A$2:$M$200,3,FALSE())),"")</x:f>
        <x:v>Widerstand 1 MΩ SMD</x:v>
      </x:c>
      <x:c r="D75" s="48" t="str">
        <x:f>IFERROR(IF(VLOOKUP($A75,Parts!$A$2:$M$200,4,FALSE())=0,"",VLOOKUP($A75,Parts!$A$2:$M$200,4,FALSE())),"")</x:f>
        <x:v>1 MΩ, 1 %, 0,25 W, 1206</x:v>
      </x:c>
      <x:c r="E75" s="48" t="str">
        <x:f>IFERROR(IF(VLOOKUP($A75,Parts!$A$2:$M$200,5,FALSE())=0,"",VLOOKUP($A75,Parts!$A$2:$M$200,5,FALSE())),"")</x:f>
        <x:v>Resistor_SMD:R_1206_3216Metric_Pad1.30x1.75mm_HandSolder</x:v>
      </x:c>
      <x:c r="F75" t="str">
        <x:f>IFERROR(IF(VLOOKUP($A75,Parts!$A$2:$M$200,6,FALSE())=0,"",VLOOKUP($A75,Parts!$A$2:$M$200,6,FALSE())),"")</x:f>
        <x:v>Vishay</x:v>
      </x:c>
      <x:c r="G75" t="str">
        <x:f>IFERROR(IF(VLOOKUP($A75,Parts!$A$2:$M$200,7,FALSE())=0,"",VLOOKUP($A75,Parts!$A$2:$M$200,7,FALSE())),"")</x:f>
        <x:v>CRCW12061M00FKEA</x:v>
      </x:c>
      <x:c r="H75" s="58" t="s">
        <x:v>829</x:v>
      </x:c>
      <x:c r="I75" t="str">
        <x:f>IF(OR($A75="",$H75=""),"",IFERROR(IF(INDEX(Part_Suppliers!$C$2:$C$300,MATCH($A75&amp;"|"&amp;$H75,Part_Suppliers!$K$2:$K$300,0))=0,"",INDEX(Part_Suppliers!$C$2:$C$300,MATCH($A75&amp;"|"&amp;$H75,Part_Suppliers!$K$2:$K$300,0))),""))</x:f>
        <x:v>BKL 10120946</x:v>
      </x:c>
      <x:c r="J75" s="50">
        <x:v>0</x:v>
      </x:c>
      <x:c r="K75" s="50">
        <x:v>0</x:v>
      </x:c>
      <x:c r="L75" s="48" t="str">
        <x:f>IFERROR(IF(VLOOKUP($A75,Parts!$A$2:$M$200,8,FALSE())=0,"",VLOOKUP($A75,Parts!$A$2:$M$200,8,FALSE())),"")</x:f>
        <x:v>AnalogHydroPressure</x:v>
      </x:c>
      <x:c r="M75" s="48" t="str">
        <x:f>IFERROR(IF(VLOOKUP($A75,Parts!$A$2:$M$200,12,FALSE())=0,"",VLOOKUP($A75,Parts!$A$2:$M$200,12,FALSE())),"")</x:f>
        <x:v>Elektrisch und mechanisch passend. Einzelpreis, Stand 2026-09-01; Preis und Verfügbarkeit vor Bestellung prüfen.</x:v>
      </x:c>
      <x:c r="N75" s="59"/>
      <x:c r="O75" s="60" t="s">
        <x:v>825</x:v>
      </x:c>
      <x:c r="S75" t="str">
        <x:f>IF(O75="drucken",COUNTIF($O$5:O75,"drucken"),"")</x:f>
      </x:c>
    </x:row>
    <x:row r="76" ht="52.75" customHeight="1">
      <x:c r="A76" t="s">
        <x:v>524</x:v>
      </x:c>
      <x:c r="B76" t="str">
        <x:f>IFERROR(IF(VLOOKUP($A76,Parts!$A$2:$M$200,2,FALSE())=0,"",VLOOKUP($A76,Parts!$A$2:$M$200,2,FALSE())),"")</x:f>
        <x:v>Widerstand</x:v>
      </x:c>
      <x:c r="C76" s="48" t="str">
        <x:f>IFERROR(IF(VLOOKUP($A76,Parts!$A$2:$M$200,3,FALSE())=0,"",VLOOKUP($A76,Parts!$A$2:$M$200,3,FALSE())),"")</x:f>
        <x:v>Widerstand 71,5 kΩ SMD</x:v>
      </x:c>
      <x:c r="D76" s="48" t="str">
        <x:f>IFERROR(IF(VLOOKUP($A76,Parts!$A$2:$M$200,4,FALSE())=0,"",VLOOKUP($A76,Parts!$A$2:$M$200,4,FALSE())),"")</x:f>
        <x:v>71,5 kΩ, 1 %, 0,25 W, 1206</x:v>
      </x:c>
      <x:c r="E76" s="48" t="str">
        <x:f>IFERROR(IF(VLOOKUP($A76,Parts!$A$2:$M$200,5,FALSE())=0,"",VLOOKUP($A76,Parts!$A$2:$M$200,5,FALSE())),"")</x:f>
        <x:v>Resistor_SMD:R_1206_3216Metric_Pad1.30x1.75mm_HandSolder</x:v>
      </x:c>
      <x:c r="F76" t="str">
        <x:f>IFERROR(IF(VLOOKUP($A76,Parts!$A$2:$M$200,6,FALSE())=0,"",VLOOKUP($A76,Parts!$A$2:$M$200,6,FALSE())),"")</x:f>
        <x:v>Yageo</x:v>
      </x:c>
      <x:c r="G76" t="str">
        <x:f>IFERROR(IF(VLOOKUP($A76,Parts!$A$2:$M$200,7,FALSE())=0,"",VLOOKUP($A76,Parts!$A$2:$M$200,7,FALSE())),"")</x:f>
        <x:v>RC1206FR-0771K5L</x:v>
      </x:c>
      <x:c r="H76" s="58" t="s">
        <x:v>836</x:v>
      </x:c>
      <x:c r="I76" t="str">
        <x:f>IF(OR($A76="",$H76=""),"",IFERROR(IF(INDEX(Part_Suppliers!$C$2:$C$300,MATCH($A76&amp;"|"&amp;$H76,Part_Suppliers!$K$2:$K$300,0))=0,"",INDEX(Part_Suppliers!$C$2:$C$300,MATCH($A76&amp;"|"&amp;$H76,Part_Suppliers!$K$2:$K$300,0))),""))</x:f>
        <x:v>24AA025E64T-I/OTCT-ND</x:v>
      </x:c>
      <x:c r="J76" s="50">
        <x:v>0</x:v>
      </x:c>
      <x:c r="K76" s="50">
        <x:v>0</x:v>
      </x:c>
      <x:c r="L76" s="48" t="str">
        <x:f>IFERROR(IF(VLOOKUP($A76,Parts!$A$2:$M$200,8,FALSE())=0,"",VLOOKUP($A76,Parts!$A$2:$M$200,8,FALSE())),"")</x:f>
        <x:v>AnalogHydroPressure</x:v>
      </x:c>
      <x:c r="M76" s="48" t="str">
        <x:f>IFERROR(IF(VLOOKUP($A76,Parts!$A$2:$M$200,12,FALSE())=0,"",VLOOKUP($A76,Parts!$A$2:$M$200,12,FALSE())),"")</x:f>
        <x:v>Exakter Wert für den Feedback-Widerstand; DigiKey-Bestellnummer auf der Produktseite vor Bestellung ergänzen. Einzelpreis, Stand 2026-09-01; Preis und Verfügbarkeit vor Bestellung prüfen.</x:v>
      </x:c>
      <x:c r="N76" s="59"/>
      <x:c r="O76" s="60" t="s">
        <x:v>825</x:v>
      </x:c>
      <x:c r="S76" t="str">
        <x:f>IF(O76="drucken",COUNTIF($O$5:O76,"drucken"),"")</x:f>
      </x:c>
    </x:row>
    <x:row r="77" ht="39.5" customHeight="1">
      <x:c r="A77" t="s">
        <x:v>532</x:v>
      </x:c>
      <x:c r="B77" t="str">
        <x:f>IFERROR(IF(VLOOKUP($A77,Parts!$A$2:$M$200,2,FALSE())=0,"",VLOOKUP($A77,Parts!$A$2:$M$200,2,FALSE())),"")</x:f>
        <x:v>Widerstand</x:v>
      </x:c>
      <x:c r="C77" s="48" t="str">
        <x:f>IFERROR(IF(VLOOKUP($A77,Parts!$A$2:$M$200,3,FALSE())=0,"",VLOOKUP($A77,Parts!$A$2:$M$200,3,FALSE())),"")</x:f>
        <x:v>Widerstand 220 kΩ SMD</x:v>
      </x:c>
      <x:c r="D77" s="48" t="str">
        <x:f>IFERROR(IF(VLOOKUP($A77,Parts!$A$2:$M$200,4,FALSE())=0,"",VLOOKUP($A77,Parts!$A$2:$M$200,4,FALSE())),"")</x:f>
        <x:v>220 kΩ, 1 %, 0,25 W, 1206</x:v>
      </x:c>
      <x:c r="E77" s="48" t="str">
        <x:f>IFERROR(IF(VLOOKUP($A77,Parts!$A$2:$M$200,5,FALSE())=0,"",VLOOKUP($A77,Parts!$A$2:$M$200,5,FALSE())),"")</x:f>
        <x:v>Resistor_SMD:R_1206_3216Metric_Pad1.30x1.75mm_HandSolder</x:v>
      </x:c>
      <x:c r="F77" t="str">
        <x:f>IFERROR(IF(VLOOKUP($A77,Parts!$A$2:$M$200,6,FALSE())=0,"",VLOOKUP($A77,Parts!$A$2:$M$200,6,FALSE())),"")</x:f>
        <x:v>Walsin</x:v>
      </x:c>
      <x:c r="G77" t="str">
        <x:f>IFERROR(IF(VLOOKUP($A77,Parts!$A$2:$M$200,7,FALSE())=0,"",VLOOKUP($A77,Parts!$A$2:$M$200,7,FALSE())),"")</x:f>
        <x:v>WR12X2203FTL</x:v>
      </x:c>
      <x:c r="H77" s="58" t="s">
        <x:v>839</x:v>
      </x:c>
      <x:c r="I77" t="str">
        <x:f>IF(OR($A77="",$H77=""),"",IFERROR(IF(INDEX(Part_Suppliers!$C$2:$C$300,MATCH($A77&amp;"|"&amp;$H77,Part_Suppliers!$K$2:$K$300,0))=0,"",INDEX(Part_Suppliers!$C$2:$C$300,MATCH($A77&amp;"|"&amp;$H77,Part_Suppliers!$K$2:$K$300,0))),""))</x:f>
        <x:v>WR12X2203FTL</x:v>
      </x:c>
      <x:c r="J77" s="50">
        <x:v>0</x:v>
      </x:c>
      <x:c r="K77" s="50">
        <x:v>0</x:v>
      </x:c>
      <x:c r="L77" s="48" t="str">
        <x:f>IFERROR(IF(VLOOKUP($A77,Parts!$A$2:$M$200,8,FALSE())=0,"",VLOOKUP($A77,Parts!$A$2:$M$200,8,FALSE())),"")</x:f>
        <x:v>AnalogHydroPressure</x:v>
      </x:c>
      <x:c r="M77" s="48" t="str">
        <x:f>IFERROR(IF(VLOOKUP($A77,Parts!$A$2:$M$200,12,FALSE())=0,"",VLOOKUP($A77,Parts!$A$2:$M$200,12,FALSE())),"")</x:f>
        <x:v>Exakte 1-%-Ausführung; der gefundene Reichelt-Typ mit 5 % wurde nicht übernommen. Einzelpreis, Stand 2026-09-01; Preis und Verfügbarkeit vor Bestellung prüfen.</x:v>
      </x:c>
      <x:c r="N77" s="59"/>
      <x:c r="O77" s="60" t="s">
        <x:v>825</x:v>
      </x:c>
      <x:c r="S77" t="str">
        <x:f>IF(O77="drucken",COUNTIF($O$5:O77,"drucken"),"")</x:f>
      </x:c>
    </x:row>
    <x:row r="78" ht="39.5" customHeight="1">
      <x:c r="A78" t="s">
        <x:v>541</x:v>
      </x:c>
      <x:c r="B78" t="str">
        <x:f>IFERROR(IF(VLOOKUP($A78,Parts!$A$2:$M$200,2,FALSE())=0,"",VLOOKUP($A78,Parts!$A$2:$M$200,2,FALSE())),"")</x:f>
        <x:v>Schalter</x:v>
      </x:c>
      <x:c r="C78" s="48" t="str">
        <x:f>IFERROR(IF(VLOOKUP($A78,Parts!$A$2:$M$200,3,FALSE())=0,"",VLOOKUP($A78,Parts!$A$2:$M$200,3,FALSE())),"")</x:f>
        <x:v>Schiebeschalter DPDT</x:v>
      </x:c>
      <x:c r="D78" s="48" t="str">
        <x:f>IFERROR(IF(VLOOKUP($A78,Parts!$A$2:$M$200,4,FALSE())=0,"",VLOOKUP($A78,Parts!$A$2:$M$200,4,FALSE())),"")</x:f>
        <x:v>DPDT</x:v>
      </x:c>
      <x:c r="E78" s="48" t="str">
        <x:f>IFERROR(IF(VLOOKUP($A78,Parts!$A$2:$M$200,5,FALSE())=0,"",VLOOKUP($A78,Parts!$A$2:$M$200,5,FALSE())),"")</x:f>
        <x:v>EnvNode-Footprints:SW_Slide_CK_OS202011MS2QS1</x:v>
      </x:c>
      <x:c r="F78" t="str">
        <x:f>IFERROR(IF(VLOOKUP($A78,Parts!$A$2:$M$200,6,FALSE())=0,"",VLOOKUP($A78,Parts!$A$2:$M$200,6,FALSE())),"")</x:f>
        <x:v>C&amp;K</x:v>
      </x:c>
      <x:c r="G78" t="str">
        <x:f>IFERROR(IF(VLOOKUP($A78,Parts!$A$2:$M$200,7,FALSE())=0,"",VLOOKUP($A78,Parts!$A$2:$M$200,7,FALSE())),"")</x:f>
        <x:v>OS202011MS2QS1</x:v>
      </x:c>
      <x:c r="H78" s="58" t="s">
        <x:v>838</x:v>
      </x:c>
      <x:c r="I78" t="str">
        <x:f>IF(OR($A78="",$H78=""),"",IFERROR(IF(INDEX(Part_Suppliers!$C$2:$C$300,MATCH($A78&amp;"|"&amp;$H78,Part_Suppliers!$K$2:$K$300,0))=0,"",INDEX(Part_Suppliers!$C$2:$C$300,MATCH($A78&amp;"|"&amp;$H78,Part_Suppliers!$K$2:$K$300,0))),""))</x:f>
        <x:v>710-744383560068</x:v>
      </x:c>
      <x:c r="J78" s="50">
        <x:v>0</x:v>
      </x:c>
      <x:c r="K78" s="50">
        <x:v>0</x:v>
      </x:c>
      <x:c r="L78" s="48" t="str">
        <x:f>IFERROR(IF(VLOOKUP($A78,Parts!$A$2:$M$200,8,FALSE())=0,"",VLOOKUP($A78,Parts!$A$2:$M$200,8,FALSE())),"")</x:f>
        <x:v>AnalogHydroPressure</x:v>
      </x:c>
      <x:c r="M78" s="48" t="str">
        <x:f>IFERROR(IF(VLOOKUP($A78,Parts!$A$2:$M$200,12,FALSE())=0,"",VLOOKUP($A78,Parts!$A$2:$M$200,12,FALSE())),"")</x:f>
        <x:v>Exakt der dem Projekt-Footprint zugrunde liegende DPDT-On-On-Schalter. Einzelpreis, Stand 2026-09-01; Preis und Verfügbarkeit vor Bestellung prüfen.</x:v>
      </x:c>
      <x:c r="N78" s="59"/>
      <x:c r="O78" s="60" t="s">
        <x:v>825</x:v>
      </x:c>
      <x:c r="S78" t="str">
        <x:f>IF(O78="drucken",COUNTIF($O$5:O78,"drucken"),"")</x:f>
      </x:c>
    </x:row>
    <x:row r="79" ht="39.5" customHeight="1">
      <x:c r="A79" t="s">
        <x:v>551</x:v>
      </x:c>
      <x:c r="B79" t="str">
        <x:f>IFERROR(IF(VLOOKUP($A79,Parts!$A$2:$M$200,2,FALSE())=0,"",VLOOKUP($A79,Parts!$A$2:$M$200,2,FALSE())),"")</x:f>
        <x:v>DC/DC-Wandler</x:v>
      </x:c>
      <x:c r="C79" s="48" t="str">
        <x:f>IFERROR(IF(VLOOKUP($A79,Parts!$A$2:$M$200,3,FALSE())=0,"",VLOOKUP($A79,Parts!$A$2:$M$200,3,FALSE())),"")</x:f>
        <x:v>Boost-Regler LT8330</x:v>
      </x:c>
      <x:c r="D79" s="48" t="str">
        <x:f>IFERROR(IF(VLOOKUP($A79,Parts!$A$2:$M$200,4,FALSE())=0,"",VLOOKUP($A79,Parts!$A$2:$M$200,4,FALSE())),"")</x:f>
        <x:v>LT8330, 3…40 V Eingang, 60 V/1 A Schalter, TSOT-23-6</x:v>
      </x:c>
      <x:c r="E79" s="48" t="str">
        <x:f>IFERROR(IF(VLOOKUP($A79,Parts!$A$2:$M$200,5,FALSE())=0,"",VLOOKUP($A79,Parts!$A$2:$M$200,5,FALSE())),"")</x:f>
        <x:v>Package_TO_SOT_SMD:SOT-23-6</x:v>
      </x:c>
      <x:c r="F79" t="str">
        <x:f>IFERROR(IF(VLOOKUP($A79,Parts!$A$2:$M$200,6,FALSE())=0,"",VLOOKUP($A79,Parts!$A$2:$M$200,6,FALSE())),"")</x:f>
        <x:v>Analog Devices</x:v>
      </x:c>
      <x:c r="G79" t="str">
        <x:f>IFERROR(IF(VLOOKUP($A79,Parts!$A$2:$M$200,7,FALSE())=0,"",VLOOKUP($A79,Parts!$A$2:$M$200,7,FALSE())),"")</x:f>
        <x:v>LT8330ES6#TRMPBF</x:v>
      </x:c>
      <x:c r="H79" s="58" t="s">
        <x:v>838</x:v>
      </x:c>
      <x:c r="I79" t="str">
        <x:f>IF(OR($A79="",$H79=""),"",IFERROR(IF(INDEX(Part_Suppliers!$C$2:$C$300,MATCH($A79&amp;"|"&amp;$H79,Part_Suppliers!$K$2:$K$300,0))=0,"",INDEX(Part_Suppliers!$C$2:$C$300,MATCH($A79&amp;"|"&amp;$H79,Part_Suppliers!$K$2:$K$300,0))),""))</x:f>
        <x:v>710-744383560068</x:v>
      </x:c>
      <x:c r="J79" s="50">
        <x:v>0</x:v>
      </x:c>
      <x:c r="K79" s="50">
        <x:v>0</x:v>
      </x:c>
      <x:c r="L79" s="48" t="str">
        <x:f>IFERROR(IF(VLOOKUP($A79,Parts!$A$2:$M$200,8,FALSE())=0,"",VLOOKUP($A79,Parts!$A$2:$M$200,8,FALSE())),"")</x:f>
        <x:v>AnalogHydroPressure</x:v>
      </x:c>
      <x:c r="M79" s="48" t="str">
        <x:f>IFERROR(IF(VLOOKUP($A79,Parts!$A$2:$M$200,12,FALSE())=0,"",VLOOKUP($A79,Parts!$A$2:$M$200,12,FALSE())),"")</x:f>
        <x:v>Bestellbare E-Temperaturvariante im geforderten TSOT-23-6, Cut Tape. Einzelpreis, Stand 2026-09-01; Preis und Verfügbarkeit vor Bestellung prüfen.</x:v>
      </x:c>
      <x:c r="N79" s="59"/>
      <x:c r="O79" s="60" t="s">
        <x:v>825</x:v>
      </x:c>
      <x:c r="S79" t="str">
        <x:f>IF(O79="drucken",COUNTIF($O$5:O79,"drucken"),"")</x:f>
      </x:c>
    </x:row>
    <x:row r="80" ht="39.5" customHeight="1">
      <x:c r="A80" t="s">
        <x:v>560</x:v>
      </x:c>
      <x:c r="B80" t="str">
        <x:f>IFERROR(IF(VLOOKUP($A80,Parts!$A$2:$M$200,2,FALSE())=0,"",VLOOKUP($A80,Parts!$A$2:$M$200,2,FALSE())),"")</x:f>
        <x:v>PCB</x:v>
      </x:c>
      <x:c r="C80" s="48" t="str">
        <x:f>IFERROR(IF(VLOOKUP($A80,Parts!$A$2:$M$200,3,FALSE())=0,"",VLOOKUP($A80,Parts!$A$2:$M$200,3,FALSE())),"")</x:f>
        <x:v>AnalogHydroPressure FullSize PCB Rev 0.2</x:v>
      </x:c>
      <x:c r="D80" s="48" t="str">
        <x:f>IFERROR(IF(VLOOKUP($A80,Parts!$A$2:$M$200,4,FALSE())=0,"",VLOOKUP($A80,Parts!$A$2:$M$200,4,FALSE())),"")</x:f>
        <x:v>Revision 0.2</x:v>
      </x:c>
      <x:c r="E80" s="48" t="str">
        <x:f>IFERROR(IF(VLOOKUP($A80,Parts!$A$2:$M$200,5,FALSE())=0,"",VLOOKUP($A80,Parts!$A$2:$M$200,5,FALSE())),"")</x:f>
        <x:v>PCB: Modules/FullSize/AnalogHydroPressure/AnalogHydroPressure.kicad_pcb</x:v>
      </x:c>
      <x:c r="F80" t="str">
        <x:f>IFERROR(IF(VLOOKUP($A80,Parts!$A$2:$M$200,6,FALSE())=0,"",VLOOKUP($A80,Parts!$A$2:$M$200,6,FALSE())),"")</x:f>
        <x:v>JLCPCB</x:v>
      </x:c>
      <x:c r="G80" t="str">
        <x:f>IFERROR(IF(VLOOKUP($A80,Parts!$A$2:$M$200,7,FALSE())=0,"",VLOOKUP($A80,Parts!$A$2:$M$200,7,FALSE())),"")</x:f>
      </x:c>
      <x:c r="H80" s="58" t="s">
        <x:v>103</x:v>
      </x:c>
      <x:c r="I80" t="str">
        <x:f>IF(OR($A80="",$H80=""),"",IFERROR(IF(INDEX(Part_Suppliers!$C$2:$C$300,MATCH($A80&amp;"|"&amp;$H80,Part_Suppliers!$K$2:$K$300,0))=0,"",INDEX(Part_Suppliers!$C$2:$C$300,MATCH($A80&amp;"|"&amp;$H80,Part_Suppliers!$K$2:$K$300,0))),""))</x:f>
      </x:c>
      <x:c r="J80" s="50">
        <x:v>0</x:v>
      </x:c>
      <x:c r="K80" s="50">
        <x:v>0</x:v>
      </x:c>
      <x:c r="L80" s="48" t="str">
        <x:f>IFERROR(IF(VLOOKUP($A80,Parts!$A$2:$M$200,8,FALSE())=0,"",VLOOKUP($A80,Parts!$A$2:$M$200,8,FALSE())),"")</x:f>
        <x:v>AnalogHydroPressure</x:v>
      </x:c>
      <x:c r="M80" s="48" t="str">
        <x:f>IFERROR(IF(VLOOKUP($A80,Parts!$A$2:$M$200,12,FALSE())=0,"",VLOOKUP($A80,Parts!$A$2:$M$200,12,FALSE())),"")</x:f>
        <x:v>Aktueller KiCad-Stand einschließlich Busumschaltung auf Modulseite und F.Cu-Backfill; Fertiger und Fertigungsvariante festlegen.</x:v>
      </x:c>
      <x:c r="N80" s="59"/>
      <x:c r="O80" s="60" t="s">
        <x:v>825</x:v>
      </x:c>
      <x:c r="S80" t="str">
        <x:f>IF(O80="drucken",COUNTIF($O$5:O80,"drucken"),"")</x:f>
      </x:c>
    </x:row>
    <x:row r="81" ht="39.5" customHeight="1">
      <x:c r="A81" t="s">
        <x:v>565</x:v>
      </x:c>
      <x:c r="B81" t="str">
        <x:f>IFERROR(IF(VLOOKUP($A81,Parts!$A$2:$M$200,2,FALSE())=0,"",VLOOKUP($A81,Parts!$A$2:$M$200,2,FALSE())),"")</x:f>
        <x:v>Adapter</x:v>
      </x:c>
      <x:c r="C81" s="48" t="str">
        <x:f>IFERROR(IF(VLOOKUP($A81,Parts!$A$2:$M$200,3,FALSE())=0,"",VLOOKUP($A81,Parts!$A$2:$M$200,3,FALSE())),"")</x:f>
        <x:v>SMD-Adapter SOT23-3 auf Raster 2,54 mm</x:v>
      </x:c>
      <x:c r="D81" s="48" t="str">
        <x:f>IFERROR(IF(VLOOKUP($A81,Parts!$A$2:$M$200,4,FALSE())=0,"",VLOOKUP($A81,Parts!$A$2:$M$200,4,FALSE())),"")</x:f>
        <x:v>SOT23-3, Pitch 0,95 mm auf RM 2,54 mm</x:v>
      </x:c>
      <x:c r="E81" s="48" t="str">
        <x:f>IFERROR(IF(VLOOKUP($A81,Parts!$A$2:$M$200,5,FALSE())=0,"",VLOOKUP($A81,Parts!$A$2:$M$200,5,FALSE())),"")</x:f>
      </x:c>
      <x:c r="F81" t="str">
        <x:f>IFERROR(IF(VLOOKUP($A81,Parts!$A$2:$M$200,6,FALSE())=0,"",VLOOKUP($A81,Parts!$A$2:$M$200,6,FALSE())),"")</x:f>
        <x:v>ROTH-ELEKTRONIK</x:v>
      </x:c>
      <x:c r="G81" t="str">
        <x:f>IFERROR(IF(VLOOKUP($A81,Parts!$A$2:$M$200,7,FALSE())=0,"",VLOOKUP($A81,Parts!$A$2:$M$200,7,FALSE())),"")</x:f>
        <x:v>RE909</x:v>
      </x:c>
      <x:c r="H81" s="58" t="s">
        <x:v>829</x:v>
      </x:c>
      <x:c r="I81" t="str">
        <x:f>IF(OR($A81="",$H81=""),"",IFERROR(IF(INDEX(Part_Suppliers!$C$2:$C$300,MATCH($A81&amp;"|"&amp;$H81,Part_Suppliers!$K$2:$K$300,0))=0,"",INDEX(Part_Suppliers!$C$2:$C$300,MATCH($A81&amp;"|"&amp;$H81,Part_Suppliers!$K$2:$K$300,0))),""))</x:f>
        <x:v>BKL 10120946</x:v>
      </x:c>
      <x:c r="J81" s="50">
        <x:v>0</x:v>
      </x:c>
      <x:c r="K81" s="50">
        <x:v>2</x:v>
      </x:c>
      <x:c r="L81" s="48" t="str">
        <x:f>IFERROR(IF(VLOOKUP($A81,Parts!$A$2:$M$200,8,FALSE())=0,"",VLOOKUP($A81,Parts!$A$2:$M$200,8,FALSE())),"")</x:f>
        <x:v>Bestand/Werkstatt</x:v>
      </x:c>
      <x:c r="M81" s="48" t="str">
        <x:f>IFERROR(IF(VLOOKUP($A81,Parts!$A$2:$M$200,12,FALSE())=0,"",VLOOKUP($A81,Parts!$A$2:$M$200,12,FALSE())),"")</x:f>
        <x:v>Prototyping-Adapter, 8,6 × 13,2 mm; derzeit keinem Kit oder KiCad-BOM zugeordnet.</x:v>
      </x:c>
      <x:c r="N81" s="59" t="s">
        <x:v>840</x:v>
      </x:c>
      <x:c r="O81" s="60" t="s">
        <x:v>825</x:v>
      </x:c>
      <x:c r="S81" t="str">
        <x:f>IF(O81="drucken",COUNTIF($O$5:O81,"drucken"),"")</x:f>
      </x:c>
    </x:row>
    <x:row r="82" ht="39.5" customHeight="1">
      <x:c r="A82" t="s">
        <x:v>574</x:v>
      </x:c>
      <x:c r="B82" t="str">
        <x:f>IFERROR(IF(VLOOKUP($A82,Parts!$A$2:$M$200,2,FALSE())=0,"",VLOOKUP($A82,Parts!$A$2:$M$200,2,FALSE())),"")</x:f>
        <x:v>Widerstand</x:v>
      </x:c>
      <x:c r="C82" s="48" t="str">
        <x:f>IFERROR(IF(VLOOKUP($A82,Parts!$A$2:$M$200,3,FALSE())=0,"",VLOOKUP($A82,Parts!$A$2:$M$200,3,FALSE())),"")</x:f>
        <x:v>Metalloxidwiderstand 100 Ohm, 1 W, 5 %</x:v>
      </x:c>
      <x:c r="D82" s="48" t="str">
        <x:f>IFERROR(IF(VLOOKUP($A82,Parts!$A$2:$M$200,4,FALSE())=0,"",VLOOKUP($A82,Parts!$A$2:$M$200,4,FALSE())),"")</x:f>
        <x:v>100 Ω, 1 W, 5 %, 500 V</x:v>
      </x:c>
      <x:c r="E82" s="48" t="str">
        <x:f>IFERROR(IF(VLOOKUP($A82,Parts!$A$2:$M$200,5,FALSE())=0,"",VLOOKUP($A82,Parts!$A$2:$M$200,5,FALSE())),"")</x:f>
        <x:v>Resistor_THT:R_Axial_DIN0207_L6.3mm_D2.5mm_P10.16mm_Horizontal</x:v>
      </x:c>
      <x:c r="F82" t="str">
        <x:f>IFERROR(IF(VLOOKUP($A82,Parts!$A$2:$M$200,6,FALSE())=0,"",VLOOKUP($A82,Parts!$A$2:$M$200,6,FALSE())),"")</x:f>
        <x:v>VITROHM</x:v>
      </x:c>
      <x:c r="G82" t="str">
        <x:f>IFERROR(IF(VLOOKUP($A82,Parts!$A$2:$M$200,7,FALSE())=0,"",VLOOKUP($A82,Parts!$A$2:$M$200,7,FALSE())),"")</x:f>
        <x:v>POS100JT-52-100RAA</x:v>
      </x:c>
      <x:c r="H82" s="58" t="s">
        <x:v>829</x:v>
      </x:c>
      <x:c r="I82" t="str">
        <x:f>IF(OR($A82="",$H82=""),"",IFERROR(IF(INDEX(Part_Suppliers!$C$2:$C$300,MATCH($A82&amp;"|"&amp;$H82,Part_Suppliers!$K$2:$K$300,0))=0,"",INDEX(Part_Suppliers!$C$2:$C$300,MATCH($A82&amp;"|"&amp;$H82,Part_Suppliers!$K$2:$K$300,0))),""))</x:f>
        <x:v>BKL 10120946</x:v>
      </x:c>
      <x:c r="J82" s="50">
        <x:v>0</x:v>
      </x:c>
      <x:c r="K82" s="50">
        <x:v>10</x:v>
      </x:c>
      <x:c r="L82" s="48" t="str">
        <x:f>IFERROR(IF(VLOOKUP($A82,Parts!$A$2:$M$200,8,FALSE())=0,"",VLOOKUP($A82,Parts!$A$2:$M$200,8,FALSE())),"")</x:f>
        <x:v>Bestand/Werkstatt</x:v>
      </x:c>
      <x:c r="M82" s="48" t="str">
        <x:f>IFERROR(IF(VLOOKUP($A82,Parts!$A$2:$M$200,12,FALSE())=0,"",VLOOKUP($A82,Parts!$A$2:$M$200,12,FALSE())),"")</x:f>
        <x:v>Gegurteter THT-Metalloxidwiderstand, Bauform 0207; derzeit keinem Kit oder KiCad-BOM zugeordnet.</x:v>
      </x:c>
      <x:c r="N82" s="59" t="s">
        <x:v>832</x:v>
      </x:c>
      <x:c r="O82" s="60" t="s">
        <x:v>825</x:v>
      </x:c>
      <x:c r="S82" t="str">
        <x:f>IF(O82="drucken",COUNTIF($O$5:O82,"drucken"),"")</x:f>
      </x:c>
    </x:row>
    <x:row r="83" ht="39.5" customHeight="1">
      <x:c r="A83" t="s">
        <x:v>581</x:v>
      </x:c>
      <x:c r="B83" t="str">
        <x:f>IFERROR(IF(VLOOKUP($A83,Parts!$A$2:$M$200,2,FALSE())=0,"",VLOOKUP($A83,Parts!$A$2:$M$200,2,FALSE())),"")</x:f>
        <x:v>Widerstand</x:v>
      </x:c>
      <x:c r="C83" s="48" t="str">
        <x:f>IFERROR(IF(VLOOKUP($A83,Parts!$A$2:$M$200,3,FALSE())=0,"",VLOOKUP($A83,Parts!$A$2:$M$200,3,FALSE())),"")</x:f>
        <x:v>Metalloxidwiderstand 100 kOhm, 1 W, 5 %</x:v>
      </x:c>
      <x:c r="D83" s="48" t="str">
        <x:f>IFERROR(IF(VLOOKUP($A83,Parts!$A$2:$M$200,4,FALSE())=0,"",VLOOKUP($A83,Parts!$A$2:$M$200,4,FALSE())),"")</x:f>
        <x:v>100 kΩ, 1 W, 5 %, 500 V</x:v>
      </x:c>
      <x:c r="E83" s="48" t="str">
        <x:f>IFERROR(IF(VLOOKUP($A83,Parts!$A$2:$M$200,5,FALSE())=0,"",VLOOKUP($A83,Parts!$A$2:$M$200,5,FALSE())),"")</x:f>
        <x:v>Resistor_THT:R_Axial_DIN0207_L6.3mm_D2.5mm_P10.16mm_Horizontal</x:v>
      </x:c>
      <x:c r="F83" t="str">
        <x:f>IFERROR(IF(VLOOKUP($A83,Parts!$A$2:$M$200,6,FALSE())=0,"",VLOOKUP($A83,Parts!$A$2:$M$200,6,FALSE())),"")</x:f>
        <x:v>VITROHM</x:v>
      </x:c>
      <x:c r="G83" t="str">
        <x:f>IFERROR(IF(VLOOKUP($A83,Parts!$A$2:$M$200,7,FALSE())=0,"",VLOOKUP($A83,Parts!$A$2:$M$200,7,FALSE())),"")</x:f>
        <x:v>POS100JT-52-100KAA</x:v>
      </x:c>
      <x:c r="H83" s="58" t="s">
        <x:v>829</x:v>
      </x:c>
      <x:c r="I83" t="str">
        <x:f>IF(OR($A83="",$H83=""),"",IFERROR(IF(INDEX(Part_Suppliers!$C$2:$C$300,MATCH($A83&amp;"|"&amp;$H83,Part_Suppliers!$K$2:$K$300,0))=0,"",INDEX(Part_Suppliers!$C$2:$C$300,MATCH($A83&amp;"|"&amp;$H83,Part_Suppliers!$K$2:$K$300,0))),""))</x:f>
        <x:v>BKL 10120946</x:v>
      </x:c>
      <x:c r="J83" s="50">
        <x:v>0</x:v>
      </x:c>
      <x:c r="K83" s="50">
        <x:v>10</x:v>
      </x:c>
      <x:c r="L83" s="48" t="str">
        <x:f>IFERROR(IF(VLOOKUP($A83,Parts!$A$2:$M$200,8,FALSE())=0,"",VLOOKUP($A83,Parts!$A$2:$M$200,8,FALSE())),"")</x:f>
        <x:v>Bestand/Werkstatt</x:v>
      </x:c>
      <x:c r="M83" s="48" t="str">
        <x:f>IFERROR(IF(VLOOKUP($A83,Parts!$A$2:$M$200,12,FALSE())=0,"",VLOOKUP($A83,Parts!$A$2:$M$200,12,FALSE())),"")</x:f>
        <x:v>Gegurteter THT-Metalloxidwiderstand, Bauform 0207; derzeit keinem Kit oder KiCad-BOM zugeordnet.</x:v>
      </x:c>
      <x:c r="N83" s="59" t="s">
        <x:v>832</x:v>
      </x:c>
      <x:c r="O83" s="60" t="s">
        <x:v>825</x:v>
      </x:c>
      <x:c r="S83" t="str">
        <x:f>IF(O83="drucken",COUNTIF($O$5:O83,"drucken"),"")</x:f>
      </x:c>
    </x:row>
    <x:row r="84" ht="39.5" customHeight="1">
      <x:c r="A84" t="s">
        <x:v>585</x:v>
      </x:c>
      <x:c r="B84" t="str">
        <x:f>IFERROR(IF(VLOOKUP($A84,Parts!$A$2:$M$200,2,FALSE())=0,"",VLOOKUP($A84,Parts!$A$2:$M$200,2,FALSE())),"")</x:f>
        <x:v>Steckverbinder</x:v>
      </x:c>
      <x:c r="C84" s="48" t="str">
        <x:f>IFERROR(IF(VLOOKUP($A84,Parts!$A$2:$M$200,3,FALSE())=0,"",VLOOKUP($A84,Parts!$A$2:$M$200,3,FALSE())),"")</x:f>
        <x:v>WEIPU SP13 Gehäusebuchse, 2-polig</x:v>
      </x:c>
      <x:c r="D84" s="48" t="str">
        <x:f>IFERROR(IF(VLOOKUP($A84,Parts!$A$2:$M$200,4,FALSE())=0,"",VLOOKUP($A84,Parts!$A$2:$M$200,4,FALSE())),"")</x:f>
        <x:v>2-polig, Buchsenkontakte, IP68 gesteckt, Lötanschluss, Hinterwandmontage</x:v>
      </x:c>
      <x:c r="E84" s="48" t="str">
        <x:f>IFERROR(IF(VLOOKUP($A84,Parts!$A$2:$M$200,5,FALSE())=0,"",VLOOKUP($A84,Parts!$A$2:$M$200,5,FALSE())),"")</x:f>
        <x:v>WEIPU SP13 Gehäusebuchse, 2-polig</x:v>
      </x:c>
      <x:c r="F84" t="str">
        <x:f>IFERROR(IF(VLOOKUP($A84,Parts!$A$2:$M$200,6,FALSE())=0,"",VLOOKUP($A84,Parts!$A$2:$M$200,6,FALSE())),"")</x:f>
        <x:v>WEIPU</x:v>
      </x:c>
      <x:c r="G84" t="str">
        <x:f>IFERROR(IF(VLOOKUP($A84,Parts!$A$2:$M$200,7,FALSE())=0,"",VLOOKUP($A84,Parts!$A$2:$M$200,7,FALSE())),"")</x:f>
        <x:v>SP1312/S2-N</x:v>
      </x:c>
      <x:c r="H84" s="58" t="s">
        <x:v>833</x:v>
      </x:c>
      <x:c r="I84" t="str">
        <x:f>IF(OR($A84="",$H84=""),"",IFERROR(IF(INDEX(Part_Suppliers!$C$2:$C$300,MATCH($A84&amp;"|"&amp;$H84,Part_Suppliers!$K$2:$K$300,0))=0,"",INDEX(Part_Suppliers!$C$2:$C$300,MATCH($A84&amp;"|"&amp;$H84,Part_Suppliers!$K$2:$K$300,0))),""))</x:f>
      </x:c>
      <x:c r="J84" s="50">
        <x:v>0</x:v>
      </x:c>
      <x:c r="K84" s="50">
        <x:v>0</x:v>
      </x:c>
      <x:c r="L84" s="48" t="str">
        <x:f>IFERROR(IF(VLOOKUP($A84,Parts!$A$2:$M$200,8,FALSE())=0,"",VLOOKUP($A84,Parts!$A$2:$M$200,8,FALSE())),"")</x:f>
        <x:v>Gehäusemontage (offen)</x:v>
      </x:c>
      <x:c r="M84" s="48" t="str">
        <x:f>IFERROR(IF(VLOOKUP($A84,Parts!$A$2:$M$200,12,FALSE())=0,"",VLOOKUP($A84,Parts!$A$2:$M$200,12,FALSE())),"")</x:f>
        <x:v>Passend zu Kabelstecker SP1310/P2-N (ENP-00081). 13 A / 250 V AC; Panel-Ausschnitt Ø13 mm. Einsatz und Pinbelegung im Kit festlegen.</x:v>
      </x:c>
      <x:c r="N84" s="59"/>
      <x:c r="O84" s="60" t="s">
        <x:v>825</x:v>
      </x:c>
      <x:c r="S84" t="str">
        <x:f>IF(O84="drucken",COUNTIF($O$5:O84,"drucken"),"")</x:f>
      </x:c>
    </x:row>
    <x:row r="85" ht="39.5" customHeight="1">
      <x:c r="A85" t="s">
        <x:v>593</x:v>
      </x:c>
      <x:c r="B85" t="str">
        <x:f>IFERROR(IF(VLOOKUP($A85,Parts!$A$2:$M$200,2,FALSE())=0,"",VLOOKUP($A85,Parts!$A$2:$M$200,2,FALSE())),"")</x:f>
        <x:v>Steckverbinder</x:v>
      </x:c>
      <x:c r="C85" s="48" t="str">
        <x:f>IFERROR(IF(VLOOKUP($A85,Parts!$A$2:$M$200,3,FALSE())=0,"",VLOOKUP($A85,Parts!$A$2:$M$200,3,FALSE())),"")</x:f>
        <x:v>WEIPU SP13 Kabelstecker, 2-polig</x:v>
      </x:c>
      <x:c r="D85" s="48" t="str">
        <x:f>IFERROR(IF(VLOOKUP($A85,Parts!$A$2:$M$200,4,FALSE())=0,"",VLOOKUP($A85,Parts!$A$2:$M$200,4,FALSE())),"")</x:f>
        <x:v>2-polig, Stiftkontakte, IP68 gesteckt, Lötanschluss</x:v>
      </x:c>
      <x:c r="E85" s="48" t="str">
        <x:f>IFERROR(IF(VLOOKUP($A85,Parts!$A$2:$M$200,5,FALSE())=0,"",VLOOKUP($A85,Parts!$A$2:$M$200,5,FALSE())),"")</x:f>
        <x:v>WEIPU SP13 Kabelstecker, 2-polig</x:v>
      </x:c>
      <x:c r="F85" t="str">
        <x:f>IFERROR(IF(VLOOKUP($A85,Parts!$A$2:$M$200,6,FALSE())=0,"",VLOOKUP($A85,Parts!$A$2:$M$200,6,FALSE())),"")</x:f>
        <x:v>WEIPU</x:v>
      </x:c>
      <x:c r="G85" t="str">
        <x:f>IFERROR(IF(VLOOKUP($A85,Parts!$A$2:$M$200,7,FALSE())=0,"",VLOOKUP($A85,Parts!$A$2:$M$200,7,FALSE())),"")</x:f>
        <x:v>SP1310/P2-N</x:v>
      </x:c>
      <x:c r="H85" s="58" t="s">
        <x:v>833</x:v>
      </x:c>
      <x:c r="I85" t="str">
        <x:f>IF(OR($A85="",$H85=""),"",IFERROR(IF(INDEX(Part_Suppliers!$C$2:$C$300,MATCH($A85&amp;"|"&amp;$H85,Part_Suppliers!$K$2:$K$300,0))=0,"",INDEX(Part_Suppliers!$C$2:$C$300,MATCH($A85&amp;"|"&amp;$H85,Part_Suppliers!$K$2:$K$300,0))),""))</x:f>
      </x:c>
      <x:c r="J85" s="50">
        <x:v>0</x:v>
      </x:c>
      <x:c r="K85" s="50">
        <x:v>0</x:v>
      </x:c>
      <x:c r="L85" s="48" t="str">
        <x:f>IFERROR(IF(VLOOKUP($A85,Parts!$A$2:$M$200,8,FALSE())=0,"",VLOOKUP($A85,Parts!$A$2:$M$200,8,FALSE())),"")</x:f>
        <x:v>Gehäusemontage (offen)</x:v>
      </x:c>
      <x:c r="M85" s="48" t="str">
        <x:f>IFERROR(IF(VLOOKUP($A85,Parts!$A$2:$M$200,12,FALSE())=0,"",VLOOKUP($A85,Parts!$A$2:$M$200,12,FALSE())),"")</x:f>
        <x:v>Passend zu Gehäusebuchse SP1312/S2-N (ENP-00080). 13 A / 250 V AC. Standardvariante I für Kabel-Ø 4–6,5 mm; Variante II für 5–8 mm vor Bestellung prüfen.</x:v>
      </x:c>
      <x:c r="N85" s="59"/>
      <x:c r="O85" s="60" t="s">
        <x:v>825</x:v>
      </x:c>
      <x:c r="S85" t="str">
        <x:f>IF(O85="drucken",COUNTIF($O$5:O85,"drucken"),"")</x:f>
      </x:c>
    </x:row>
    <x:row r="86" ht="39.5" customHeight="1">
      <x:c r="A86" t="s">
        <x:v>598</x:v>
      </x:c>
      <x:c r="B86" t="str">
        <x:f>IFERROR(IF(VLOOKUP($A86,Parts!$A$2:$M$200,2,FALSE())=0,"",VLOOKUP($A86,Parts!$A$2:$M$200,2,FALSE())),"")</x:f>
        <x:v>Steckverbinder</x:v>
      </x:c>
      <x:c r="C86" s="48" t="str">
        <x:f>IFERROR(IF(VLOOKUP($A86,Parts!$A$2:$M$200,3,FALSE())=0,"",VLOOKUP($A86,Parts!$A$2:$M$200,3,FALSE())),"")</x:f>
        <x:v>WEIPU SP13 Gehäusestecker, 2-polig</x:v>
      </x:c>
      <x:c r="D86" s="48" t="str">
        <x:f>IFERROR(IF(VLOOKUP($A86,Parts!$A$2:$M$200,4,FALSE())=0,"",VLOOKUP($A86,Parts!$A$2:$M$200,4,FALSE())),"")</x:f>
        <x:v>2-polig, Stiftkontakte, IP68 gesteckt, Lötanschluss, Hinterwandmontage</x:v>
      </x:c>
      <x:c r="E86" s="48" t="str">
        <x:f>IFERROR(IF(VLOOKUP($A86,Parts!$A$2:$M$200,5,FALSE())=0,"",VLOOKUP($A86,Parts!$A$2:$M$200,5,FALSE())),"")</x:f>
        <x:v>WEIPU SP13 Gehäusestecker, 2-polig</x:v>
      </x:c>
      <x:c r="F86" t="str">
        <x:f>IFERROR(IF(VLOOKUP($A86,Parts!$A$2:$M$200,6,FALSE())=0,"",VLOOKUP($A86,Parts!$A$2:$M$200,6,FALSE())),"")</x:f>
        <x:v>WEIPU</x:v>
      </x:c>
      <x:c r="G86" t="str">
        <x:f>IFERROR(IF(VLOOKUP($A86,Parts!$A$2:$M$200,7,FALSE())=0,"",VLOOKUP($A86,Parts!$A$2:$M$200,7,FALSE())),"")</x:f>
        <x:v>SP1312/P2-N</x:v>
      </x:c>
      <x:c r="H86" s="58" t="s">
        <x:v>833</x:v>
      </x:c>
      <x:c r="I86" t="str">
        <x:f>IF(OR($A86="",$H86=""),"",IFERROR(IF(INDEX(Part_Suppliers!$C$2:$C$300,MATCH($A86&amp;"|"&amp;$H86,Part_Suppliers!$K$2:$K$300,0))=0,"",INDEX(Part_Suppliers!$C$2:$C$300,MATCH($A86&amp;"|"&amp;$H86,Part_Suppliers!$K$2:$K$300,0))),""))</x:f>
      </x:c>
      <x:c r="J86" s="50">
        <x:v>0</x:v>
      </x:c>
      <x:c r="K86" s="50">
        <x:v>0</x:v>
      </x:c>
      <x:c r="L86" s="48" t="str">
        <x:f>IFERROR(IF(VLOOKUP($A86,Parts!$A$2:$M$200,8,FALSE())=0,"",VLOOKUP($A86,Parts!$A$2:$M$200,8,FALSE())),"")</x:f>
        <x:v>Gehäusemontage (offen)</x:v>
      </x:c>
      <x:c r="M86" s="48" t="str">
        <x:f>IFERROR(IF(VLOOKUP($A86,Parts!$A$2:$M$200,12,FALSE())=0,"",VLOOKUP($A86,Parts!$A$2:$M$200,12,FALSE())),"")</x:f>
        <x:v>Passend zu Kabelbuchse SP1310/S2-N (ENP-00083). 13 A / 250 V AC; Panel-Ausschnitt Ø13 mm. Einsatz und Pinbelegung im Kit festlegen.</x:v>
      </x:c>
      <x:c r="N86" s="59"/>
      <x:c r="O86" s="60" t="s">
        <x:v>825</x:v>
      </x:c>
      <x:c r="S86" t="str">
        <x:f>IF(O86="drucken",COUNTIF($O$5:O86,"drucken"),"")</x:f>
      </x:c>
    </x:row>
    <x:row r="87" ht="39.5" customHeight="1">
      <x:c r="A87" t="s">
        <x:v>603</x:v>
      </x:c>
      <x:c r="B87" t="str">
        <x:f>IFERROR(IF(VLOOKUP($A87,Parts!$A$2:$M$200,2,FALSE())=0,"",VLOOKUP($A87,Parts!$A$2:$M$200,2,FALSE())),"")</x:f>
        <x:v>Steckverbinder</x:v>
      </x:c>
      <x:c r="C87" s="48" t="str">
        <x:f>IFERROR(IF(VLOOKUP($A87,Parts!$A$2:$M$200,3,FALSE())=0,"",VLOOKUP($A87,Parts!$A$2:$M$200,3,FALSE())),"")</x:f>
        <x:v>WEIPU SP13 Kabelbuchse, 2-polig</x:v>
      </x:c>
      <x:c r="D87" s="48" t="str">
        <x:f>IFERROR(IF(VLOOKUP($A87,Parts!$A$2:$M$200,4,FALSE())=0,"",VLOOKUP($A87,Parts!$A$2:$M$200,4,FALSE())),"")</x:f>
        <x:v>2-polig, Buchsenkontakte, IP68 gesteckt, Lötanschluss</x:v>
      </x:c>
      <x:c r="E87" s="48" t="str">
        <x:f>IFERROR(IF(VLOOKUP($A87,Parts!$A$2:$M$200,5,FALSE())=0,"",VLOOKUP($A87,Parts!$A$2:$M$200,5,FALSE())),"")</x:f>
        <x:v>WEIPU SP13 Kabelbuchse, 2-polig</x:v>
      </x:c>
      <x:c r="F87" t="str">
        <x:f>IFERROR(IF(VLOOKUP($A87,Parts!$A$2:$M$200,6,FALSE())=0,"",VLOOKUP($A87,Parts!$A$2:$M$200,6,FALSE())),"")</x:f>
        <x:v>WEIPU</x:v>
      </x:c>
      <x:c r="G87" t="str">
        <x:f>IFERROR(IF(VLOOKUP($A87,Parts!$A$2:$M$200,7,FALSE())=0,"",VLOOKUP($A87,Parts!$A$2:$M$200,7,FALSE())),"")</x:f>
        <x:v>SP1310/S2-N</x:v>
      </x:c>
      <x:c r="H87" s="58" t="s">
        <x:v>833</x:v>
      </x:c>
      <x:c r="I87" t="str">
        <x:f>IF(OR($A87="",$H87=""),"",IFERROR(IF(INDEX(Part_Suppliers!$C$2:$C$300,MATCH($A87&amp;"|"&amp;$H87,Part_Suppliers!$K$2:$K$300,0))=0,"",INDEX(Part_Suppliers!$C$2:$C$300,MATCH($A87&amp;"|"&amp;$H87,Part_Suppliers!$K$2:$K$300,0))),""))</x:f>
      </x:c>
      <x:c r="J87" s="50">
        <x:v>0</x:v>
      </x:c>
      <x:c r="K87" s="50">
        <x:v>0</x:v>
      </x:c>
      <x:c r="L87" s="48" t="str">
        <x:f>IFERROR(IF(VLOOKUP($A87,Parts!$A$2:$M$200,8,FALSE())=0,"",VLOOKUP($A87,Parts!$A$2:$M$200,8,FALSE())),"")</x:f>
        <x:v>Gehäusemontage (offen)</x:v>
      </x:c>
      <x:c r="M87" s="48" t="str">
        <x:f>IFERROR(IF(VLOOKUP($A87,Parts!$A$2:$M$200,12,FALSE())=0,"",VLOOKUP($A87,Parts!$A$2:$M$200,12,FALSE())),"")</x:f>
        <x:v>Passend zu Gehäusestecker SP1312/P2-N (ENP-00082). 13 A / 250 V AC. Standardvariante I für Kabel-Ø 4–6,5 mm; Variante II für 5–8 mm vor Bestellung prüfen.</x:v>
      </x:c>
      <x:c r="N87" s="59"/>
      <x:c r="O87" s="60" t="s">
        <x:v>825</x:v>
      </x:c>
      <x:c r="S87" t="str">
        <x:f>IF(O87="drucken",COUNTIF($O$5:O87,"drucken"),"")</x:f>
      </x:c>
    </x:row>
    <x:row r="88" ht="39.5" customHeight="1">
      <x:c r="A88" t="s">
        <x:v>608</x:v>
      </x:c>
      <x:c r="B88" t="str">
        <x:f>IFERROR(IF(VLOOKUP($A88,Parts!$A$2:$M$200,2,FALSE())=0,"",VLOOKUP($A88,Parts!$A$2:$M$200,2,FALSE())),"")</x:f>
        <x:v>Steckverbinder</x:v>
      </x:c>
      <x:c r="C88" s="48" t="str">
        <x:f>IFERROR(IF(VLOOKUP($A88,Parts!$A$2:$M$200,3,FALSE())=0,"",VLOOKUP($A88,Parts!$A$2:$M$200,3,FALSE())),"")</x:f>
        <x:v>WEIPU SP13 Gehäusebuchse, 4-polig</x:v>
      </x:c>
      <x:c r="D88" s="48" t="str">
        <x:f>IFERROR(IF(VLOOKUP($A88,Parts!$A$2:$M$200,4,FALSE())=0,"",VLOOKUP($A88,Parts!$A$2:$M$200,4,FALSE())),"")</x:f>
        <x:v>4-polig, Buchsenkontakte, IP68 gesteckt, Lötanschluss, Hinterwandmontage</x:v>
      </x:c>
      <x:c r="E88" s="48" t="str">
        <x:f>IFERROR(IF(VLOOKUP($A88,Parts!$A$2:$M$200,5,FALSE())=0,"",VLOOKUP($A88,Parts!$A$2:$M$200,5,FALSE())),"")</x:f>
        <x:v>WEIPU SP13 Gehäusebuchse, 4-polig</x:v>
      </x:c>
      <x:c r="F88" t="str">
        <x:f>IFERROR(IF(VLOOKUP($A88,Parts!$A$2:$M$200,6,FALSE())=0,"",VLOOKUP($A88,Parts!$A$2:$M$200,6,FALSE())),"")</x:f>
        <x:v>WEIPU</x:v>
      </x:c>
      <x:c r="G88" t="str">
        <x:f>IFERROR(IF(VLOOKUP($A88,Parts!$A$2:$M$200,7,FALSE())=0,"",VLOOKUP($A88,Parts!$A$2:$M$200,7,FALSE())),"")</x:f>
        <x:v>SP1312/S4-N</x:v>
      </x:c>
      <x:c r="H88" s="58" t="s">
        <x:v>833</x:v>
      </x:c>
      <x:c r="I88" t="str">
        <x:f>IF(OR($A88="",$H88=""),"",IFERROR(IF(INDEX(Part_Suppliers!$C$2:$C$300,MATCH($A88&amp;"|"&amp;$H88,Part_Suppliers!$K$2:$K$300,0))=0,"",INDEX(Part_Suppliers!$C$2:$C$300,MATCH($A88&amp;"|"&amp;$H88,Part_Suppliers!$K$2:$K$300,0))),""))</x:f>
      </x:c>
      <x:c r="J88" s="50">
        <x:v>0</x:v>
      </x:c>
      <x:c r="K88" s="50">
        <x:v>0</x:v>
      </x:c>
      <x:c r="L88" s="48" t="str">
        <x:f>IFERROR(IF(VLOOKUP($A88,Parts!$A$2:$M$200,8,FALSE())=0,"",VLOOKUP($A88,Parts!$A$2:$M$200,8,FALSE())),"")</x:f>
        <x:v>Gehäusemontage (offen)</x:v>
      </x:c>
      <x:c r="M88" s="48" t="str">
        <x:f>IFERROR(IF(VLOOKUP($A88,Parts!$A$2:$M$200,12,FALSE())=0,"",VLOOKUP($A88,Parts!$A$2:$M$200,12,FALSE())),"")</x:f>
        <x:v>Passend zu Kabelstecker SP1310/P4-N (ENP-00085). 5 A / 200 V AC; Panel-Ausschnitt Ø13 mm. Vorgesehen für I2C/GPIO/Sensorik.</x:v>
      </x:c>
      <x:c r="N88" s="59"/>
      <x:c r="O88" s="60" t="s">
        <x:v>825</x:v>
      </x:c>
      <x:c r="S88" t="str">
        <x:f>IF(O88="drucken",COUNTIF($O$5:O88,"drucken"),"")</x:f>
      </x:c>
    </x:row>
    <x:row r="89" ht="39.5" customHeight="1">
      <x:c r="A89" t="s">
        <x:v>613</x:v>
      </x:c>
      <x:c r="B89" t="str">
        <x:f>IFERROR(IF(VLOOKUP($A89,Parts!$A$2:$M$200,2,FALSE())=0,"",VLOOKUP($A89,Parts!$A$2:$M$200,2,FALSE())),"")</x:f>
        <x:v>Steckverbinder</x:v>
      </x:c>
      <x:c r="C89" s="48" t="str">
        <x:f>IFERROR(IF(VLOOKUP($A89,Parts!$A$2:$M$200,3,FALSE())=0,"",VLOOKUP($A89,Parts!$A$2:$M$200,3,FALSE())),"")</x:f>
        <x:v>WEIPU SP13 Kabelstecker, 4-polig</x:v>
      </x:c>
      <x:c r="D89" s="48" t="str">
        <x:f>IFERROR(IF(VLOOKUP($A89,Parts!$A$2:$M$200,4,FALSE())=0,"",VLOOKUP($A89,Parts!$A$2:$M$200,4,FALSE())),"")</x:f>
        <x:v>4-polig, Stiftkontakte, IP68 gesteckt, Lötanschluss</x:v>
      </x:c>
      <x:c r="E89" s="48" t="str">
        <x:f>IFERROR(IF(VLOOKUP($A89,Parts!$A$2:$M$200,5,FALSE())=0,"",VLOOKUP($A89,Parts!$A$2:$M$200,5,FALSE())),"")</x:f>
        <x:v>WEIPU SP13 Kabelstecker, 4-polig</x:v>
      </x:c>
      <x:c r="F89" t="str">
        <x:f>IFERROR(IF(VLOOKUP($A89,Parts!$A$2:$M$200,6,FALSE())=0,"",VLOOKUP($A89,Parts!$A$2:$M$200,6,FALSE())),"")</x:f>
        <x:v>WEIPU</x:v>
      </x:c>
      <x:c r="G89" t="str">
        <x:f>IFERROR(IF(VLOOKUP($A89,Parts!$A$2:$M$200,7,FALSE())=0,"",VLOOKUP($A89,Parts!$A$2:$M$200,7,FALSE())),"")</x:f>
        <x:v>SP1310/P4-N</x:v>
      </x:c>
      <x:c r="H89" s="58" t="s">
        <x:v>833</x:v>
      </x:c>
      <x:c r="I89" t="str">
        <x:f>IF(OR($A89="",$H89=""),"",IFERROR(IF(INDEX(Part_Suppliers!$C$2:$C$300,MATCH($A89&amp;"|"&amp;$H89,Part_Suppliers!$K$2:$K$300,0))=0,"",INDEX(Part_Suppliers!$C$2:$C$300,MATCH($A89&amp;"|"&amp;$H89,Part_Suppliers!$K$2:$K$300,0))),""))</x:f>
      </x:c>
      <x:c r="J89" s="50">
        <x:v>0</x:v>
      </x:c>
      <x:c r="K89" s="50">
        <x:v>0</x:v>
      </x:c>
      <x:c r="L89" s="48" t="str">
        <x:f>IFERROR(IF(VLOOKUP($A89,Parts!$A$2:$M$200,8,FALSE())=0,"",VLOOKUP($A89,Parts!$A$2:$M$200,8,FALSE())),"")</x:f>
        <x:v>Gehäusemontage (offen)</x:v>
      </x:c>
      <x:c r="M89" s="48" t="str">
        <x:f>IFERROR(IF(VLOOKUP($A89,Parts!$A$2:$M$200,12,FALSE())=0,"",VLOOKUP($A89,Parts!$A$2:$M$200,12,FALSE())),"")</x:f>
        <x:v>Passend zu Gehäusebuchse SP1312/S4-N (ENP-00084). 5 A / 200 V AC. Standardvariante I für Kabel-Ø 4–6,5 mm; Variante II für 5–8 mm vor Bestellung prüfen.</x:v>
      </x:c>
      <x:c r="N89" s="59"/>
      <x:c r="O89" s="60" t="s">
        <x:v>825</x:v>
      </x:c>
      <x:c r="S89" t="str">
        <x:f>IF(O89="drucken",COUNTIF($O$5:O89,"drucken"),"")</x:f>
      </x:c>
    </x:row>
    <x:row r="90" ht="39.5" customHeight="1">
      <x:c r="A90" t="s">
        <x:v>618</x:v>
      </x:c>
      <x:c r="B90" t="str">
        <x:f>IFERROR(IF(VLOOKUP($A90,Parts!$A$2:$M$200,2,FALSE())=0,"",VLOOKUP($A90,Parts!$A$2:$M$200,2,FALSE())),"")</x:f>
        <x:v>Steckverbinder</x:v>
      </x:c>
      <x:c r="C90" s="48" t="str">
        <x:f>IFERROR(IF(VLOOKUP($A90,Parts!$A$2:$M$200,3,FALSE())=0,"",VLOOKUP($A90,Parts!$A$2:$M$200,3,FALSE())),"")</x:f>
        <x:v>WEIPU SP13 Gehäusestecker, 4-polig</x:v>
      </x:c>
      <x:c r="D90" s="48" t="str">
        <x:f>IFERROR(IF(VLOOKUP($A90,Parts!$A$2:$M$200,4,FALSE())=0,"",VLOOKUP($A90,Parts!$A$2:$M$200,4,FALSE())),"")</x:f>
        <x:v>4-polig, Stiftkontakte, IP68 gesteckt, Lötanschluss, Hinterwandmontage</x:v>
      </x:c>
      <x:c r="E90" s="48" t="str">
        <x:f>IFERROR(IF(VLOOKUP($A90,Parts!$A$2:$M$200,5,FALSE())=0,"",VLOOKUP($A90,Parts!$A$2:$M$200,5,FALSE())),"")</x:f>
        <x:v>WEIPU SP13 Gehäusestecker, 4-polig</x:v>
      </x:c>
      <x:c r="F90" t="str">
        <x:f>IFERROR(IF(VLOOKUP($A90,Parts!$A$2:$M$200,6,FALSE())=0,"",VLOOKUP($A90,Parts!$A$2:$M$200,6,FALSE())),"")</x:f>
        <x:v>WEIPU</x:v>
      </x:c>
      <x:c r="G90" t="str">
        <x:f>IFERROR(IF(VLOOKUP($A90,Parts!$A$2:$M$200,7,FALSE())=0,"",VLOOKUP($A90,Parts!$A$2:$M$200,7,FALSE())),"")</x:f>
        <x:v>SP1312/P4-N</x:v>
      </x:c>
      <x:c r="H90" s="58" t="s">
        <x:v>833</x:v>
      </x:c>
      <x:c r="I90" t="str">
        <x:f>IF(OR($A90="",$H90=""),"",IFERROR(IF(INDEX(Part_Suppliers!$C$2:$C$300,MATCH($A90&amp;"|"&amp;$H90,Part_Suppliers!$K$2:$K$300,0))=0,"",INDEX(Part_Suppliers!$C$2:$C$300,MATCH($A90&amp;"|"&amp;$H90,Part_Suppliers!$K$2:$K$300,0))),""))</x:f>
      </x:c>
      <x:c r="J90" s="50">
        <x:v>0</x:v>
      </x:c>
      <x:c r="K90" s="50">
        <x:v>0</x:v>
      </x:c>
      <x:c r="L90" s="48" t="str">
        <x:f>IFERROR(IF(VLOOKUP($A90,Parts!$A$2:$M$200,8,FALSE())=0,"",VLOOKUP($A90,Parts!$A$2:$M$200,8,FALSE())),"")</x:f>
        <x:v>Gehäusemontage (offen)</x:v>
      </x:c>
      <x:c r="M90" s="48" t="str">
        <x:f>IFERROR(IF(VLOOKUP($A90,Parts!$A$2:$M$200,12,FALSE())=0,"",VLOOKUP($A90,Parts!$A$2:$M$200,12,FALSE())),"")</x:f>
        <x:v>Passend zu Kabelbuchse SP1310/S4-N (ENP-00087). 5 A / 200 V AC; Panel-Ausschnitt Ø13 mm. Vorgesehen für I2C/GPIO/Sensorik.</x:v>
      </x:c>
      <x:c r="N90" s="59"/>
      <x:c r="O90" s="60" t="s">
        <x:v>825</x:v>
      </x:c>
      <x:c r="S90" t="str">
        <x:f>IF(O90="drucken",COUNTIF($O$5:O90,"drucken"),"")</x:f>
      </x:c>
    </x:row>
    <x:row r="91" ht="39.5" customHeight="1">
      <x:c r="A91" t="s">
        <x:v>623</x:v>
      </x:c>
      <x:c r="B91" t="str">
        <x:f>IFERROR(IF(VLOOKUP($A91,Parts!$A$2:$M$200,2,FALSE())=0,"",VLOOKUP($A91,Parts!$A$2:$M$200,2,FALSE())),"")</x:f>
        <x:v>Steckverbinder</x:v>
      </x:c>
      <x:c r="C91" s="48" t="str">
        <x:f>IFERROR(IF(VLOOKUP($A91,Parts!$A$2:$M$200,3,FALSE())=0,"",VLOOKUP($A91,Parts!$A$2:$M$200,3,FALSE())),"")</x:f>
        <x:v>WEIPU SP13 Kabelbuchse, 4-polig</x:v>
      </x:c>
      <x:c r="D91" s="48" t="str">
        <x:f>IFERROR(IF(VLOOKUP($A91,Parts!$A$2:$M$200,4,FALSE())=0,"",VLOOKUP($A91,Parts!$A$2:$M$200,4,FALSE())),"")</x:f>
        <x:v>4-polig, Buchsenkontakte, IP68 gesteckt, Lötanschluss</x:v>
      </x:c>
      <x:c r="E91" s="48" t="str">
        <x:f>IFERROR(IF(VLOOKUP($A91,Parts!$A$2:$M$200,5,FALSE())=0,"",VLOOKUP($A91,Parts!$A$2:$M$200,5,FALSE())),"")</x:f>
        <x:v>WEIPU SP13 Kabelbuchse, 4-polig</x:v>
      </x:c>
      <x:c r="F91" t="str">
        <x:f>IFERROR(IF(VLOOKUP($A91,Parts!$A$2:$M$200,6,FALSE())=0,"",VLOOKUP($A91,Parts!$A$2:$M$200,6,FALSE())),"")</x:f>
        <x:v>WEIPU</x:v>
      </x:c>
      <x:c r="G91" t="str">
        <x:f>IFERROR(IF(VLOOKUP($A91,Parts!$A$2:$M$200,7,FALSE())=0,"",VLOOKUP($A91,Parts!$A$2:$M$200,7,FALSE())),"")</x:f>
        <x:v>SP1310/S4-N</x:v>
      </x:c>
      <x:c r="H91" s="58" t="s">
        <x:v>833</x:v>
      </x:c>
      <x:c r="I91" t="str">
        <x:f>IF(OR($A91="",$H91=""),"",IFERROR(IF(INDEX(Part_Suppliers!$C$2:$C$300,MATCH($A91&amp;"|"&amp;$H91,Part_Suppliers!$K$2:$K$300,0))=0,"",INDEX(Part_Suppliers!$C$2:$C$300,MATCH($A91&amp;"|"&amp;$H91,Part_Suppliers!$K$2:$K$300,0))),""))</x:f>
      </x:c>
      <x:c r="J91" s="50">
        <x:v>0</x:v>
      </x:c>
      <x:c r="K91" s="50">
        <x:v>0</x:v>
      </x:c>
      <x:c r="L91" s="48" t="str">
        <x:f>IFERROR(IF(VLOOKUP($A91,Parts!$A$2:$M$200,8,FALSE())=0,"",VLOOKUP($A91,Parts!$A$2:$M$200,8,FALSE())),"")</x:f>
        <x:v>Gehäusemontage (offen)</x:v>
      </x:c>
      <x:c r="M91" s="48" t="str">
        <x:f>IFERROR(IF(VLOOKUP($A91,Parts!$A$2:$M$200,12,FALSE())=0,"",VLOOKUP($A91,Parts!$A$2:$M$200,12,FALSE())),"")</x:f>
        <x:v>Passend zu Gehäusestecker SP1312/P4-N (ENP-00086). 5 A / 200 V AC. Standardvariante I für Kabel-Ø 4–6,5 mm; Variante II für 5–8 mm vor Bestellung prüfen.</x:v>
      </x:c>
      <x:c r="N91" s="59"/>
      <x:c r="O91" s="60" t="s">
        <x:v>825</x:v>
      </x:c>
      <x:c r="S91" t="str">
        <x:f>IF(O91="drucken",COUNTIF($O$5:O91,"drucken"),"")</x:f>
      </x:c>
    </x:row>
    <x:row r="92" ht="39.5" customHeight="1">
      <x:c r="A92" t="s">
        <x:v>628</x:v>
      </x:c>
      <x:c r="B92" t="str">
        <x:f>IFERROR(IF(VLOOKUP($A92,Parts!$A$2:$M$200,2,FALSE())=0,"",VLOOKUP($A92,Parts!$A$2:$M$200,2,FALSE())),"")</x:f>
        <x:v>Steckverbinder</x:v>
      </x:c>
      <x:c r="C92" s="48" t="str">
        <x:f>IFERROR(IF(VLOOKUP($A92,Parts!$A$2:$M$200,3,FALSE())=0,"",VLOOKUP($A92,Parts!$A$2:$M$200,3,FALSE())),"")</x:f>
        <x:v>DC-Einbaubuchse 5,5/2,1 mm – EnvNode 5-V-Versorgung</x:v>
      </x:c>
      <x:c r="D92" s="48" t="str">
        <x:f>IFERROR(IF(VLOOKUP($A92,Parts!$A$2:$M$200,4,FALSE())=0,"",VLOOKUP($A92,Parts!$A$2:$M$200,4,FALSE())),"")</x:f>
        <x:v>5,5 × 2,1 mm, 2-polig, 20 V DC / 10 A, Lötanschluss</x:v>
      </x:c>
      <x:c r="E92" s="48" t="str">
        <x:f>IFERROR(IF(VLOOKUP($A92,Parts!$A$2:$M$200,5,FALSE())=0,"",VLOOKUP($A92,Parts!$A$2:$M$200,5,FALSE())),"")</x:f>
      </x:c>
      <x:c r="F92" t="str">
        <x:f>IFERROR(IF(VLOOKUP($A92,Parts!$A$2:$M$200,6,FALSE())=0,"",VLOOKUP($A92,Parts!$A$2:$M$200,6,FALSE())),"")</x:f>
        <x:v>Delock</x:v>
      </x:c>
      <x:c r="G92" t="n">
        <x:f>IFERROR(IF(VLOOKUP($A92,Parts!$A$2:$M$200,7,FALSE())=0,"",VLOOKUP($A92,Parts!$A$2:$M$200,7,FALSE())),"")</x:f>
        <x:v>90174</x:v>
      </x:c>
      <x:c r="H92" s="58" t="s">
        <x:v>829</x:v>
      </x:c>
      <x:c r="I92" t="str">
        <x:f>IF(OR($A92="",$H92=""),"",IFERROR(IF(INDEX(Part_Suppliers!$C$2:$C$300,MATCH($A92&amp;"|"&amp;$H92,Part_Suppliers!$K$2:$K$300,0))=0,"",INDEX(Part_Suppliers!$C$2:$C$300,MATCH($A92&amp;"|"&amp;$H92,Part_Suppliers!$K$2:$K$300,0))),""))</x:f>
        <x:v>BKL 10120946</x:v>
      </x:c>
      <x:c r="J92" s="50">
        <x:v>0</x:v>
      </x:c>
      <x:c r="K92" s="50">
        <x:v>0</x:v>
      </x:c>
      <x:c r="L92" s="48" t="str">
        <x:f>IFERROR(IF(VLOOKUP($A92,Parts!$A$2:$M$200,8,FALSE())=0,"",VLOOKUP($A92,Parts!$A$2:$M$200,8,FALSE())),"")</x:f>
        <x:v>Gehäusemontage (offen)</x:v>
      </x:c>
      <x:c r="M92" s="48" t="str">
        <x:f>IFERROR(IF(VLOOKUP($A92,Parts!$A$2:$M$200,12,FALSE())=0,"",VLOOKUP($A92,Parts!$A$2:$M$200,12,FALSE())),"")</x:f>
        <x:v>Für 5-V-Versorgung in trockener Umgebung. Passend für DC-Stecker 5,5/2,1 mm mit 9,5 oder 12 mm Stiftlänge. Polarität im Kit verbindlich festlegen, empfohlen: Plus am Innenkontakt.</x:v>
      </x:c>
      <x:c r="N92" s="59"/>
      <x:c r="O92" s="60" t="s">
        <x:v>825</x:v>
      </x:c>
      <x:c r="S92" t="str">
        <x:f>IF(O92="drucken",COUNTIF($O$5:O92,"drucken"),"")</x:f>
      </x:c>
    </x:row>
    <x:row r="93" ht="39.5" customHeight="1">
      <x:c r="A93" t="s">
        <x:v>635</x:v>
      </x:c>
      <x:c r="B93" t="str">
        <x:f>IFERROR(IF(VLOOKUP($A93,Parts!$A$2:$M$200,2,FALSE())=0,"",VLOOKUP($A93,Parts!$A$2:$M$200,2,FALSE())),"")</x:f>
        <x:v>Steckverbinder</x:v>
      </x:c>
      <x:c r="C93" s="48" t="str">
        <x:f>IFERROR(IF(VLOOKUP($A93,Parts!$A$2:$M$200,3,FALSE())=0,"",VLOOKUP($A93,Parts!$A$2:$M$200,3,FALSE())),"")</x:f>
        <x:v>USB-C-Buchse, 16-polig, USB 2.0, Top-Mount</x:v>
      </x:c>
      <x:c r="D93" s="48" t="str">
        <x:f>IFERROR(IF(VLOOKUP($A93,Parts!$A$2:$M$200,4,FALSE())=0,"",VLOOKUP($A93,Parts!$A$2:$M$200,4,FALSE())),"")</x:f>
        <x:v>USB Type-C Receptacle, 16 Signalpins (+ 8 Dummy), 5 A, 48 V DC, SMD/TH, horizontal</x:v>
      </x:c>
      <x:c r="E93" s="48" t="str">
        <x:f>IFERROR(IF(VLOOKUP($A93,Parts!$A$2:$M$200,5,FALSE())=0,"",VLOOKUP($A93,Parts!$A$2:$M$200,5,FALSE())),"")</x:f>
        <x:v>Connector_USB:USB_C_Receptacle_GCT_USB4105-xx-A_16P_TopMnt_Horizontal</x:v>
      </x:c>
      <x:c r="F93" t="str">
        <x:f>IFERROR(IF(VLOOKUP($A93,Parts!$A$2:$M$200,6,FALSE())=0,"",VLOOKUP($A93,Parts!$A$2:$M$200,6,FALSE())),"")</x:f>
        <x:v>GCT</x:v>
      </x:c>
      <x:c r="G93" t="str">
        <x:f>IFERROR(IF(VLOOKUP($A93,Parts!$A$2:$M$200,7,FALSE())=0,"",VLOOKUP($A93,Parts!$A$2:$M$200,7,FALSE())),"")</x:f>
        <x:v>USB4105-GF-A</x:v>
      </x:c>
      <x:c r="H93" s="58" t="s">
        <x:v>836</x:v>
      </x:c>
      <x:c r="I93" t="str">
        <x:f>IF(OR($A93="",$H93=""),"",IFERROR(IF(INDEX(Part_Suppliers!$C$2:$C$300,MATCH($A93&amp;"|"&amp;$H93,Part_Suppliers!$K$2:$K$300,0))=0,"",INDEX(Part_Suppliers!$C$2:$C$300,MATCH($A93&amp;"|"&amp;$H93,Part_Suppliers!$K$2:$K$300,0))),""))</x:f>
        <x:v>24AA025E64T-I/OTCT-ND</x:v>
      </x:c>
      <x:c r="J93" s="50">
        <x:v>0</x:v>
      </x:c>
      <x:c r="K93" s="50">
        <x:v>0</x:v>
      </x:c>
      <x:c r="L93" s="48" t="str">
        <x:f>IFERROR(IF(VLOOKUP($A93,Parts!$A$2:$M$200,8,FALSE())=0,"",VLOOKUP($A93,Parts!$A$2:$M$200,8,FALSE())),"")</x:f>
        <x:v>EnvNode Rev 0.2</x:v>
      </x:c>
      <x:c r="M93" s="48" t="str">
        <x:f>IFERROR(IF(VLOOKUP($A93,Parts!$A$2:$M$200,12,FALSE())=0,"",VLOOKUP($A93,Parts!$A$2:$M$200,12,FALSE())),"")</x:f>
        <x:v>Power-only mit Symbol Connector:USB_C_Receptacle_USB2.0_16P. Robuste Top-Mount-Ausführung mit vier durchkontaktierten Shield-/Haltezungen. D+/D− und SBU1/SBU2 NC; Shield an GND; CC1 und CC2 jeweils separat über 5,1 kΩ nach GND.</x:v>
      </x:c>
      <x:c r="N93" s="59"/>
      <x:c r="O93" s="60" t="s">
        <x:v>825</x:v>
      </x:c>
      <x:c r="S93" t="str">
        <x:f>IF(O93="drucken",COUNTIF($O$5:O93,"drucken"),"")</x:f>
      </x:c>
    </x:row>
    <x:row r="94" ht="39.5" customHeight="1">
      <x:c r="A94" t="s">
        <x:v>645</x:v>
      </x:c>
      <x:c r="B94" t="str">
        <x:f>IFERROR(IF(VLOOKUP($A94,Parts!$A$2:$M$200,2,FALSE())=0,"",VLOOKUP($A94,Parts!$A$2:$M$200,2,FALSE())),"")</x:f>
        <x:v>Widerstand</x:v>
      </x:c>
      <x:c r="C94" s="48" t="str">
        <x:f>IFERROR(IF(VLOOKUP($A94,Parts!$A$2:$M$200,3,FALSE())=0,"",VLOOKUP($A94,Parts!$A$2:$M$200,3,FALSE())),"")</x:f>
        <x:v>SMD-Widerstand 5,1 kOhm, 1 %, 1206</x:v>
      </x:c>
      <x:c r="D94" s="48" t="str">
        <x:f>IFERROR(IF(VLOOKUP($A94,Parts!$A$2:$M$200,4,FALSE())=0,"",VLOOKUP($A94,Parts!$A$2:$M$200,4,FALSE())),"")</x:f>
        <x:v>5,1 kΩ, 1 %, 250 mW</x:v>
      </x:c>
      <x:c r="E94" s="48" t="str">
        <x:f>IFERROR(IF(VLOOKUP($A94,Parts!$A$2:$M$200,5,FALSE())=0,"",VLOOKUP($A94,Parts!$A$2:$M$200,5,FALSE())),"")</x:f>
        <x:v>Resistor_SMD:R_1206_3216Metric_Pad1.30x1.75mm_HandSolder</x:v>
      </x:c>
      <x:c r="F94" t="str">
        <x:f>IFERROR(IF(VLOOKUP($A94,Parts!$A$2:$M$200,6,FALSE())=0,"",VLOOKUP($A94,Parts!$A$2:$M$200,6,FALSE())),"")</x:f>
        <x:v>Vishay Dale</x:v>
      </x:c>
      <x:c r="G94" t="str">
        <x:f>IFERROR(IF(VLOOKUP($A94,Parts!$A$2:$M$200,7,FALSE())=0,"",VLOOKUP($A94,Parts!$A$2:$M$200,7,FALSE())),"")</x:f>
        <x:v>CRCW12065K10FKEA</x:v>
      </x:c>
      <x:c r="H94" s="58" t="s">
        <x:v>836</x:v>
      </x:c>
      <x:c r="I94" t="str">
        <x:f>IF(OR($A94="",$H94=""),"",IFERROR(IF(INDEX(Part_Suppliers!$C$2:$C$300,MATCH($A94&amp;"|"&amp;$H94,Part_Suppliers!$K$2:$K$300,0))=0,"",INDEX(Part_Suppliers!$C$2:$C$300,MATCH($A94&amp;"|"&amp;$H94,Part_Suppliers!$K$2:$K$300,0))),""))</x:f>
        <x:v>24AA025E64T-I/OTCT-ND</x:v>
      </x:c>
      <x:c r="J94" s="50">
        <x:v>0</x:v>
      </x:c>
      <x:c r="K94" s="50">
        <x:v>0</x:v>
      </x:c>
      <x:c r="L94" s="48" t="str">
        <x:f>IFERROR(IF(VLOOKUP($A94,Parts!$A$2:$M$200,8,FALSE())=0,"",VLOOKUP($A94,Parts!$A$2:$M$200,8,FALSE())),"")</x:f>
        <x:v>EnvNode Rev 0.2</x:v>
      </x:c>
      <x:c r="M94" s="48" t="str">
        <x:f>IFERROR(IF(VLOOKUP($A94,Parts!$A$2:$M$200,12,FALSE())=0,"",VLOOKUP($A94,Parts!$A$2:$M$200,12,FALSE())),"")</x:f>
        <x:v>Zwei Stück als getrennte Rd-Widerstände: je einer von CC1 bzw. CC2 nach GND; CC1 und CC2 nicht miteinander verbinden.</x:v>
      </x:c>
      <x:c r="N94" s="59"/>
      <x:c r="O94" s="60" t="s">
        <x:v>825</x:v>
      </x:c>
      <x:c r="S94" t="str">
        <x:f>IF(O94="drucken",COUNTIF($O$5:O94,"drucken"),"")</x:f>
      </x:c>
    </x:row>
    <x:row r="95" ht="39.5" customHeight="1">
      <x:c r="A95" t="s">
        <x:v>653</x:v>
      </x:c>
      <x:c r="B95" t="str">
        <x:f>IFERROR(IF(VLOOKUP($A95,Parts!$A$2:$M$200,2,FALSE())=0,"",VLOOKUP($A95,Parts!$A$2:$M$200,2,FALSE())),"")</x:f>
        <x:v>Steckverbinder</x:v>
      </x:c>
      <x:c r="C95" s="48" t="str">
        <x:f>IFERROR(IF(VLOOKUP($A95,Parts!$A$2:$M$200,3,FALSE())=0,"",VLOOKUP($A95,Parts!$A$2:$M$200,3,FALSE())),"")</x:f>
        <x:v>Präzisions-Buchsenleiste 1x8, 2,54 mm, gerade</x:v>
      </x:c>
      <x:c r="D95" s="48" t="str">
        <x:f>IFERROR(IF(VLOOKUP($A95,Parts!$A$2:$M$200,4,FALSE())=0,"",VLOOKUP($A95,Parts!$A$2:$M$200,4,FALSE())),"")</x:f>
        <x:v>1x8, 2,54 mm, THT, gerade, Präzisionskontakte, 3 A / 150 V</x:v>
      </x:c>
      <x:c r="E95" s="48" t="str">
        <x:f>IFERROR(IF(VLOOKUP($A95,Parts!$A$2:$M$200,5,FALSE())=0,"",VLOOKUP($A95,Parts!$A$2:$M$200,5,FALSE())),"")</x:f>
        <x:v>Connector_PinSocket_2.54mm:PinSocket_1x08_P2.54mm_Vertical</x:v>
      </x:c>
      <x:c r="F95" t="str">
        <x:f>IFERROR(IF(VLOOKUP($A95,Parts!$A$2:$M$200,6,FALSE())=0,"",VLOOKUP($A95,Parts!$A$2:$M$200,6,FALSE())),"")</x:f>
        <x:v>Binder MPE</x:v>
      </x:c>
      <x:c r="G95" t="str">
        <x:f>IFERROR(IF(VLOOKUP($A95,Parts!$A$2:$M$200,7,FALSE())=0,"",VLOOKUP($A95,Parts!$A$2:$M$200,7,FALSE())),"")</x:f>
        <x:v>115-1-008-1-0-MTF-XS0</x:v>
      </x:c>
      <x:c r="H95" s="58" t="s">
        <x:v>829</x:v>
      </x:c>
      <x:c r="I95" t="str">
        <x:f>IF(OR($A95="",$H95=""),"",IFERROR(IF(INDEX(Part_Suppliers!$C$2:$C$300,MATCH($A95&amp;"|"&amp;$H95,Part_Suppliers!$K$2:$K$300,0))=0,"",INDEX(Part_Suppliers!$C$2:$C$300,MATCH($A95&amp;"|"&amp;$H95,Part_Suppliers!$K$2:$K$300,0))),""))</x:f>
        <x:v>BKL 10120946</x:v>
      </x:c>
      <x:c r="J95" s="50">
        <x:v>4</x:v>
      </x:c>
      <x:c r="K95" s="50">
        <x:v>0</x:v>
      </x:c>
      <x:c r="L95" s="48" t="str">
        <x:f>IFERROR(IF(VLOOKUP($A95,Parts!$A$2:$M$200,8,FALSE())=0,"",VLOOKUP($A95,Parts!$A$2:$M$200,8,FALSE())),"")</x:f>
        <x:v>Bestand/Werkstatt</x:v>
      </x:c>
      <x:c r="M95" s="48" t="str">
        <x:f>IFERROR(IF(VLOOKUP($A95,Parts!$A$2:$M$200,12,FALSE())=0,"",VLOOKUP($A95,Parts!$A$2:$M$200,12,FALSE())),"")</x:f>
        <x:v>Gerade THT-Präzisionsbuchsenleiste mit gedrehten Kontakten; Höhe 7 mm, UL 94V-0, Temperaturbereich −55 bis +125 °C. Derzeit keinem Kit oder KiCad-BOM zugeordnet.</x:v>
      </x:c>
      <x:c r="N95" s="59"/>
      <x:c r="O95" s="60" t="s">
        <x:v>835</x:v>
      </x:c>
      <x:c r="S95" t="n">
        <x:f>IF(O95="drucken",COUNTIF($O$5:O95,"drucken"),"")</x:f>
        <x:v>2</x:v>
      </x:c>
    </x:row>
    <x:row r="96" ht="39.5" customHeight="1">
      <x:c r="A96" t="s">
        <x:v>661</x:v>
      </x:c>
      <x:c r="B96" t="str">
        <x:f>IFERROR(IF(VLOOKUP($A96,Parts!$A$2:$M$200,2,FALSE())=0,"",VLOOKUP($A96,Parts!$A$2:$M$200,2,FALSE())),"")</x:f>
        <x:v>MOSFET</x:v>
      </x:c>
      <x:c r="C96" s="48" t="str">
        <x:f>IFERROR(IF(VLOOKUP($A96,Parts!$A$2:$M$200,3,FALSE())=0,"",VLOOKUP($A96,Parts!$A$2:$M$200,3,FALSE())),"")</x:f>
        <x:v>Dual-MOSFET N-/P-Kanal, SO-8</x:v>
      </x:c>
      <x:c r="D96" s="48" t="str">
        <x:f>IFERROR(IF(VLOOKUP($A96,Parts!$A$2:$M$200,4,FALSE())=0,"",VLOOKUP($A96,Parts!$A$2:$M$200,4,FALSE())),"")</x:f>
        <x:v>N-/P-Kanal, ±30 V, 1,4 W</x:v>
      </x:c>
      <x:c r="E96" s="48" t="str">
        <x:f>IFERROR(IF(VLOOKUP($A96,Parts!$A$2:$M$200,5,FALSE())=0,"",VLOOKUP($A96,Parts!$A$2:$M$200,5,FALSE())),"")</x:f>
        <x:v>Package_SO:SOIC-8_3.9x4.9mm_P1.27mm</x:v>
      </x:c>
      <x:c r="F96" t="str">
        <x:f>IFERROR(IF(VLOOKUP($A96,Parts!$A$2:$M$200,6,FALSE())=0,"",VLOOKUP($A96,Parts!$A$2:$M$200,6,FALSE())),"")</x:f>
        <x:v>Infineon</x:v>
      </x:c>
      <x:c r="G96" t="str">
        <x:f>IFERROR(IF(VLOOKUP($A96,Parts!$A$2:$M$200,7,FALSE())=0,"",VLOOKUP($A96,Parts!$A$2:$M$200,7,FALSE())),"")</x:f>
        <x:v>IRF7309PBF</x:v>
      </x:c>
      <x:c r="H96" s="58" t="s">
        <x:v>829</x:v>
      </x:c>
      <x:c r="I96" t="str">
        <x:f>IF(OR($A96="",$H96=""),"",IFERROR(IF(INDEX(Part_Suppliers!$C$2:$C$300,MATCH($A96&amp;"|"&amp;$H96,Part_Suppliers!$K$2:$K$300,0))=0,"",INDEX(Part_Suppliers!$C$2:$C$300,MATCH($A96&amp;"|"&amp;$H96,Part_Suppliers!$K$2:$K$300,0))),""))</x:f>
        <x:v>BKL 10120946</x:v>
      </x:c>
      <x:c r="J96" s="50">
        <x:v>16</x:v>
      </x:c>
      <x:c r="K96" s="50">
        <x:v>0</x:v>
      </x:c>
      <x:c r="L96" s="48" t="str">
        <x:f>IFERROR(IF(VLOOKUP($A96,Parts!$A$2:$M$200,8,FALSE())=0,"",VLOOKUP($A96,Parts!$A$2:$M$200,8,FALSE())),"")</x:f>
        <x:v>Bestand/Werkstatt</x:v>
      </x:c>
      <x:c r="M96" s="48" t="str">
        <x:f>IFERROR(IF(VLOOKUP($A96,Parts!$A$2:$M$200,12,FALSE())=0,"",VLOOKUP($A96,Parts!$A$2:$M$200,12,FALSE())),"")</x:f>
        <x:v>Komplementäres N-/P-Kanal-MOSFET-Paar im SO-8-Gehäuse; derzeit keinem Kit oder KiCad-BOM zugeordnet.</x:v>
      </x:c>
      <x:c r="N96" s="59"/>
      <x:c r="O96" s="60" t="s">
        <x:v>835</x:v>
      </x:c>
      <x:c r="S96" t="n">
        <x:f>IF(O96="drucken",COUNTIF($O$5:O96,"drucken"),"")</x:f>
        <x:v>3</x:v>
      </x:c>
    </x:row>
    <x:row r="97" ht="39.5" customHeight="1">
      <x:c r="A97" t="s">
        <x:v>667</x:v>
      </x:c>
      <x:c r="B97" t="str">
        <x:f>IFERROR(IF(VLOOKUP($A97,Parts!$A$2:$M$200,2,FALSE())=0,"",VLOOKUP($A97,Parts!$A$2:$M$200,2,FALSE())),"")</x:f>
        <x:v>Widerstand</x:v>
      </x:c>
      <x:c r="C97" s="48" t="str">
        <x:f>IFERROR(IF(VLOOKUP($A97,Parts!$A$2:$M$200,3,FALSE())=0,"",VLOOKUP($A97,Parts!$A$2:$M$200,3,FALSE())),"")</x:f>
        <x:v>SMD-Widerstand 100 kOhm, 5 %, 1206</x:v>
      </x:c>
      <x:c r="D97" s="48" t="str">
        <x:f>IFERROR(IF(VLOOKUP($A97,Parts!$A$2:$M$200,4,FALSE())=0,"",VLOOKUP($A97,Parts!$A$2:$M$200,4,FALSE())),"")</x:f>
        <x:v>100 kΩ, 5 %, 250 mW, 200 V, ±100 ppm/K</x:v>
      </x:c>
      <x:c r="E97" s="48" t="str">
        <x:f>IFERROR(IF(VLOOKUP($A97,Parts!$A$2:$M$200,5,FALSE())=0,"",VLOOKUP($A97,Parts!$A$2:$M$200,5,FALSE())),"")</x:f>
        <x:v>Resistor_SMD:R_1206_3216Metric_Pad1.30x1.75mm_HandSolder</x:v>
      </x:c>
      <x:c r="F97" t="str">
        <x:f>IFERROR(IF(VLOOKUP($A97,Parts!$A$2:$M$200,6,FALSE())=0,"",VLOOKUP($A97,Parts!$A$2:$M$200,6,FALSE())),"")</x:f>
        <x:v>Yageo</x:v>
      </x:c>
      <x:c r="G97" t="str">
        <x:f>IFERROR(IF(VLOOKUP($A97,Parts!$A$2:$M$200,7,FALSE())=0,"",VLOOKUP($A97,Parts!$A$2:$M$200,7,FALSE())),"")</x:f>
        <x:v>RC1206JR-07100KL</x:v>
      </x:c>
      <x:c r="H97" s="58" t="s">
        <x:v>829</x:v>
      </x:c>
      <x:c r="I97" t="str">
        <x:f>IF(OR($A97="",$H97=""),"",IFERROR(IF(INDEX(Part_Suppliers!$C$2:$C$300,MATCH($A97&amp;"|"&amp;$H97,Part_Suppliers!$K$2:$K$300,0))=0,"",INDEX(Part_Suppliers!$C$2:$C$300,MATCH($A97&amp;"|"&amp;$H97,Part_Suppliers!$K$2:$K$300,0))),""))</x:f>
        <x:v>BKL 10120946</x:v>
      </x:c>
      <x:c r="J97" s="50">
        <x:v>16</x:v>
      </x:c>
      <x:c r="K97" s="50">
        <x:v>0</x:v>
      </x:c>
      <x:c r="L97" s="48" t="str">
        <x:f>IFERROR(IF(VLOOKUP($A97,Parts!$A$2:$M$200,8,FALSE())=0,"",VLOOKUP($A97,Parts!$A$2:$M$200,8,FALSE())),"")</x:f>
        <x:v>Bestand/Werkstatt</x:v>
      </x:c>
      <x:c r="M97" s="48" t="str">
        <x:f>IFERROR(IF(VLOOKUP($A97,Parts!$A$2:$M$200,12,FALSE())=0,"",VLOOKUP($A97,Parts!$A$2:$M$200,12,FALSE())),"")</x:f>
        <x:v>Nicht mit ENP-00016 zusammenführen: Dieser Artikel hat 5 % Toleranz; ENP-00016 hat 0,1 %. Derzeit keinem Kit oder KiCad-BOM zugeordnet.</x:v>
      </x:c>
      <x:c r="N97" s="59"/>
      <x:c r="O97" s="60" t="s">
        <x:v>835</x:v>
      </x:c>
      <x:c r="S97" t="n">
        <x:f>IF(O97="drucken",COUNTIF($O$5:O97,"drucken"),"")</x:f>
        <x:v>4</x:v>
      </x:c>
    </x:row>
    <x:row r="98" ht="39.5" customHeight="1">
      <x:c r="A98" t="s">
        <x:v>672</x:v>
      </x:c>
      <x:c r="B98" t="str">
        <x:f>IFERROR(IF(VLOOKUP($A98,Parts!$A$2:$M$200,2,FALSE())=0,"",VLOOKUP($A98,Parts!$A$2:$M$200,2,FALSE())),"")</x:f>
        <x:v>Widerstand</x:v>
      </x:c>
      <x:c r="C98" s="48" t="str">
        <x:f>IFERROR(IF(VLOOKUP($A98,Parts!$A$2:$M$200,3,FALSE())=0,"",VLOOKUP($A98,Parts!$A$2:$M$200,3,FALSE())),"")</x:f>
        <x:v>SMD-Widerstand 10 kOhm, 5 %, 1206</x:v>
      </x:c>
      <x:c r="D98" s="48" t="str">
        <x:f>IFERROR(IF(VLOOKUP($A98,Parts!$A$2:$M$200,4,FALSE())=0,"",VLOOKUP($A98,Parts!$A$2:$M$200,4,FALSE())),"")</x:f>
        <x:v>10 kΩ, 5 %, 250 mW, 200 V, ±100 ppm/K</x:v>
      </x:c>
      <x:c r="E98" s="48" t="str">
        <x:f>IFERROR(IF(VLOOKUP($A98,Parts!$A$2:$M$200,5,FALSE())=0,"",VLOOKUP($A98,Parts!$A$2:$M$200,5,FALSE())),"")</x:f>
        <x:v>Resistor_SMD:R_1206_3216Metric_Pad1.30x1.75mm_HandSolder</x:v>
      </x:c>
      <x:c r="F98" t="str">
        <x:f>IFERROR(IF(VLOOKUP($A98,Parts!$A$2:$M$200,6,FALSE())=0,"",VLOOKUP($A98,Parts!$A$2:$M$200,6,FALSE())),"")</x:f>
        <x:v>Yageo</x:v>
      </x:c>
      <x:c r="G98" t="str">
        <x:f>IFERROR(IF(VLOOKUP($A98,Parts!$A$2:$M$200,7,FALSE())=0,"",VLOOKUP($A98,Parts!$A$2:$M$200,7,FALSE())),"")</x:f>
        <x:v>RC1206JR-0710KL</x:v>
      </x:c>
      <x:c r="H98" s="58" t="s">
        <x:v>829</x:v>
      </x:c>
      <x:c r="I98" t="str">
        <x:f>IF(OR($A98="",$H98=""),"",IFERROR(IF(INDEX(Part_Suppliers!$C$2:$C$300,MATCH($A98&amp;"|"&amp;$H98,Part_Suppliers!$K$2:$K$300,0))=0,"",INDEX(Part_Suppliers!$C$2:$C$300,MATCH($A98&amp;"|"&amp;$H98,Part_Suppliers!$K$2:$K$300,0))),""))</x:f>
        <x:v>BKL 10120946</x:v>
      </x:c>
      <x:c r="J98" s="50">
        <x:v>32</x:v>
      </x:c>
      <x:c r="K98" s="50">
        <x:v>0</x:v>
      </x:c>
      <x:c r="L98" s="48" t="str">
        <x:f>IFERROR(IF(VLOOKUP($A98,Parts!$A$2:$M$200,8,FALSE())=0,"",VLOOKUP($A98,Parts!$A$2:$M$200,8,FALSE())),"")</x:f>
        <x:v>Bestand/Werkstatt</x:v>
      </x:c>
      <x:c r="M98" s="48" t="str">
        <x:f>IFERROR(IF(VLOOKUP($A98,Parts!$A$2:$M$200,12,FALSE())=0,"",VLOOKUP($A98,Parts!$A$2:$M$200,12,FALSE())),"")</x:f>
        <x:v>Nicht mit ENP-00018 zusammenführen: Dieser Artikel hat 5 % Toleranz; ENP-00018 hat 0,1 %. Derzeit keinem Kit oder KiCad-BOM zugeordnet.</x:v>
      </x:c>
      <x:c r="N98" s="59"/>
      <x:c r="O98" s="60" t="s">
        <x:v>835</x:v>
      </x:c>
      <x:c r="S98" t="n">
        <x:f>IF(O98="drucken",COUNTIF($O$5:O98,"drucken"),"")</x:f>
        <x:v>5</x:v>
      </x:c>
    </x:row>
    <x:row r="99" ht="39.5" customHeight="1">
      <x:c r="A99" t="s">
        <x:v>677</x:v>
      </x:c>
      <x:c r="B99" t="str">
        <x:f>IFERROR(IF(VLOOKUP($A99,Parts!$A$2:$M$200,2,FALSE())=0,"",VLOOKUP($A99,Parts!$A$2:$M$200,2,FALSE())),"")</x:f>
        <x:v>IC</x:v>
      </x:c>
      <x:c r="C99" s="48" t="str">
        <x:f>IFERROR(IF(VLOOKUP($A99,Parts!$A$2:$M$200,3,FALSE())=0,"",VLOOKUP($A99,Parts!$A$2:$M$200,3,FALSE())),"")</x:f>
        <x:v>Hex-Inverter mit Schmitt-Trigger, SO-14</x:v>
      </x:c>
      <x:c r="D99" s="48" t="str">
        <x:f>IFERROR(IF(VLOOKUP($A99,Parts!$A$2:$M$200,4,FALSE())=0,"",VLOOKUP($A99,Parts!$A$2:$M$200,4,FALSE())),"")</x:f>
        <x:v>4000B, 6-fach, 3–15 V, SO-14</x:v>
      </x:c>
      <x:c r="E99" s="48" t="str">
        <x:f>IFERROR(IF(VLOOKUP($A99,Parts!$A$2:$M$200,5,FALSE())=0,"",VLOOKUP($A99,Parts!$A$2:$M$200,5,FALSE())),"")</x:f>
        <x:v>Package_SO:SOIC-14_3.9x8.7mm_P1.27mm</x:v>
      </x:c>
      <x:c r="F99" t="str">
        <x:f>IFERROR(IF(VLOOKUP($A99,Parts!$A$2:$M$200,6,FALSE())=0,"",VLOOKUP($A99,Parts!$A$2:$M$200,6,FALSE())),"")</x:f>
        <x:v>FREI</x:v>
      </x:c>
      <x:c r="G99" t="str">
        <x:f>IFERROR(IF(VLOOKUP($A99,Parts!$A$2:$M$200,7,FALSE())=0,"",VLOOKUP($A99,Parts!$A$2:$M$200,7,FALSE())),"")</x:f>
      </x:c>
      <x:c r="H99" s="58" t="s">
        <x:v>829</x:v>
      </x:c>
      <x:c r="I99" t="str">
        <x:f>IF(OR($A99="",$H99=""),"",IFERROR(IF(INDEX(Part_Suppliers!$C$2:$C$300,MATCH($A99&amp;"|"&amp;$H99,Part_Suppliers!$K$2:$K$300,0))=0,"",INDEX(Part_Suppliers!$C$2:$C$300,MATCH($A99&amp;"|"&amp;$H99,Part_Suppliers!$K$2:$K$300,0))),""))</x:f>
        <x:v>BKL 10120946</x:v>
      </x:c>
      <x:c r="J99" s="50">
        <x:v>2</x:v>
      </x:c>
      <x:c r="K99" s="50">
        <x:v>0</x:v>
      </x:c>
      <x:c r="L99" s="48" t="str">
        <x:f>IFERROR(IF(VLOOKUP($A99,Parts!$A$2:$M$200,8,FALSE())=0,"",VLOOKUP($A99,Parts!$A$2:$M$200,8,FALSE())),"")</x:f>
        <x:v>Bestand/Werkstatt</x:v>
      </x:c>
      <x:c r="M99" s="48" t="str">
        <x:f>IFERROR(IF(VLOOKUP($A99,Parts!$A$2:$M$200,12,FALSE())=0,"",VLOOKUP($A99,Parts!$A$2:$M$200,12,FALSE())),"")</x:f>
        <x:v>Reichelt nennt keinen konkreten Hersteller und keine MPN; funktional als HEF40106/HCF40106/CD40106 beschrieben. Vor BOM-Zuordnung die tatsächliche Gehäusebeschriftung prüfen.</x:v>
      </x:c>
      <x:c r="N99" s="59"/>
      <x:c r="O99" s="60" t="s">
        <x:v>835</x:v>
      </x:c>
      <x:c r="S99" t="n">
        <x:f>IF(O99="drucken",COUNTIF($O$5:O99,"drucken"),"")</x:f>
        <x:v>6</x:v>
      </x:c>
    </x:row>
    <x:row r="100" ht="39.5" customHeight="1">
      <x:c r="A100" t="s">
        <x:v>684</x:v>
      </x:c>
      <x:c r="B100" t="str">
        <x:f>IFERROR(IF(VLOOKUP($A100,Parts!$A$2:$M$200,2,FALSE())=0,"",VLOOKUP($A100,Parts!$A$2:$M$200,2,FALSE())),"")</x:f>
        <x:v>Kondensator</x:v>
      </x:c>
      <x:c r="C100" s="48" t="str">
        <x:f>IFERROR(IF(VLOOKUP($A100,Parts!$A$2:$M$200,3,FALSE())=0,"",VLOOKUP($A100,Parts!$A$2:$M$200,3,FALSE())),"")</x:f>
        <x:v>Elektrolytkondensator 220 µF SMD, Low ESR</x:v>
      </x:c>
      <x:c r="D100" s="48" t="str">
        <x:f>IFERROR(IF(VLOOKUP($A100,Parts!$A$2:$M$200,4,FALSE())=0,"",VLOOKUP($A100,Parts!$A$2:$M$200,4,FALSE())),"")</x:f>
        <x:v>220 µF, ±20 %, 16 V, 105 °C, 2000 h, ESR 160 mΩ</x:v>
      </x:c>
      <x:c r="E100" s="48" t="str">
        <x:f>IFERROR(IF(VLOOKUP($A100,Parts!$A$2:$M$200,5,FALSE())=0,"",VLOOKUP($A100,Parts!$A$2:$M$200,5,FALSE())),"")</x:f>
        <x:v>Capacitor_SMD:CP_Elec_6.3x7.7</x:v>
      </x:c>
      <x:c r="F100" t="str">
        <x:f>IFERROR(IF(VLOOKUP($A100,Parts!$A$2:$M$200,6,FALSE())=0,"",VLOOKUP($A100,Parts!$A$2:$M$200,6,FALSE())),"")</x:f>
        <x:v>Panasonic</x:v>
      </x:c>
      <x:c r="G100" t="str">
        <x:f>IFERROR(IF(VLOOKUP($A100,Parts!$A$2:$M$200,7,FALSE())=0,"",VLOOKUP($A100,Parts!$A$2:$M$200,7,FALSE())),"")</x:f>
        <x:v>EEEFPC221XAP</x:v>
      </x:c>
      <x:c r="H100" s="58" t="s">
        <x:v>829</x:v>
      </x:c>
      <x:c r="I100" t="str">
        <x:f>IF(OR($A100="",$H100=""),"",IFERROR(IF(INDEX(Part_Suppliers!$C$2:$C$300,MATCH($A100&amp;"|"&amp;$H100,Part_Suppliers!$K$2:$K$300,0))=0,"",INDEX(Part_Suppliers!$C$2:$C$300,MATCH($A100&amp;"|"&amp;$H100,Part_Suppliers!$K$2:$K$300,0))),""))</x:f>
        <x:v>BKL 10120946</x:v>
      </x:c>
      <x:c r="J100" s="50">
        <x:v>1</x:v>
      </x:c>
      <x:c r="K100" s="50">
        <x:v>0</x:v>
      </x:c>
      <x:c r="L100" s="48" t="str">
        <x:f>IFERROR(IF(VLOOKUP($A100,Parts!$A$2:$M$200,8,FALSE())=0,"",VLOOKUP($A100,Parts!$A$2:$M$200,8,FALSE())),"")</x:f>
        <x:v>Bestand/Werkstatt</x:v>
      </x:c>
      <x:c r="M100" s="48" t="str">
        <x:f>IFERROR(IF(VLOOKUP($A100,Parts!$A$2:$M$200,12,FALSE())=0,"",VLOOKUP($A100,Parts!$A$2:$M$200,12,FALSE())),"")</x:f>
        <x:v>Panasonic Serie V-FP; Ø 6,3 × 7,7 mm, Ripple-Strom 600 mA. Polarität beachten; derzeit keinem Kit oder KiCad-BOM zugeordnet.</x:v>
      </x:c>
      <x:c r="N100" s="59"/>
      <x:c r="O100" s="60" t="s">
        <x:v>835</x:v>
      </x:c>
      <x:c r="S100" t="n">
        <x:f>IF(O100="drucken",COUNTIF($O$5:O100,"drucken"),"")</x:f>
        <x:v>7</x:v>
      </x:c>
    </x:row>
    <x:row r="101" ht="39.5" customHeight="1">
      <x:c r="A101" t="s">
        <x:v>689</x:v>
      </x:c>
      <x:c r="B101" t="str">
        <x:f>IFERROR(IF(VLOOKUP($A101,Parts!$A$2:$M$200,2,FALSE())=0,"",VLOOKUP($A101,Parts!$A$2:$M$200,2,FALSE())),"")</x:f>
        <x:v>Kondensator</x:v>
      </x:c>
      <x:c r="C101" s="48" t="str">
        <x:f>IFERROR(IF(VLOOKUP($A101,Parts!$A$2:$M$200,3,FALSE())=0,"",VLOOKUP($A101,Parts!$A$2:$M$200,3,FALSE())),"")</x:f>
        <x:v>Elektrolytkondensator 470 µF SMD, Low ESR</x:v>
      </x:c>
      <x:c r="D101" s="48" t="str">
        <x:f>IFERROR(IF(VLOOKUP($A101,Parts!$A$2:$M$200,4,FALSE())=0,"",VLOOKUP($A101,Parts!$A$2:$M$200,4,FALSE())),"")</x:f>
        <x:v>470 µF, ±20 %, 16 V, 105 °C, 5000 h, ESR 160 mΩ</x:v>
      </x:c>
      <x:c r="E101" s="48" t="str">
        <x:f>IFERROR(IF(VLOOKUP($A101,Parts!$A$2:$M$200,5,FALSE())=0,"",VLOOKUP($A101,Parts!$A$2:$M$200,5,FALSE())),"")</x:f>
        <x:v>Capacitor_SMD:CP_Elec_8x10.2</x:v>
      </x:c>
      <x:c r="F101" t="str">
        <x:f>IFERROR(IF(VLOOKUP($A101,Parts!$A$2:$M$200,6,FALSE())=0,"",VLOOKUP($A101,Parts!$A$2:$M$200,6,FALSE())),"")</x:f>
        <x:v>Europe Chemi-Con</x:v>
      </x:c>
      <x:c r="G101" t="str">
        <x:f>IFERROR(IF(VLOOKUP($A101,Parts!$A$2:$M$200,7,FALSE())=0,"",VLOOKUP($A101,Parts!$A$2:$M$200,7,FALSE())),"")</x:f>
        <x:v>EMZL160ARA471MHA0G</x:v>
      </x:c>
      <x:c r="H101" s="58" t="s">
        <x:v>829</x:v>
      </x:c>
      <x:c r="I101" t="str">
        <x:f>IF(OR($A101="",$H101=""),"",IFERROR(IF(INDEX(Part_Suppliers!$C$2:$C$300,MATCH($A101&amp;"|"&amp;$H101,Part_Suppliers!$K$2:$K$300,0))=0,"",INDEX(Part_Suppliers!$C$2:$C$300,MATCH($A101&amp;"|"&amp;$H101,Part_Suppliers!$K$2:$K$300,0))),""))</x:f>
        <x:v>BKL 10120946</x:v>
      </x:c>
      <x:c r="J101" s="50">
        <x:v>1</x:v>
      </x:c>
      <x:c r="K101" s="50">
        <x:v>0</x:v>
      </x:c>
      <x:c r="L101" s="48" t="str">
        <x:f>IFERROR(IF(VLOOKUP($A101,Parts!$A$2:$M$200,8,FALSE())=0,"",VLOOKUP($A101,Parts!$A$2:$M$200,8,FALSE())),"")</x:f>
        <x:v>Bestand/Werkstatt</x:v>
      </x:c>
      <x:c r="M101" s="48" t="str">
        <x:f>IFERROR(IF(VLOOKUP($A101,Parts!$A$2:$M$200,12,FALSE())=0,"",VLOOKUP($A101,Parts!$A$2:$M$200,12,FALSE())),"")</x:f>
        <x:v>Europe Chemi-Con Serie MZL; Ø 8 × 10 mm, Ripple-Strom 600 mA. Polarität beachten; derzeit keinem Kit oder KiCad-BOM zugeordnet.</x:v>
      </x:c>
      <x:c r="N101" s="59"/>
      <x:c r="O101" s="60" t="s">
        <x:v>835</x:v>
      </x:c>
      <x:c r="S101" t="n">
        <x:f>IF(O101="drucken",COUNTIF($O$5:O101,"drucken"),"")</x:f>
        <x:v>8</x:v>
      </x:c>
    </x:row>
    <x:row r="102" ht="39.5" customHeight="1">
      <x:c r="A102" t="s">
        <x:v>696</x:v>
      </x:c>
      <x:c r="B102" t="str">
        <x:f>IFERROR(IF(VLOOKUP($A102,Parts!$A$2:$M$200,2,FALSE())=0,"",VLOOKUP($A102,Parts!$A$2:$M$200,2,FALSE())),"")</x:f>
        <x:v>Steckverbinder</x:v>
      </x:c>
      <x:c r="C102" s="48" t="str">
        <x:f>IFERROR(IF(VLOOKUP($A102,Parts!$A$2:$M$200,3,FALSE())=0,"",VLOOKUP($A102,Parts!$A$2:$M$200,3,FALSE())),"")</x:f>
        <x:v>JST-XH Stiftleiste 1x2, abgewinkelt</x:v>
      </x:c>
      <x:c r="D102" s="48" t="str">
        <x:f>IFERROR(IF(VLOOKUP($A102,Parts!$A$2:$M$200,4,FALSE())=0,"",VLOOKUP($A102,Parts!$A$2:$M$200,4,FALSE())),"")</x:f>
        <x:v>1x2, 2,50 mm, THT, 90°, 250 V / 3 A</x:v>
      </x:c>
      <x:c r="E102" s="48" t="str">
        <x:f>IFERROR(IF(VLOOKUP($A102,Parts!$A$2:$M$200,5,FALSE())=0,"",VLOOKUP($A102,Parts!$A$2:$M$200,5,FALSE())),"")</x:f>
        <x:v>Connector_JST:JST_XH_S2B-XH-A-1_1x02_P2.50mm_Horizontal</x:v>
      </x:c>
      <x:c r="F102" t="str">
        <x:f>IFERROR(IF(VLOOKUP($A102,Parts!$A$2:$M$200,6,FALSE())=0,"",VLOOKUP($A102,Parts!$A$2:$M$200,6,FALSE())),"")</x:f>
        <x:v>JST</x:v>
      </x:c>
      <x:c r="G102" t="str">
        <x:f>IFERROR(IF(VLOOKUP($A102,Parts!$A$2:$M$200,7,FALSE())=0,"",VLOOKUP($A102,Parts!$A$2:$M$200,7,FALSE())),"")</x:f>
        <x:v>S2B-XH-A</x:v>
      </x:c>
      <x:c r="H102" s="58" t="s">
        <x:v>829</x:v>
      </x:c>
      <x:c r="I102" t="str">
        <x:f>IF(OR($A102="",$H102=""),"",IFERROR(IF(INDEX(Part_Suppliers!$C$2:$C$300,MATCH($A102&amp;"|"&amp;$H102,Part_Suppliers!$K$2:$K$300,0))=0,"",INDEX(Part_Suppliers!$C$2:$C$300,MATCH($A102&amp;"|"&amp;$H102,Part_Suppliers!$K$2:$K$300,0))),""))</x:f>
        <x:v>BKL 10120946</x:v>
      </x:c>
      <x:c r="J102" s="50">
        <x:v>4</x:v>
      </x:c>
      <x:c r="K102" s="50">
        <x:v>0</x:v>
      </x:c>
      <x:c r="L102" s="48" t="str">
        <x:f>IFERROR(IF(VLOOKUP($A102,Parts!$A$2:$M$200,8,FALSE())=0,"",VLOOKUP($A102,Parts!$A$2:$M$200,8,FALSE())),"")</x:f>
        <x:v>Bestand/Werkstatt</x:v>
      </x:c>
      <x:c r="M102" s="48" t="str">
        <x:f>IFERROR(IF(VLOOKUP($A102,Parts!$A$2:$M$200,12,FALSE())=0,"",VLOOKUP($A102,Parts!$A$2:$M$200,12,FALSE())),"")</x:f>
        <x:v>Abgewinkelte Print-Stiftleiste der JST-XH-Serie; Rastermaß 2,50 mm, nicht 2,54 mm. Derzeit keinem Kit oder KiCad-BOM zugeordnet.</x:v>
      </x:c>
      <x:c r="N102" s="59"/>
      <x:c r="O102" s="60" t="s">
        <x:v>835</x:v>
      </x:c>
      <x:c r="S102" t="n">
        <x:f>IF(O102="drucken",COUNTIF($O$5:O102,"drucken"),"")</x:f>
        <x:v>9</x:v>
      </x:c>
    </x:row>
    <x:row r="103" ht="39.5" customHeight="1">
      <x:c r="A103" t="s">
        <x:v>702</x:v>
      </x:c>
      <x:c r="B103" t="str">
        <x:f>IFERROR(IF(VLOOKUP($A103,Parts!$A$2:$M$200,2,FALSE())=0,"",VLOOKUP($A103,Parts!$A$2:$M$200,2,FALSE())),"")</x:f>
        <x:v>Widerstand</x:v>
      </x:c>
      <x:c r="C103" s="48" t="str">
        <x:f>IFERROR(IF(VLOOKUP($A103,Parts!$A$2:$M$200,3,FALSE())=0,"",VLOOKUP($A103,Parts!$A$2:$M$200,3,FALSE())),"")</x:f>
        <x:v>SMD-Widerstand 1 kOhm, 1 %, 1206</x:v>
      </x:c>
      <x:c r="D103" s="48" t="str">
        <x:f>IFERROR(IF(VLOOKUP($A103,Parts!$A$2:$M$200,4,FALSE())=0,"",VLOOKUP($A103,Parts!$A$2:$M$200,4,FALSE())),"")</x:f>
        <x:v>1 kΩ, 1 %, 250 mW, 200 V, ±100 ppm/K</x:v>
      </x:c>
      <x:c r="E103" s="48" t="str">
        <x:f>IFERROR(IF(VLOOKUP($A103,Parts!$A$2:$M$200,5,FALSE())=0,"",VLOOKUP($A103,Parts!$A$2:$M$200,5,FALSE())),"")</x:f>
        <x:v>Resistor_SMD:R_1206_3216Metric_Pad1.30x1.75mm_HandSolder</x:v>
      </x:c>
      <x:c r="F103" t="str">
        <x:f>IFERROR(IF(VLOOKUP($A103,Parts!$A$2:$M$200,6,FALSE())=0,"",VLOOKUP($A103,Parts!$A$2:$M$200,6,FALSE())),"")</x:f>
        <x:v>Walsin</x:v>
      </x:c>
      <x:c r="G103" t="str">
        <x:f>IFERROR(IF(VLOOKUP($A103,Parts!$A$2:$M$200,7,FALSE())=0,"",VLOOKUP($A103,Parts!$A$2:$M$200,7,FALSE())),"")</x:f>
        <x:v>WR12X1001FTL</x:v>
      </x:c>
      <x:c r="H103" s="58" t="s">
        <x:v>829</x:v>
      </x:c>
      <x:c r="I103" t="str">
        <x:f>IF(OR($A103="",$H103=""),"",IFERROR(IF(INDEX(Part_Suppliers!$C$2:$C$300,MATCH($A103&amp;"|"&amp;$H103,Part_Suppliers!$K$2:$K$300,0))=0,"",INDEX(Part_Suppliers!$C$2:$C$300,MATCH($A103&amp;"|"&amp;$H103,Part_Suppliers!$K$2:$K$300,0))),""))</x:f>
        <x:v>BKL 10120946</x:v>
      </x:c>
      <x:c r="J103" s="50">
        <x:v>9</x:v>
      </x:c>
      <x:c r="K103" s="50">
        <x:v>0</x:v>
      </x:c>
      <x:c r="L103" s="48" t="str">
        <x:f>IFERROR(IF(VLOOKUP($A103,Parts!$A$2:$M$200,8,FALSE())=0,"",VLOOKUP($A103,Parts!$A$2:$M$200,8,FALSE())),"")</x:f>
        <x:v>Bestand/Werkstatt</x:v>
      </x:c>
      <x:c r="M103" s="48" t="str">
        <x:f>IFERROR(IF(VLOOKUP($A103,Parts!$A$2:$M$200,12,FALSE())=0,"",VLOOKUP($A103,Parts!$A$2:$M$200,12,FALSE())),"")</x:f>
        <x:v>Nicht mit ENP-00036 zusammenführen: gleicher Nennwert und gleiche Toleranz, aber anderer Hersteller und andere MPN. Derzeit keinem Kit oder KiCad-BOM zugeordnet.</x:v>
      </x:c>
      <x:c r="N103" s="59"/>
      <x:c r="O103" s="60" t="s">
        <x:v>835</x:v>
      </x:c>
      <x:c r="S103" t="n">
        <x:f>IF(O103="drucken",COUNTIF($O$5:O103,"drucken"),"")</x:f>
        <x:v>10</x:v>
      </x:c>
    </x:row>
    <x:row r="104" ht="39.5" customHeight="1">
      <x:c r="A104" t="s">
        <x:v>707</x:v>
      </x:c>
      <x:c r="B104" t="str">
        <x:f>IFERROR(IF(VLOOKUP($A104,Parts!$A$2:$M$200,2,FALSE())=0,"",VLOOKUP($A104,Parts!$A$2:$M$200,2,FALSE())),"")</x:f>
        <x:v>LED</x:v>
      </x:c>
      <x:c r="C104" s="48" t="str">
        <x:f>IFERROR(IF(VLOOKUP($A104,Parts!$A$2:$M$200,3,FALSE())=0,"",VLOOKUP($A104,Parts!$A$2:$M$200,3,FALSE())),"")</x:f>
        <x:v>LED SMD 1206, rot</x:v>
      </x:c>
      <x:c r="D104" s="48" t="str">
        <x:f>IFERROR(IF(VLOOKUP($A104,Parts!$A$2:$M$200,4,FALSE())=0,"",VLOOKUP($A104,Parts!$A$2:$M$200,4,FALSE())),"")</x:f>
        <x:v>Rot, 624 nm, 40 mcd, 160°, Vf max. 1,7 V, IF max. 20 mA</x:v>
      </x:c>
      <x:c r="E104" s="48" t="str">
        <x:f>IFERROR(IF(VLOOKUP($A104,Parts!$A$2:$M$200,5,FALSE())=0,"",VLOOKUP($A104,Parts!$A$2:$M$200,5,FALSE())),"")</x:f>
        <x:v>LED_SMD:LED_1206_3216Metric_Pad1.42x1.75mm_HandSolder</x:v>
      </x:c>
      <x:c r="F104" t="str">
        <x:f>IFERROR(IF(VLOOKUP($A104,Parts!$A$2:$M$200,6,FALSE())=0,"",VLOOKUP($A104,Parts!$A$2:$M$200,6,FALSE())),"")</x:f>
        <x:v>Everlight</x:v>
      </x:c>
      <x:c r="G104" t="str">
        <x:f>IFERROR(IF(VLOOKUP($A104,Parts!$A$2:$M$200,7,FALSE())=0,"",VLOOKUP($A104,Parts!$A$2:$M$200,7,FALSE())),"")</x:f>
        <x:v>15-21SURD/S530-A3/TR8</x:v>
      </x:c>
      <x:c r="H104" s="58" t="s">
        <x:v>829</x:v>
      </x:c>
      <x:c r="I104" t="str">
        <x:f>IF(OR($A104="",$H104=""),"",IFERROR(IF(INDEX(Part_Suppliers!$C$2:$C$300,MATCH($A104&amp;"|"&amp;$H104,Part_Suppliers!$K$2:$K$300,0))=0,"",INDEX(Part_Suppliers!$C$2:$C$300,MATCH($A104&amp;"|"&amp;$H104,Part_Suppliers!$K$2:$K$300,0))),""))</x:f>
        <x:v>BKL 10120946</x:v>
      </x:c>
      <x:c r="J104" s="50">
        <x:v>8</x:v>
      </x:c>
      <x:c r="K104" s="50">
        <x:v>0</x:v>
      </x:c>
      <x:c r="L104" s="48" t="str">
        <x:f>IFERROR(IF(VLOOKUP($A104,Parts!$A$2:$M$200,8,FALSE())=0,"",VLOOKUP($A104,Parts!$A$2:$M$200,8,FALSE())),"")</x:f>
        <x:v>Bestand/Werkstatt</x:v>
      </x:c>
      <x:c r="M104" s="48" t="str">
        <x:f>IFERROR(IF(VLOOKUP($A104,Parts!$A$2:$M$200,12,FALSE())=0,"",VLOOKUP($A104,Parts!$A$2:$M$200,12,FALSE())),"")</x:f>
        <x:v>Nicht mit ENP-00064 zusammenführen: andere MPN, Lichtstärke, Wellenlänge und Abstrahlwinkel. Polarität beachten; derzeit keinem Kit oder KiCad-BOM zugeordnet.</x:v>
      </x:c>
      <x:c r="N104" s="59"/>
      <x:c r="O104" s="60" t="s">
        <x:v>835</x:v>
      </x:c>
      <x:c r="S104" t="n">
        <x:f>IF(O104="drucken",COUNTIF($O$5:O104,"drucken"),"")</x:f>
        <x:v>11</x:v>
      </x:c>
    </x:row>
    <x:row r="105" ht="39.5" customHeight="1">
      <x:c r="A105" t="s">
        <x:v>712</x:v>
      </x:c>
      <x:c r="B105" t="str">
        <x:f>IFERROR(IF(VLOOKUP($A105,Parts!$A$2:$M$200,2,FALSE())=0,"",VLOOKUP($A105,Parts!$A$2:$M$200,2,FALSE())),"")</x:f>
        <x:v>Steckbrücke</x:v>
      </x:c>
      <x:c r="C105" s="48" t="str">
        <x:f>IFERROR(IF(VLOOKUP($A105,Parts!$A$2:$M$200,3,FALSE())=0,"",VLOOKUP($A105,Parts!$A$2:$M$200,3,FALSE())),"")</x:f>
        <x:v>Kurzschlussbrücke 2,54 mm, schwarz, mit Grifflasche</x:v>
      </x:c>
      <x:c r="D105" s="48" t="str">
        <x:f>IFERROR(IF(VLOOKUP($A105,Parts!$A$2:$M$200,4,FALSE())=0,"",VLOOKUP($A105,Parts!$A$2:$M$200,4,FALSE())),"")</x:f>
        <x:v>2-polig, Raster 2,54 mm, vergoldet, schwarz, mit Grifflasche</x:v>
      </x:c>
      <x:c r="E105" s="48" t="str">
        <x:f>IFERROR(IF(VLOOKUP($A105,Parts!$A$2:$M$200,5,FALSE())=0,"",VLOOKUP($A105,Parts!$A$2:$M$200,5,FALSE())),"")</x:f>
      </x:c>
      <x:c r="F105" t="str">
        <x:f>IFERROR(IF(VLOOKUP($A105,Parts!$A$2:$M$200,6,FALSE())=0,"",VLOOKUP($A105,Parts!$A$2:$M$200,6,FALSE())),"")</x:f>
        <x:v>FREI</x:v>
      </x:c>
      <x:c r="G105" t="str">
        <x:f>IFERROR(IF(VLOOKUP($A105,Parts!$A$2:$M$200,7,FALSE())=0,"",VLOOKUP($A105,Parts!$A$2:$M$200,7,FALSE())),"")</x:f>
      </x:c>
      <x:c r="H105" s="58" t="s">
        <x:v>829</x:v>
      </x:c>
      <x:c r="I105" t="str">
        <x:f>IF(OR($A105="",$H105=""),"",IFERROR(IF(INDEX(Part_Suppliers!$C$2:$C$300,MATCH($A105&amp;"|"&amp;$H105,Part_Suppliers!$K$2:$K$300,0))=0,"",INDEX(Part_Suppliers!$C$2:$C$300,MATCH($A105&amp;"|"&amp;$H105,Part_Suppliers!$K$2:$K$300,0))),""))</x:f>
        <x:v>BKL 10120946</x:v>
      </x:c>
      <x:c r="J105" s="50">
        <x:v>9</x:v>
      </x:c>
      <x:c r="K105" s="50">
        <x:v>0</x:v>
      </x:c>
      <x:c r="L105" s="48" t="str">
        <x:f>IFERROR(IF(VLOOKUP($A105,Parts!$A$2:$M$200,8,FALSE())=0,"",VLOOKUP($A105,Parts!$A$2:$M$200,8,FALSE())),"")</x:f>
        <x:v>Bestand/Werkstatt</x:v>
      </x:c>
      <x:c r="M105" s="48" t="str">
        <x:f>IFERROR(IF(VLOOKUP($A105,Parts!$A$2:$M$200,12,FALSE())=0,"",VLOOKUP($A105,Parts!$A$2:$M$200,12,FALSE())),"")</x:f>
        <x:v>Reichelt nennt keinen konkreten Hersteller und keine MPN. Lose Steckbrücke für 2,54-mm-Stiftleisten; derzeit keinem Kit oder KiCad-BOM zugeordnet.</x:v>
      </x:c>
      <x:c r="N105" s="59"/>
      <x:c r="O105" s="60" t="s">
        <x:v>835</x:v>
      </x:c>
      <x:c r="S105" t="n">
        <x:f>IF(O105="drucken",COUNTIF($O$5:O105,"drucken"),"")</x:f>
        <x:v>12</x:v>
      </x:c>
    </x:row>
    <x:row r="106">
      <x:c r="A106" t="s">
        <x:v>718</x:v>
      </x:c>
      <x:c r="B106" t="str">
        <x:f>IFERROR(IF(VLOOKUP($A106,Parts!$A$2:$M$200,2,FALSE())=0,"",VLOOKUP($A106,Parts!$A$2:$M$200,2,FALSE())),"")</x:f>
        <x:v>EEPROM</x:v>
      </x:c>
      <x:c r="C106" t="str">
        <x:f>IFERROR(IF(VLOOKUP($A106,Parts!$A$2:$M$200,3,FALSE())=0,"",VLOOKUP($A106,Parts!$A$2:$M$200,3,FALSE())),"")</x:f>
        <x:v>I²C-EEPROM 32 Kbit, SOIC-8</x:v>
      </x:c>
      <x:c r="D106" t="str">
        <x:f>IFERROR(IF(VLOOKUP($A106,Parts!$A$2:$M$200,4,FALSE())=0,"",VLOOKUP($A106,Parts!$A$2:$M$200,4,FALSE())),"")</x:f>
        <x:v>32 Kbit, I²C, 2,5–5,5 V</x:v>
      </x:c>
      <x:c r="E106" t="str">
        <x:f>IFERROR(IF(VLOOKUP($A106,Parts!$A$2:$M$200,5,FALSE())=0,"",VLOOKUP($A106,Parts!$A$2:$M$200,5,FALSE())),"")</x:f>
        <x:v>Package_SO:SOIC-8_3.9x4.9mm_P1.27mm</x:v>
      </x:c>
      <x:c r="F106" t="str">
        <x:f>IFERROR(IF(VLOOKUP($A106,Parts!$A$2:$M$200,6,FALSE())=0,"",VLOOKUP($A106,Parts!$A$2:$M$200,6,FALSE())),"")</x:f>
        <x:v>Microchip Technology</x:v>
      </x:c>
      <x:c r="G106" t="str">
        <x:f>IFERROR(IF(VLOOKUP($A106,Parts!$A$2:$M$200,7,FALSE())=0,"",VLOOKUP($A106,Parts!$A$2:$M$200,7,FALSE())),"")</x:f>
        <x:v>24LC32A-I/SN</x:v>
      </x:c>
      <x:c r="H106" t="str">
        <x:v>Reichelt</x:v>
      </x:c>
      <x:c r="I106" t="str">
        <x:v>24LC32A-I/SN</x:v>
      </x:c>
      <x:c r="J106">
        <x:v>0</x:v>
      </x:c>
      <x:c r="K106">
        <x:v>0</x:v>
      </x:c>
      <x:c r="L106" t="str">
        <x:f>IFERROR(IF(VLOOKUP($A106,Parts!$A$2:$M$200,8,FALSE())=0,"",VLOOKUP($A106,Parts!$A$2:$M$200,8,FALSE())),"")</x:f>
        <x:v>EnvNode Mini Rev 0.3; Empty FullSize/HalfSize SMD/THT Rev 0.3; DuoRelay Rev 0.3; AnalogHydroPressure Rev 0.3; ESP32 Core Dual Power Rev 0.3</x:v>
      </x:c>
      <x:c r="M106" t="str">
        <x:f>IFERROR(IF(VLOOKUP($A106,Parts!$A$2:$M$200,12,FALSE())=0,"",VLOOKUP($A106,Parts!$A$2:$M$200,12,FALSE())),"")</x:f>
        <x:v>Neuer I²C-Konfigurations-EEPROM für Rev. 0.3; A0/A1/A2 und WP liegen auf GND, dadurch 7-Bit-Adresse 0x50. Nicht mit ENP-00024 zusammenführen: ENP-00024 ist der historische 2-Kbit-EUI-64-Typ im SOT-23-6. Reichelt-Artikel 24LC32A-I/SN im SOIC-8; Preis und Verfügbarkeit vor Bestellung prüfen.</x:v>
      </x:c>
      <x:c r="S106" t="str">
        <x:f>IF(O106="drucken",COUNTIF($O$5:O106,"drucken"),"")</x:f>
      </x:c>
    </x:row>
    <x:row r="107">
      <x:c r="S107" t="str">
        <x:f>IF(O107="drucken",COUNTIF($O$5:O107,"drucken"),"")</x:f>
      </x:c>
    </x:row>
    <x:row r="108">
      <x:c r="S108" t="str">
        <x:f>IF(O108="drucken",COUNTIF($O$5:O108,"drucken"),"")</x:f>
      </x:c>
    </x:row>
    <x:row r="109">
      <x:c r="S109" t="str">
        <x:f>IF(O109="drucken",COUNTIF($O$5:O109,"drucken"),"")</x:f>
      </x:c>
    </x:row>
    <x:row r="110">
      <x:c r="S110" t="str">
        <x:f>IF(O110="drucken",COUNTIF($O$5:O110,"drucken"),"")</x:f>
      </x:c>
    </x:row>
    <x:row r="111">
      <x:c r="S111" t="str">
        <x:f>IF(O111="drucken",COUNTIF($O$5:O111,"drucken"),"")</x:f>
      </x:c>
    </x:row>
    <x:row r="112">
      <x:c r="S112" t="str">
        <x:f>IF(O112="drucken",COUNTIF($O$5:O112,"drucken"),"")</x:f>
      </x:c>
    </x:row>
    <x:row r="113">
      <x:c r="S113" t="str">
        <x:f>IF(O113="drucken",COUNTIF($O$5:O113,"drucken"),"")</x:f>
      </x:c>
    </x:row>
    <x:row r="114">
      <x:c r="S114" t="str">
        <x:f>IF(O114="drucken",COUNTIF($O$5:O114,"drucken"),"")</x:f>
      </x:c>
    </x:row>
    <x:row r="115">
      <x:c r="S115" t="str">
        <x:f>IF(O115="drucken",COUNTIF($O$5:O115,"drucken"),"")</x:f>
      </x:c>
    </x:row>
    <x:row r="116">
      <x:c r="S116" t="str">
        <x:f>IF(O116="drucken",COUNTIF($O$5:O116,"drucken"),"")</x:f>
      </x:c>
    </x:row>
    <x:row r="117">
      <x:c r="S117" t="str">
        <x:f>IF(O117="drucken",COUNTIF($O$5:O117,"drucken"),"")</x:f>
      </x:c>
    </x:row>
    <x:row r="118">
      <x:c r="S118" t="str">
        <x:f>IF(O118="drucken",COUNTIF($O$5:O118,"drucken"),"")</x:f>
      </x:c>
    </x:row>
    <x:row r="119">
      <x:c r="S119" t="str">
        <x:f>IF(O119="drucken",COUNTIF($O$5:O119,"drucken"),"")</x:f>
      </x:c>
    </x:row>
    <x:row r="120">
      <x:c r="S120" t="str">
        <x:f>IF(O120="drucken",COUNTIF($O$5:O120,"drucken"),"")</x:f>
      </x:c>
    </x:row>
    <x:row r="121">
      <x:c r="S121" t="str">
        <x:f>IF(O121="drucken",COUNTIF($O$5:O121,"drucken"),"")</x:f>
      </x:c>
    </x:row>
    <x:row r="122">
      <x:c r="S122" t="str">
        <x:f>IF(O122="drucken",COUNTIF($O$5:O122,"drucken"),"")</x:f>
      </x:c>
    </x:row>
    <x:row r="123">
      <x:c r="S123" t="str">
        <x:f>IF(O123="drucken",COUNTIF($O$5:O123,"drucken"),"")</x:f>
      </x:c>
    </x:row>
    <x:row r="124">
      <x:c r="S124" t="str">
        <x:f>IF(O124="drucken",COUNTIF($O$5:O124,"drucken"),"")</x:f>
      </x:c>
    </x:row>
    <x:row r="125">
      <x:c r="S125" t="str">
        <x:f>IF(O125="drucken",COUNTIF($O$5:O125,"drucken"),"")</x:f>
      </x:c>
    </x:row>
    <x:row r="126">
      <x:c r="S126" t="str">
        <x:f>IF(O126="drucken",COUNTIF($O$5:O126,"drucken"),"")</x:f>
      </x:c>
    </x:row>
    <x:row r="127">
      <x:c r="S127" t="str">
        <x:f>IF(O127="drucken",COUNTIF($O$5:O127,"drucken"),"")</x:f>
      </x:c>
    </x:row>
    <x:row r="128">
      <x:c r="S128" t="str">
        <x:f>IF(O128="drucken",COUNTIF($O$5:O128,"drucken"),"")</x:f>
      </x:c>
    </x:row>
    <x:row r="129">
      <x:c r="S129" t="str">
        <x:f>IF(O129="drucken",COUNTIF($O$5:O129,"drucken"),"")</x:f>
      </x:c>
    </x:row>
    <x:row r="130">
      <x:c r="S130" t="str">
        <x:f>IF(O130="drucken",COUNTIF($O$5:O130,"drucken"),"")</x:f>
      </x:c>
    </x:row>
    <x:row r="131">
      <x:c r="S131" t="str">
        <x:f>IF(O131="drucken",COUNTIF($O$5:O131,"drucken"),"")</x:f>
      </x:c>
    </x:row>
    <x:row r="132">
      <x:c r="S132" t="str">
        <x:f>IF(O132="drucken",COUNTIF($O$5:O132,"drucken"),"")</x:f>
      </x:c>
    </x:row>
    <x:row r="133">
      <x:c r="S133" t="str">
        <x:f>IF(O133="drucken",COUNTIF($O$5:O133,"drucken"),"")</x:f>
      </x:c>
    </x:row>
    <x:row r="134">
      <x:c r="S134" t="str">
        <x:f>IF(O134="drucken",COUNTIF($O$5:O134,"drucken"),"")</x:f>
      </x:c>
    </x:row>
    <x:row r="135">
      <x:c r="S135" t="str">
        <x:f>IF(O135="drucken",COUNTIF($O$5:O135,"drucken"),"")</x:f>
      </x:c>
    </x:row>
    <x:row r="136">
      <x:c r="S136" t="str">
        <x:f>IF(O136="drucken",COUNTIF($O$5:O136,"drucken"),"")</x:f>
      </x:c>
    </x:row>
    <x:row r="137">
      <x:c r="S137" t="str">
        <x:f>IF(O137="drucken",COUNTIF($O$5:O137,"drucken"),"")</x:f>
      </x:c>
    </x:row>
    <x:row r="138">
      <x:c r="S138" t="str">
        <x:f>IF(O138="drucken",COUNTIF($O$5:O138,"drucken"),"")</x:f>
      </x:c>
    </x:row>
    <x:row r="139">
      <x:c r="S139" t="str">
        <x:f>IF(O139="drucken",COUNTIF($O$5:O139,"drucken"),"")</x:f>
      </x:c>
    </x:row>
    <x:row r="140">
      <x:c r="S140" t="str">
        <x:f>IF(O140="drucken",COUNTIF($O$5:O140,"drucken"),"")</x:f>
      </x:c>
    </x:row>
    <x:row r="141">
      <x:c r="S141" t="str">
        <x:f>IF(O141="drucken",COUNTIF($O$5:O141,"drucken"),"")</x:f>
      </x:c>
    </x:row>
    <x:row r="142">
      <x:c r="S142" t="str">
        <x:f>IF(O142="drucken",COUNTIF($O$5:O142,"drucken"),"")</x:f>
      </x:c>
    </x:row>
    <x:row r="143">
      <x:c r="S143" t="str">
        <x:f>IF(O143="drucken",COUNTIF($O$5:O143,"drucken"),"")</x:f>
      </x:c>
    </x:row>
    <x:row r="144">
      <x:c r="S144" t="str">
        <x:f>IF(O144="drucken",COUNTIF($O$5:O144,"drucken"),"")</x:f>
      </x:c>
    </x:row>
    <x:row r="145">
      <x:c r="S145" t="str">
        <x:f>IF(O145="drucken",COUNTIF($O$5:O145,"drucken"),"")</x:f>
      </x:c>
    </x:row>
    <x:row r="146">
      <x:c r="S146" t="str">
        <x:f>IF(O146="drucken",COUNTIF($O$5:O146,"drucken"),"")</x:f>
      </x:c>
    </x:row>
    <x:row r="147">
      <x:c r="S147" t="str">
        <x:f>IF(O147="drucken",COUNTIF($O$5:O147,"drucken"),"")</x:f>
      </x:c>
    </x:row>
    <x:row r="148">
      <x:c r="S148" t="str">
        <x:f>IF(O148="drucken",COUNTIF($O$5:O148,"drucken"),"")</x:f>
      </x:c>
    </x:row>
    <x:row r="149">
      <x:c r="S149" t="str">
        <x:f>IF(O149="drucken",COUNTIF($O$5:O149,"drucken"),"")</x:f>
      </x:c>
    </x:row>
    <x:row r="150">
      <x:c r="S150" t="str">
        <x:f>IF(O150="drucken",COUNTIF($O$5:O150,"drucken"),"")</x:f>
      </x:c>
    </x:row>
    <x:row r="151">
      <x:c r="S151" t="str">
        <x:f>IF(O151="drucken",COUNTIF($O$5:O151,"drucken"),"")</x:f>
      </x:c>
    </x:row>
    <x:row r="152">
      <x:c r="S152" t="str">
        <x:f>IF(O152="drucken",COUNTIF($O$5:O152,"drucken"),"")</x:f>
      </x:c>
    </x:row>
    <x:row r="153">
      <x:c r="S153" t="str">
        <x:f>IF(O153="drucken",COUNTIF($O$5:O153,"drucken"),"")</x:f>
      </x:c>
    </x:row>
    <x:row r="154">
      <x:c r="S154" t="str">
        <x:f>IF(O154="drucken",COUNTIF($O$5:O154,"drucken"),"")</x:f>
      </x:c>
    </x:row>
    <x:row r="155">
      <x:c r="S155" t="str">
        <x:f>IF(O155="drucken",COUNTIF($O$5:O155,"drucken"),"")</x:f>
      </x:c>
    </x:row>
    <x:row r="156">
      <x:c r="S156" t="str">
        <x:f>IF(O156="drucken",COUNTIF($O$5:O156,"drucken"),"")</x:f>
      </x:c>
    </x:row>
    <x:row r="157">
      <x:c r="S157" t="str">
        <x:f>IF(O157="drucken",COUNTIF($O$5:O157,"drucken"),"")</x:f>
      </x:c>
    </x:row>
    <x:row r="158">
      <x:c r="S158" t="str">
        <x:f>IF(O158="drucken",COUNTIF($O$5:O158,"drucken"),"")</x:f>
      </x:c>
    </x:row>
    <x:row r="159">
      <x:c r="S159" t="str">
        <x:f>IF(O159="drucken",COUNTIF($O$5:O159,"drucken"),"")</x:f>
      </x:c>
    </x:row>
    <x:row r="160">
      <x:c r="S160" t="str">
        <x:f>IF(O160="drucken",COUNTIF($O$5:O160,"drucken"),"")</x:f>
      </x:c>
    </x:row>
    <x:row r="161">
      <x:c r="S161" t="str">
        <x:f>IF(O161="drucken",COUNTIF($O$5:O161,"drucken"),"")</x:f>
      </x:c>
    </x:row>
    <x:row r="162">
      <x:c r="S162" t="str">
        <x:f>IF(O162="drucken",COUNTIF($O$5:O162,"drucken"),"")</x:f>
      </x:c>
    </x:row>
    <x:row r="163">
      <x:c r="S163" t="str">
        <x:f>IF(O163="drucken",COUNTIF($O$5:O163,"drucken"),"")</x:f>
      </x:c>
    </x:row>
    <x:row r="164">
      <x:c r="S164" t="str">
        <x:f>IF(O164="drucken",COUNTIF($O$5:O164,"drucken"),"")</x:f>
      </x:c>
    </x:row>
    <x:row r="165">
      <x:c r="S165" t="str">
        <x:f>IF(O165="drucken",COUNTIF($O$5:O165,"drucken"),"")</x:f>
      </x:c>
    </x:row>
    <x:row r="166">
      <x:c r="S166" t="str">
        <x:f>IF(O166="drucken",COUNTIF($O$5:O166,"drucken"),"")</x:f>
      </x:c>
    </x:row>
    <x:row r="167">
      <x:c r="S167" t="str">
        <x:f>IF(O167="drucken",COUNTIF($O$5:O167,"drucken"),"")</x:f>
      </x:c>
    </x:row>
    <x:row r="168">
      <x:c r="S168" t="str">
        <x:f>IF(O168="drucken",COUNTIF($O$5:O168,"drucken"),"")</x:f>
      </x:c>
    </x:row>
    <x:row r="169">
      <x:c r="S169" t="str">
        <x:f>IF(O169="drucken",COUNTIF($O$5:O169,"drucken"),"")</x:f>
      </x:c>
    </x:row>
    <x:row r="170">
      <x:c r="S170" t="str">
        <x:f>IF(O170="drucken",COUNTIF($O$5:O170,"drucken"),"")</x:f>
      </x:c>
    </x:row>
    <x:row r="171">
      <x:c r="S171" t="str">
        <x:f>IF(O171="drucken",COUNTIF($O$5:O171,"drucken"),"")</x:f>
      </x:c>
    </x:row>
    <x:row r="172">
      <x:c r="S172" t="str">
        <x:f>IF(O172="drucken",COUNTIF($O$5:O172,"drucken"),"")</x:f>
      </x:c>
    </x:row>
    <x:row r="173">
      <x:c r="S173" t="str">
        <x:f>IF(O173="drucken",COUNTIF($O$5:O173,"drucken"),"")</x:f>
      </x:c>
    </x:row>
    <x:row r="174">
      <x:c r="S174" t="str">
        <x:f>IF(O174="drucken",COUNTIF($O$5:O174,"drucken"),"")</x:f>
      </x:c>
    </x:row>
    <x:row r="175">
      <x:c r="S175" t="str">
        <x:f>IF(O175="drucken",COUNTIF($O$5:O175,"drucken"),"")</x:f>
      </x:c>
    </x:row>
    <x:row r="176">
      <x:c r="S176" t="str">
        <x:f>IF(O176="drucken",COUNTIF($O$5:O176,"drucken"),"")</x:f>
      </x:c>
    </x:row>
    <x:row r="177">
      <x:c r="S177" t="str">
        <x:f>IF(O177="drucken",COUNTIF($O$5:O177,"drucken"),"")</x:f>
      </x:c>
    </x:row>
    <x:row r="178">
      <x:c r="S178" t="str">
        <x:f>IF(O178="drucken",COUNTIF($O$5:O178,"drucken"),"")</x:f>
      </x:c>
    </x:row>
    <x:row r="179">
      <x:c r="S179" t="str">
        <x:f>IF(O179="drucken",COUNTIF($O$5:O179,"drucken"),"")</x:f>
      </x:c>
    </x:row>
    <x:row r="180">
      <x:c r="S180" t="str">
        <x:f>IF(O180="drucken",COUNTIF($O$5:O180,"drucken"),"")</x:f>
      </x:c>
    </x:row>
    <x:row r="181">
      <x:c r="S181" t="str">
        <x:f>IF(O181="drucken",COUNTIF($O$5:O181,"drucken"),"")</x:f>
      </x:c>
    </x:row>
    <x:row r="182">
      <x:c r="S182" t="str">
        <x:f>IF(O182="drucken",COUNTIF($O$5:O182,"drucken"),"")</x:f>
      </x:c>
    </x:row>
    <x:row r="183">
      <x:c r="S183" t="str">
        <x:f>IF(O183="drucken",COUNTIF($O$5:O183,"drucken"),"")</x:f>
      </x:c>
    </x:row>
    <x:row r="184">
      <x:c r="S184" t="str">
        <x:f>IF(O184="drucken",COUNTIF($O$5:O184,"drucken"),"")</x:f>
      </x:c>
    </x:row>
    <x:row r="185">
      <x:c r="S185" t="str">
        <x:f>IF(O185="drucken",COUNTIF($O$5:O185,"drucken"),"")</x:f>
      </x:c>
    </x:row>
    <x:row r="186">
      <x:c r="S186" t="str">
        <x:f>IF(O186="drucken",COUNTIF($O$5:O186,"drucken"),"")</x:f>
      </x:c>
    </x:row>
    <x:row r="187">
      <x:c r="S187" t="str">
        <x:f>IF(O187="drucken",COUNTIF($O$5:O187,"drucken"),"")</x:f>
      </x:c>
    </x:row>
    <x:row r="188">
      <x:c r="S188" t="str">
        <x:f>IF(O188="drucken",COUNTIF($O$5:O188,"drucken"),"")</x:f>
      </x:c>
    </x:row>
    <x:row r="189">
      <x:c r="S189" t="str">
        <x:f>IF(O189="drucken",COUNTIF($O$5:O189,"drucken"),"")</x:f>
      </x:c>
    </x:row>
    <x:row r="190">
      <x:c r="S190" t="str">
        <x:f>IF(O190="drucken",COUNTIF($O$5:O190,"drucken"),"")</x:f>
      </x:c>
    </x:row>
    <x:row r="191">
      <x:c r="S191" t="str">
        <x:f>IF(O191="drucken",COUNTIF($O$5:O191,"drucken"),"")</x:f>
      </x:c>
    </x:row>
    <x:row r="192">
      <x:c r="S192" t="str">
        <x:f>IF(O192="drucken",COUNTIF($O$5:O192,"drucken"),"")</x:f>
      </x:c>
    </x:row>
    <x:row r="193">
      <x:c r="S193" t="str">
        <x:f>IF(O193="drucken",COUNTIF($O$5:O193,"drucken"),"")</x:f>
      </x:c>
    </x:row>
    <x:row r="194">
      <x:c r="S194" t="str">
        <x:f>IF(O194="drucken",COUNTIF($O$5:O194,"drucken"),"")</x:f>
      </x:c>
    </x:row>
    <x:row r="195">
      <x:c r="S195" t="str">
        <x:f>IF(O195="drucken",COUNTIF($O$5:O195,"drucken"),"")</x:f>
      </x:c>
    </x:row>
    <x:row r="196">
      <x:c r="S196" t="str">
        <x:f>IF(O196="drucken",COUNTIF($O$5:O196,"drucken"),"")</x:f>
      </x:c>
    </x:row>
    <x:row r="197">
      <x:c r="S197" t="str">
        <x:f>IF(O197="drucken",COUNTIF($O$5:O197,"drucken"),"")</x:f>
      </x:c>
    </x:row>
    <x:row r="198">
      <x:c r="S198" t="str">
        <x:f>IF(O198="drucken",COUNTIF($O$5:O198,"drucken"),"")</x:f>
      </x:c>
    </x:row>
    <x:row r="199">
      <x:c r="S199" t="str">
        <x:f>IF(O199="drucken",COUNTIF($O$5:O199,"drucken"),"")</x:f>
      </x:c>
    </x:row>
    <x:row r="200">
      <x:c r="S200" t="str">
        <x:f>IF(O200="drucken",COUNTIF($O$5:O200,"drucken"),"")</x:f>
      </x:c>
    </x:row>
    <x:row r="201">
      <x:c r="S201" t="str">
        <x:f>IF(O201="drucken",COUNTIF($O$5:O201,"drucken"),"")</x:f>
      </x:c>
    </x:row>
    <x:row r="202">
      <x:c r="S202" t="str">
        <x:f>IF(O202="drucken",COUNTIF($O$5:O202,"drucken"),"")</x:f>
      </x:c>
    </x:row>
    <x:row r="203">
      <x:c r="S203" t="str">
        <x:f>IF(O203="drucken",COUNTIF($O$5:O203,"drucken"),"")</x:f>
      </x:c>
    </x:row>
    <x:row r="204">
      <x:c r="S204" t="str">
        <x:f>IF(O204="drucken",COUNTIF($O$5:O204,"drucken"),"")</x:f>
      </x:c>
    </x:row>
    <x:row r="205">
      <x:c r="S205" t="str">
        <x:f>IF(O205="drucken",COUNTIF($O$5:O205,"drucken"),"")</x:f>
      </x:c>
    </x:row>
    <x:row r="206">
      <x:c r="S206" t="str">
        <x:f>IF(O206="drucken",COUNTIF($O$5:O206,"drucken"),"")</x:f>
      </x:c>
    </x:row>
    <x:row r="207">
      <x:c r="S207" t="str">
        <x:f>IF(O207="drucken",COUNTIF($O$5:O207,"drucken"),"")</x:f>
      </x:c>
    </x:row>
    <x:row r="208">
      <x:c r="S208" t="str">
        <x:f>IF(O208="drucken",COUNTIF($O$5:O208,"drucken"),"")</x:f>
      </x:c>
    </x:row>
    <x:row r="209">
      <x:c r="S209" t="str">
        <x:f>IF(O209="drucken",COUNTIF($O$5:O209,"drucken"),"")</x:f>
      </x:c>
    </x:row>
    <x:row r="210">
      <x:c r="S210" t="str">
        <x:f>IF(O210="drucken",COUNTIF($O$5:O210,"drucken"),"")</x:f>
      </x:c>
    </x:row>
    <x:row r="211">
      <x:c r="S211" t="str">
        <x:f>IF(O211="drucken",COUNTIF($O$5:O211,"drucken"),"")</x:f>
      </x:c>
    </x:row>
    <x:row r="212">
      <x:c r="S212" t="str">
        <x:f>IF(O212="drucken",COUNTIF($O$5:O212,"drucken"),"")</x:f>
      </x:c>
    </x:row>
    <x:row r="213">
      <x:c r="S213" t="str">
        <x:f>IF(O213="drucken",COUNTIF($O$5:O213,"drucken"),"")</x:f>
      </x:c>
    </x:row>
    <x:row r="214">
      <x:c r="S214" t="str">
        <x:f>IF(O214="drucken",COUNTIF($O$5:O214,"drucken"),"")</x:f>
      </x:c>
    </x:row>
    <x:row r="215">
      <x:c r="S215" t="str">
        <x:f>IF(O215="drucken",COUNTIF($O$5:O215,"drucken"),"")</x:f>
      </x:c>
    </x:row>
    <x:row r="216">
      <x:c r="S216" t="str">
        <x:f>IF(O216="drucken",COUNTIF($O$5:O216,"drucken"),"")</x:f>
      </x:c>
    </x:row>
    <x:row r="217">
      <x:c r="S217" t="str">
        <x:f>IF(O217="drucken",COUNTIF($O$5:O217,"drucken"),"")</x:f>
      </x:c>
    </x:row>
    <x:row r="218">
      <x:c r="S218" t="str">
        <x:f>IF(O218="drucken",COUNTIF($O$5:O218,"drucken"),"")</x:f>
      </x:c>
    </x:row>
    <x:row r="219">
      <x:c r="S219" t="str">
        <x:f>IF(O219="drucken",COUNTIF($O$5:O219,"drucken"),"")</x:f>
      </x:c>
    </x:row>
    <x:row r="220">
      <x:c r="S220" t="str">
        <x:f>IF(O220="drucken",COUNTIF($O$5:O220,"drucken"),"")</x:f>
      </x:c>
    </x:row>
    <x:row r="221">
      <x:c r="S221" t="str">
        <x:f>IF(O221="drucken",COUNTIF($O$5:O221,"drucken"),"")</x:f>
      </x:c>
    </x:row>
    <x:row r="222">
      <x:c r="S222" t="str">
        <x:f>IF(O222="drucken",COUNTIF($O$5:O222,"drucken"),"")</x:f>
      </x:c>
    </x:row>
    <x:row r="223">
      <x:c r="S223" t="str">
        <x:f>IF(O223="drucken",COUNTIF($O$5:O223,"drucken"),"")</x:f>
      </x:c>
    </x:row>
    <x:row r="224">
      <x:c r="S224" t="str">
        <x:f>IF(O224="drucken",COUNTIF($O$5:O224,"drucken"),"")</x:f>
      </x:c>
    </x:row>
    <x:row r="225">
      <x:c r="S225" t="str">
        <x:f>IF(O225="drucken",COUNTIF($O$5:O225,"drucken"),"")</x:f>
      </x:c>
    </x:row>
    <x:row r="226">
      <x:c r="S226" t="str">
        <x:f>IF(O226="drucken",COUNTIF($O$5:O226,"drucken"),"")</x:f>
      </x:c>
    </x:row>
    <x:row r="227">
      <x:c r="S227" t="str">
        <x:f>IF(O227="drucken",COUNTIF($O$5:O227,"drucken"),"")</x:f>
      </x:c>
    </x:row>
    <x:row r="228">
      <x:c r="S228" t="str">
        <x:f>IF(O228="drucken",COUNTIF($O$5:O228,"drucken"),"")</x:f>
      </x:c>
    </x:row>
    <x:row r="229">
      <x:c r="S229" t="str">
        <x:f>IF(O229="drucken",COUNTIF($O$5:O229,"drucken"),"")</x:f>
      </x:c>
    </x:row>
    <x:row r="230">
      <x:c r="S230" t="str">
        <x:f>IF(O230="drucken",COUNTIF($O$5:O230,"drucken"),"")</x:f>
      </x:c>
    </x:row>
    <x:row r="231">
      <x:c r="S231" t="str">
        <x:f>IF(O231="drucken",COUNTIF($O$5:O231,"drucken"),"")</x:f>
      </x:c>
    </x:row>
    <x:row r="232">
      <x:c r="S232" t="str">
        <x:f>IF(O232="drucken",COUNTIF($O$5:O232,"drucken"),"")</x:f>
      </x:c>
    </x:row>
    <x:row r="233">
      <x:c r="S233" t="str">
        <x:f>IF(O233="drucken",COUNTIF($O$5:O233,"drucken"),"")</x:f>
      </x:c>
    </x:row>
    <x:row r="234">
      <x:c r="S234" t="str">
        <x:f>IF(O234="drucken",COUNTIF($O$5:O234,"drucken"),"")</x:f>
      </x:c>
    </x:row>
    <x:row r="235">
      <x:c r="S235" t="str">
        <x:f>IF(O235="drucken",COUNTIF($O$5:O235,"drucken"),"")</x:f>
      </x:c>
    </x:row>
    <x:row r="236">
      <x:c r="S236" t="str">
        <x:f>IF(O236="drucken",COUNTIF($O$5:O236,"drucken"),"")</x:f>
      </x:c>
    </x:row>
    <x:row r="237">
      <x:c r="S237" t="str">
        <x:f>IF(O237="drucken",COUNTIF($O$5:O237,"drucken"),"")</x:f>
      </x:c>
    </x:row>
    <x:row r="238">
      <x:c r="S238" t="str">
        <x:f>IF(O238="drucken",COUNTIF($O$5:O238,"drucken"),"")</x:f>
      </x:c>
    </x:row>
    <x:row r="239">
      <x:c r="S239" t="str">
        <x:f>IF(O239="drucken",COUNTIF($O$5:O239,"drucken"),"")</x:f>
      </x:c>
    </x:row>
    <x:row r="240">
      <x:c r="S240" t="str">
        <x:f>IF(O240="drucken",COUNTIF($O$5:O240,"drucken"),"")</x:f>
      </x:c>
    </x:row>
    <x:row r="241">
      <x:c r="S241" t="str">
        <x:f>IF(O241="drucken",COUNTIF($O$5:O241,"drucken"),"")</x:f>
      </x:c>
    </x:row>
    <x:row r="242">
      <x:c r="S242" t="str">
        <x:f>IF(O242="drucken",COUNTIF($O$5:O242,"drucken"),"")</x:f>
      </x:c>
    </x:row>
    <x:row r="243">
      <x:c r="S243" t="str">
        <x:f>IF(O243="drucken",COUNTIF($O$5:O243,"drucken"),"")</x:f>
      </x:c>
    </x:row>
    <x:row r="244">
      <x:c r="S244" t="str">
        <x:f>IF(O244="drucken",COUNTIF($O$5:O244,"drucken"),"")</x:f>
      </x:c>
    </x:row>
    <x:row r="245">
      <x:c r="S245" t="str">
        <x:f>IF(O245="drucken",COUNTIF($O$5:O245,"drucken"),"")</x:f>
      </x:c>
    </x:row>
    <x:row r="246">
      <x:c r="S246" t="str">
        <x:f>IF(O246="drucken",COUNTIF($O$5:O246,"drucken"),"")</x:f>
      </x:c>
    </x:row>
    <x:row r="247">
      <x:c r="S247" t="str">
        <x:f>IF(O247="drucken",COUNTIF($O$5:O247,"drucken"),"")</x:f>
      </x:c>
    </x:row>
    <x:row r="248">
      <x:c r="S248" t="str">
        <x:f>IF(O248="drucken",COUNTIF($O$5:O248,"drucken"),"")</x:f>
      </x:c>
    </x:row>
    <x:row r="249">
      <x:c r="S249" t="str">
        <x:f>IF(O249="drucken",COUNTIF($O$5:O249,"drucken"),"")</x:f>
      </x:c>
    </x:row>
    <x:row r="250">
      <x:c r="S250" t="str">
        <x:f>IF(O250="drucken",COUNTIF($O$5:O250,"drucken"),"")</x:f>
      </x:c>
    </x:row>
    <x:row r="251">
      <x:c r="S251" t="str">
        <x:f>IF(O251="drucken",COUNTIF($O$5:O251,"drucken"),"")</x:f>
      </x:c>
    </x:row>
    <x:row r="252">
      <x:c r="S252" t="str">
        <x:f>IF(O252="drucken",COUNTIF($O$5:O252,"drucken"),"")</x:f>
      </x:c>
    </x:row>
    <x:row r="253">
      <x:c r="S253" t="str">
        <x:f>IF(O253="drucken",COUNTIF($O$5:O253,"drucken"),"")</x:f>
      </x:c>
    </x:row>
    <x:row r="254">
      <x:c r="S254" t="str">
        <x:f>IF(O254="drucken",COUNTIF($O$5:O254,"drucken"),"")</x:f>
      </x:c>
    </x:row>
    <x:row r="255">
      <x:c r="S255" t="str">
        <x:f>IF(O255="drucken",COUNTIF($O$5:O255,"drucken"),"")</x:f>
      </x:c>
    </x:row>
    <x:row r="256">
      <x:c r="S256" t="str">
        <x:f>IF(O256="drucken",COUNTIF($O$5:O256,"drucken"),"")</x:f>
      </x:c>
    </x:row>
    <x:row r="257">
      <x:c r="S257" t="str">
        <x:f>IF(O257="drucken",COUNTIF($O$5:O257,"drucken"),"")</x:f>
      </x:c>
    </x:row>
    <x:row r="258">
      <x:c r="S258" t="str">
        <x:f>IF(O258="drucken",COUNTIF($O$5:O258,"drucken"),"")</x:f>
      </x:c>
    </x:row>
    <x:row r="259">
      <x:c r="S259" t="str">
        <x:f>IF(O259="drucken",COUNTIF($O$5:O259,"drucken"),"")</x:f>
      </x:c>
    </x:row>
    <x:row r="260">
      <x:c r="S260" t="str">
        <x:f>IF(O260="drucken",COUNTIF($O$5:O260,"drucken"),"")</x:f>
      </x:c>
    </x:row>
    <x:row r="261">
      <x:c r="S261" t="str">
        <x:f>IF(O261="drucken",COUNTIF($O$5:O261,"drucken"),"")</x:f>
      </x:c>
    </x:row>
    <x:row r="262">
      <x:c r="S262" t="str">
        <x:f>IF(O262="drucken",COUNTIF($O$5:O262,"drucken"),"")</x:f>
      </x:c>
    </x:row>
    <x:row r="263">
      <x:c r="S263" t="str">
        <x:f>IF(O263="drucken",COUNTIF($O$5:O263,"drucken"),"")</x:f>
      </x:c>
    </x:row>
    <x:row r="264">
      <x:c r="S264" t="str">
        <x:f>IF(O264="drucken",COUNTIF($O$5:O264,"drucken"),"")</x:f>
      </x:c>
    </x:row>
    <x:row r="265">
      <x:c r="S265" t="str">
        <x:f>IF(O265="drucken",COUNTIF($O$5:O265,"drucken"),"")</x:f>
      </x:c>
    </x:row>
    <x:row r="266">
      <x:c r="S266" t="str">
        <x:f>IF(O266="drucken",COUNTIF($O$5:O266,"drucken"),"")</x:f>
      </x:c>
    </x:row>
    <x:row r="267">
      <x:c r="S267" t="str">
        <x:f>IF(O267="drucken",COUNTIF($O$5:O267,"drucken"),"")</x:f>
      </x:c>
    </x:row>
    <x:row r="268">
      <x:c r="S268" t="str">
        <x:f>IF(O268="drucken",COUNTIF($O$5:O268,"drucken"),"")</x:f>
      </x:c>
    </x:row>
    <x:row r="269">
      <x:c r="S269" t="str">
        <x:f>IF(O269="drucken",COUNTIF($O$5:O269,"drucken"),"")</x:f>
      </x:c>
    </x:row>
    <x:row r="270">
      <x:c r="S270" t="str">
        <x:f>IF(O270="drucken",COUNTIF($O$5:O270,"drucken"),"")</x:f>
      </x:c>
    </x:row>
    <x:row r="271">
      <x:c r="S271" t="str">
        <x:f>IF(O271="drucken",COUNTIF($O$5:O271,"drucken"),"")</x:f>
      </x:c>
    </x:row>
    <x:row r="272">
      <x:c r="S272" t="str">
        <x:f>IF(O272="drucken",COUNTIF($O$5:O272,"drucken"),"")</x:f>
      </x:c>
    </x:row>
    <x:row r="273">
      <x:c r="S273" t="str">
        <x:f>IF(O273="drucken",COUNTIF($O$5:O273,"drucken"),"")</x:f>
      </x:c>
    </x:row>
    <x:row r="274">
      <x:c r="S274" t="str">
        <x:f>IF(O274="drucken",COUNTIF($O$5:O274,"drucken"),"")</x:f>
      </x:c>
    </x:row>
    <x:row r="275">
      <x:c r="S275" t="str">
        <x:f>IF(O275="drucken",COUNTIF($O$5:O275,"drucken"),"")</x:f>
      </x:c>
    </x:row>
    <x:row r="276">
      <x:c r="S276" t="str">
        <x:f>IF(O276="drucken",COUNTIF($O$5:O276,"drucken"),"")</x:f>
      </x:c>
    </x:row>
    <x:row r="277">
      <x:c r="S277" t="str">
        <x:f>IF(O277="drucken",COUNTIF($O$5:O277,"drucken"),"")</x:f>
      </x:c>
    </x:row>
    <x:row r="278">
      <x:c r="S278" t="str">
        <x:f>IF(O278="drucken",COUNTIF($O$5:O278,"drucken"),"")</x:f>
      </x:c>
    </x:row>
    <x:row r="279">
      <x:c r="S279" t="str">
        <x:f>IF(O279="drucken",COUNTIF($O$5:O279,"drucken"),"")</x:f>
      </x:c>
    </x:row>
    <x:row r="280">
      <x:c r="S280" t="str">
        <x:f>IF(O280="drucken",COUNTIF($O$5:O280,"drucken"),"")</x:f>
      </x:c>
    </x:row>
    <x:row r="281">
      <x:c r="S281" t="str">
        <x:f>IF(O281="drucken",COUNTIF($O$5:O281,"drucken"),"")</x:f>
      </x:c>
    </x:row>
    <x:row r="282">
      <x:c r="S282" t="str">
        <x:f>IF(O282="drucken",COUNTIF($O$5:O282,"drucken"),"")</x:f>
      </x:c>
    </x:row>
    <x:row r="283">
      <x:c r="S283" t="str">
        <x:f>IF(O283="drucken",COUNTIF($O$5:O283,"drucken"),"")</x:f>
      </x:c>
    </x:row>
    <x:row r="284">
      <x:c r="S284" t="str">
        <x:f>IF(O284="drucken",COUNTIF($O$5:O284,"drucken"),"")</x:f>
      </x:c>
    </x:row>
    <x:row r="285">
      <x:c r="S285" t="str">
        <x:f>IF(O285="drucken",COUNTIF($O$5:O285,"drucken"),"")</x:f>
      </x:c>
    </x:row>
    <x:row r="286">
      <x:c r="S286" t="str">
        <x:f>IF(O286="drucken",COUNTIF($O$5:O286,"drucken"),"")</x:f>
      </x:c>
    </x:row>
    <x:row r="287">
      <x:c r="S287" t="str">
        <x:f>IF(O287="drucken",COUNTIF($O$5:O287,"drucken"),"")</x:f>
      </x:c>
    </x:row>
    <x:row r="288">
      <x:c r="S288" t="str">
        <x:f>IF(O288="drucken",COUNTIF($O$5:O288,"drucken"),"")</x:f>
      </x:c>
    </x:row>
    <x:row r="289">
      <x:c r="S289" t="str">
        <x:f>IF(O289="drucken",COUNTIF($O$5:O289,"drucken"),"")</x:f>
      </x:c>
    </x:row>
    <x:row r="290">
      <x:c r="S290" t="str">
        <x:f>IF(O290="drucken",COUNTIF($O$5:O290,"drucken"),"")</x:f>
      </x:c>
    </x:row>
    <x:row r="291">
      <x:c r="S291" t="str">
        <x:f>IF(O291="drucken",COUNTIF($O$5:O291,"drucken"),"")</x:f>
      </x:c>
    </x:row>
    <x:row r="292">
      <x:c r="S292" t="str">
        <x:f>IF(O292="drucken",COUNTIF($O$5:O292,"drucken"),"")</x:f>
      </x:c>
    </x:row>
    <x:row r="293">
      <x:c r="S293" t="str">
        <x:f>IF(O293="drucken",COUNTIF($O$5:O293,"drucken"),"")</x:f>
      </x:c>
    </x:row>
    <x:row r="294">
      <x:c r="S294" t="str">
        <x:f>IF(O294="drucken",COUNTIF($O$5:O294,"drucken"),"")</x:f>
      </x:c>
    </x:row>
    <x:row r="295">
      <x:c r="S295" t="str">
        <x:f>IF(O295="drucken",COUNTIF($O$5:O295,"drucken"),"")</x:f>
      </x:c>
    </x:row>
    <x:row r="296">
      <x:c r="S296" t="str">
        <x:f>IF(O296="drucken",COUNTIF($O$5:O296,"drucken"),"")</x:f>
      </x:c>
    </x:row>
    <x:row r="297">
      <x:c r="S297" t="str">
        <x:f>IF(O297="drucken",COUNTIF($O$5:O297,"drucken"),"")</x:f>
      </x:c>
    </x:row>
    <x:row r="298">
      <x:c r="S298" t="str">
        <x:f>IF(O298="drucken",COUNTIF($O$5:O298,"drucken"),"")</x:f>
      </x:c>
    </x:row>
    <x:row r="299">
      <x:c r="S299" t="str">
        <x:f>IF(O299="drucken",COUNTIF($O$5:O299,"drucken"),"")</x:f>
      </x:c>
    </x:row>
    <x:row r="300">
      <x:c r="S300" t="str">
        <x:f>IF(O300="drucken",COUNTIF($O$5:O300,"drucken"),"")</x:f>
      </x:c>
    </x:row>
    <x:row r="301">
      <x:c r="S301" t="str">
        <x:f>IF(O301="drucken",COUNTIF($O$5:O301,"drucken"),"")</x:f>
      </x:c>
    </x:row>
    <x:row r="302">
      <x:c r="S302" t="str">
        <x:f>IF(O302="drucken",COUNTIF($O$5:O302,"drucken"),"")</x:f>
      </x:c>
    </x:row>
    <x:row r="303">
      <x:c r="S303" t="str">
        <x:f>IF(O303="drucken",COUNTIF($O$5:O303,"drucken"),"")</x:f>
      </x:c>
    </x:row>
    <x:row r="304">
      <x:c r="S304" t="str">
        <x:f>IF(O304="drucken",COUNTIF($O$5:O304,"drucken"),"")</x:f>
      </x:c>
    </x:row>
    <x:row r="305">
      <x:c r="S305" t="str">
        <x:f>IF(O305="drucken",COUNTIF($O$5:O305,"drucken"),"")</x:f>
      </x:c>
    </x:row>
    <x:row r="306">
      <x:c r="S306" t="str">
        <x:f>IF(O306="drucken",COUNTIF($O$5:O306,"drucken"),"")</x:f>
      </x:c>
    </x:row>
    <x:row r="307">
      <x:c r="S307" t="str">
        <x:f>IF(O307="drucken",COUNTIF($O$5:O307,"drucken"),"")</x:f>
      </x:c>
    </x:row>
    <x:row r="308">
      <x:c r="S308" t="str">
        <x:f>IF(O308="drucken",COUNTIF($O$5:O308,"drucken"),"")</x:f>
      </x:c>
    </x:row>
    <x:row r="309">
      <x:c r="S309" t="str">
        <x:f>IF(O309="drucken",COUNTIF($O$5:O309,"drucken"),"")</x:f>
      </x:c>
    </x:row>
    <x:row r="310">
      <x:c r="S310" t="str">
        <x:f>IF(O310="drucken",COUNTIF($O$5:O310,"drucken"),"")</x:f>
      </x:c>
    </x:row>
    <x:row r="311">
      <x:c r="S311" t="str">
        <x:f>IF(O311="drucken",COUNTIF($O$5:O311,"drucken"),"")</x:f>
      </x:c>
    </x:row>
    <x:row r="312">
      <x:c r="S312" t="str">
        <x:f>IF(O312="drucken",COUNTIF($O$5:O312,"drucken"),"")</x:f>
      </x:c>
    </x:row>
    <x:row r="313">
      <x:c r="S313" t="str">
        <x:f>IF(O313="drucken",COUNTIF($O$5:O313,"drucken"),"")</x:f>
      </x:c>
    </x:row>
    <x:row r="314">
      <x:c r="S314" t="str">
        <x:f>IF(O314="drucken",COUNTIF($O$5:O314,"drucken"),"")</x:f>
      </x:c>
    </x:row>
    <x:row r="315">
      <x:c r="S315" t="str">
        <x:f>IF(O315="drucken",COUNTIF($O$5:O315,"drucken"),"")</x:f>
      </x:c>
    </x:row>
    <x:row r="316">
      <x:c r="S316" t="str">
        <x:f>IF(O316="drucken",COUNTIF($O$5:O316,"drucken"),"")</x:f>
      </x:c>
    </x:row>
    <x:row r="317">
      <x:c r="S317" t="str">
        <x:f>IF(O317="drucken",COUNTIF($O$5:O317,"drucken"),"")</x:f>
      </x:c>
    </x:row>
    <x:row r="318">
      <x:c r="S318" t="str">
        <x:f>IF(O318="drucken",COUNTIF($O$5:O318,"drucken"),"")</x:f>
      </x:c>
    </x:row>
    <x:row r="319">
      <x:c r="S319" t="str">
        <x:f>IF(O319="drucken",COUNTIF($O$5:O319,"drucken"),"")</x:f>
      </x:c>
    </x:row>
    <x:row r="320">
      <x:c r="S320" t="str">
        <x:f>IF(O320="drucken",COUNTIF($O$5:O320,"drucken"),"")</x:f>
      </x:c>
    </x:row>
    <x:row r="321">
      <x:c r="S321" t="str">
        <x:f>IF(O321="drucken",COUNTIF($O$5:O321,"drucken"),"")</x:f>
      </x:c>
    </x:row>
    <x:row r="322">
      <x:c r="S322" t="str">
        <x:f>IF(O322="drucken",COUNTIF($O$5:O322,"drucken"),"")</x:f>
      </x:c>
    </x:row>
    <x:row r="323">
      <x:c r="S323" t="str">
        <x:f>IF(O323="drucken",COUNTIF($O$5:O323,"drucken"),"")</x:f>
      </x:c>
    </x:row>
    <x:row r="324">
      <x:c r="S324" t="str">
        <x:f>IF(O324="drucken",COUNTIF($O$5:O324,"drucken"),"")</x:f>
      </x:c>
    </x:row>
    <x:row r="325">
      <x:c r="S325" t="str">
        <x:f>IF(O325="drucken",COUNTIF($O$5:O325,"drucken"),"")</x:f>
      </x:c>
    </x:row>
    <x:row r="326">
      <x:c r="S326" t="str">
        <x:f>IF(O326="drucken",COUNTIF($O$5:O326,"drucken"),"")</x:f>
      </x:c>
    </x:row>
    <x:row r="327">
      <x:c r="S327" t="str">
        <x:f>IF(O327="drucken",COUNTIF($O$5:O327,"drucken"),"")</x:f>
      </x:c>
    </x:row>
    <x:row r="328">
      <x:c r="S328" t="str">
        <x:f>IF(O328="drucken",COUNTIF($O$5:O328,"drucken"),"")</x:f>
      </x:c>
    </x:row>
    <x:row r="329">
      <x:c r="S329" t="str">
        <x:f>IF(O329="drucken",COUNTIF($O$5:O329,"drucken"),"")</x:f>
      </x:c>
    </x:row>
    <x:row r="330">
      <x:c r="S330" t="str">
        <x:f>IF(O330="drucken",COUNTIF($O$5:O330,"drucken"),"")</x:f>
      </x:c>
    </x:row>
    <x:row r="331">
      <x:c r="S331" t="str">
        <x:f>IF(O331="drucken",COUNTIF($O$5:O331,"drucken"),"")</x:f>
      </x:c>
    </x:row>
    <x:row r="332">
      <x:c r="S332" t="str">
        <x:f>IF(O332="drucken",COUNTIF($O$5:O332,"drucken"),"")</x:f>
      </x:c>
    </x:row>
    <x:row r="333">
      <x:c r="S333" t="str">
        <x:f>IF(O333="drucken",COUNTIF($O$5:O333,"drucken"),"")</x:f>
      </x:c>
    </x:row>
    <x:row r="334">
      <x:c r="S334" t="str">
        <x:f>IF(O334="drucken",COUNTIF($O$5:O334,"drucken"),"")</x:f>
      </x:c>
    </x:row>
    <x:row r="335">
      <x:c r="S335" t="str">
        <x:f>IF(O335="drucken",COUNTIF($O$5:O335,"drucken"),"")</x:f>
      </x:c>
    </x:row>
    <x:row r="336">
      <x:c r="S336" t="str">
        <x:f>IF(O336="drucken",COUNTIF($O$5:O336,"drucken"),"")</x:f>
      </x:c>
    </x:row>
    <x:row r="337">
      <x:c r="S337" t="str">
        <x:f>IF(O337="drucken",COUNTIF($O$5:O337,"drucken"),"")</x:f>
      </x:c>
    </x:row>
    <x:row r="338">
      <x:c r="S338" t="str">
        <x:f>IF(O338="drucken",COUNTIF($O$5:O338,"drucken"),"")</x:f>
      </x:c>
    </x:row>
    <x:row r="339">
      <x:c r="S339" t="str">
        <x:f>IF(O339="drucken",COUNTIF($O$5:O339,"drucken"),"")</x:f>
      </x:c>
    </x:row>
    <x:row r="340">
      <x:c r="S340" t="str">
        <x:f>IF(O340="drucken",COUNTIF($O$5:O340,"drucken"),"")</x:f>
      </x:c>
    </x:row>
    <x:row r="341">
      <x:c r="S341" t="str">
        <x:f>IF(O341="drucken",COUNTIF($O$5:O341,"drucken"),"")</x:f>
      </x:c>
    </x:row>
    <x:row r="342">
      <x:c r="S342" t="str">
        <x:f>IF(O342="drucken",COUNTIF($O$5:O342,"drucken"),"")</x:f>
      </x:c>
    </x:row>
    <x:row r="343">
      <x:c r="S343" t="str">
        <x:f>IF(O343="drucken",COUNTIF($O$5:O343,"drucken"),"")</x:f>
      </x:c>
    </x:row>
    <x:row r="344">
      <x:c r="S344" t="str">
        <x:f>IF(O344="drucken",COUNTIF($O$5:O344,"drucken"),"")</x:f>
      </x:c>
    </x:row>
    <x:row r="345">
      <x:c r="S345" t="str">
        <x:f>IF(O345="drucken",COUNTIF($O$5:O345,"drucken"),"")</x:f>
      </x:c>
    </x:row>
    <x:row r="346">
      <x:c r="S346" t="str">
        <x:f>IF(O346="drucken",COUNTIF($O$5:O346,"drucken"),"")</x:f>
      </x:c>
    </x:row>
    <x:row r="347">
      <x:c r="S347" t="str">
        <x:f>IF(O347="drucken",COUNTIF($O$5:O347,"drucken"),"")</x:f>
      </x:c>
    </x:row>
    <x:row r="348">
      <x:c r="S348" t="str">
        <x:f>IF(O348="drucken",COUNTIF($O$5:O348,"drucken"),"")</x:f>
      </x:c>
    </x:row>
    <x:row r="349">
      <x:c r="S349" t="str">
        <x:f>IF(O349="drucken",COUNTIF($O$5:O349,"drucken"),"")</x:f>
      </x:c>
    </x:row>
    <x:row r="350">
      <x:c r="S350" t="str">
        <x:f>IF(O350="drucken",COUNTIF($O$5:O350,"drucken"),"")</x:f>
      </x:c>
    </x:row>
    <x:row r="351">
      <x:c r="S351" t="str">
        <x:f>IF(O351="drucken",COUNTIF($O$5:O351,"drucken"),"")</x:f>
      </x:c>
    </x:row>
    <x:row r="352">
      <x:c r="S352" t="str">
        <x:f>IF(O352="drucken",COUNTIF($O$5:O352,"drucken"),"")</x:f>
      </x:c>
    </x:row>
    <x:row r="353">
      <x:c r="S353" t="str">
        <x:f>IF(O353="drucken",COUNTIF($O$5:O353,"drucken"),"")</x:f>
      </x:c>
    </x:row>
    <x:row r="354">
      <x:c r="S354" t="str">
        <x:f>IF(O354="drucken",COUNTIF($O$5:O354,"drucken"),"")</x:f>
      </x:c>
    </x:row>
    <x:row r="355">
      <x:c r="S355" t="str">
        <x:f>IF(O355="drucken",COUNTIF($O$5:O355,"drucken"),"")</x:f>
      </x:c>
    </x:row>
    <x:row r="356">
      <x:c r="S356" t="str">
        <x:f>IF(O356="drucken",COUNTIF($O$5:O356,"drucken"),"")</x:f>
      </x:c>
    </x:row>
    <x:row r="357">
      <x:c r="S357" t="str">
        <x:f>IF(O357="drucken",COUNTIF($O$5:O357,"drucken"),"")</x:f>
      </x:c>
    </x:row>
    <x:row r="358">
      <x:c r="S358" t="str">
        <x:f>IF(O358="drucken",COUNTIF($O$5:O358,"drucken"),"")</x:f>
      </x:c>
    </x:row>
    <x:row r="359">
      <x:c r="S359" t="str">
        <x:f>IF(O359="drucken",COUNTIF($O$5:O359,"drucken"),"")</x:f>
      </x:c>
    </x:row>
    <x:row r="360">
      <x:c r="S360" t="str">
        <x:f>IF(O360="drucken",COUNTIF($O$5:O360,"drucken"),"")</x:f>
      </x:c>
    </x:row>
    <x:row r="361">
      <x:c r="S361" t="str">
        <x:f>IF(O361="drucken",COUNTIF($O$5:O361,"drucken"),"")</x:f>
      </x:c>
    </x:row>
    <x:row r="362">
      <x:c r="S362" t="str">
        <x:f>IF(O362="drucken",COUNTIF($O$5:O362,"drucken"),"")</x:f>
      </x:c>
    </x:row>
    <x:row r="363">
      <x:c r="S363" t="str">
        <x:f>IF(O363="drucken",COUNTIF($O$5:O363,"drucken"),"")</x:f>
      </x:c>
    </x:row>
    <x:row r="364">
      <x:c r="S364" t="str">
        <x:f>IF(O364="drucken",COUNTIF($O$5:O364,"drucken"),"")</x:f>
      </x:c>
    </x:row>
    <x:row r="365">
      <x:c r="S365" t="str">
        <x:f>IF(O365="drucken",COUNTIF($O$5:O365,"drucken"),"")</x:f>
      </x:c>
    </x:row>
    <x:row r="366">
      <x:c r="S366" t="str">
        <x:f>IF(O366="drucken",COUNTIF($O$5:O366,"drucken"),"")</x:f>
      </x:c>
    </x:row>
    <x:row r="367">
      <x:c r="S367" t="str">
        <x:f>IF(O367="drucken",COUNTIF($O$5:O367,"drucken"),"")</x:f>
      </x:c>
    </x:row>
    <x:row r="368">
      <x:c r="S368" t="str">
        <x:f>IF(O368="drucken",COUNTIF($O$5:O368,"drucken"),"")</x:f>
      </x:c>
    </x:row>
    <x:row r="369">
      <x:c r="S369" t="str">
        <x:f>IF(O369="drucken",COUNTIF($O$5:O369,"drucken"),"")</x:f>
      </x:c>
    </x:row>
    <x:row r="370">
      <x:c r="S370" t="str">
        <x:f>IF(O370="drucken",COUNTIF($O$5:O370,"drucken"),"")</x:f>
      </x:c>
    </x:row>
    <x:row r="371">
      <x:c r="S371" t="str">
        <x:f>IF(O371="drucken",COUNTIF($O$5:O371,"drucken"),"")</x:f>
      </x:c>
    </x:row>
    <x:row r="372">
      <x:c r="S372" t="str">
        <x:f>IF(O372="drucken",COUNTIF($O$5:O372,"drucken"),"")</x:f>
      </x:c>
    </x:row>
    <x:row r="373">
      <x:c r="S373" t="str">
        <x:f>IF(O373="drucken",COUNTIF($O$5:O373,"drucken"),"")</x:f>
      </x:c>
    </x:row>
    <x:row r="374">
      <x:c r="S374" t="str">
        <x:f>IF(O374="drucken",COUNTIF($O$5:O374,"drucken"),"")</x:f>
      </x:c>
    </x:row>
    <x:row r="375">
      <x:c r="S375" t="str">
        <x:f>IF(O375="drucken",COUNTIF($O$5:O375,"drucken"),"")</x:f>
      </x:c>
    </x:row>
    <x:row r="376">
      <x:c r="S376" t="str">
        <x:f>IF(O376="drucken",COUNTIF($O$5:O376,"drucken"),"")</x:f>
      </x:c>
    </x:row>
    <x:row r="377">
      <x:c r="S377" t="str">
        <x:f>IF(O377="drucken",COUNTIF($O$5:O377,"drucken"),"")</x:f>
      </x:c>
    </x:row>
    <x:row r="378">
      <x:c r="S378" t="str">
        <x:f>IF(O378="drucken",COUNTIF($O$5:O378,"drucken"),"")</x:f>
      </x:c>
    </x:row>
    <x:row r="379">
      <x:c r="S379" t="str">
        <x:f>IF(O379="drucken",COUNTIF($O$5:O379,"drucken"),"")</x:f>
      </x:c>
    </x:row>
    <x:row r="380">
      <x:c r="S380" t="str">
        <x:f>IF(O380="drucken",COUNTIF($O$5:O380,"drucken"),"")</x:f>
      </x:c>
    </x:row>
    <x:row r="381">
      <x:c r="S381" t="str">
        <x:f>IF(O381="drucken",COUNTIF($O$5:O381,"drucken"),"")</x:f>
      </x:c>
    </x:row>
    <x:row r="382">
      <x:c r="S382" t="str">
        <x:f>IF(O382="drucken",COUNTIF($O$5:O382,"drucken"),"")</x:f>
      </x:c>
    </x:row>
    <x:row r="383">
      <x:c r="S383" t="str">
        <x:f>IF(O383="drucken",COUNTIF($O$5:O383,"drucken"),"")</x:f>
      </x:c>
    </x:row>
    <x:row r="384">
      <x:c r="S384" t="str">
        <x:f>IF(O384="drucken",COUNTIF($O$5:O384,"drucken"),"")</x:f>
      </x:c>
    </x:row>
    <x:row r="385">
      <x:c r="S385" t="str">
        <x:f>IF(O385="drucken",COUNTIF($O$5:O385,"drucken"),"")</x:f>
      </x:c>
    </x:row>
    <x:row r="386">
      <x:c r="S386" t="str">
        <x:f>IF(O386="drucken",COUNTIF($O$5:O386,"drucken"),"")</x:f>
      </x:c>
    </x:row>
    <x:row r="387">
      <x:c r="S387" t="str">
        <x:f>IF(O387="drucken",COUNTIF($O$5:O387,"drucken"),"")</x:f>
      </x:c>
    </x:row>
    <x:row r="388">
      <x:c r="S388" t="str">
        <x:f>IF(O388="drucken",COUNTIF($O$5:O388,"drucken"),"")</x:f>
      </x:c>
    </x:row>
    <x:row r="389">
      <x:c r="S389" t="str">
        <x:f>IF(O389="drucken",COUNTIF($O$5:O389,"drucken"),"")</x:f>
      </x:c>
    </x:row>
    <x:row r="390">
      <x:c r="S390" t="str">
        <x:f>IF(O390="drucken",COUNTIF($O$5:O390,"drucken"),"")</x:f>
      </x:c>
    </x:row>
    <x:row r="391">
      <x:c r="S391" t="str">
        <x:f>IF(O391="drucken",COUNTIF($O$5:O391,"drucken"),"")</x:f>
      </x:c>
    </x:row>
    <x:row r="392">
      <x:c r="S392" t="str">
        <x:f>IF(O392="drucken",COUNTIF($O$5:O392,"drucken"),"")</x:f>
      </x:c>
    </x:row>
    <x:row r="393">
      <x:c r="S393" t="str">
        <x:f>IF(O393="drucken",COUNTIF($O$5:O393,"drucken"),"")</x:f>
      </x:c>
    </x:row>
    <x:row r="394">
      <x:c r="S394" t="str">
        <x:f>IF(O394="drucken",COUNTIF($O$5:O394,"drucken"),"")</x:f>
      </x:c>
    </x:row>
    <x:row r="395">
      <x:c r="S395" t="str">
        <x:f>IF(O395="drucken",COUNTIF($O$5:O395,"drucken"),"")</x:f>
      </x:c>
    </x:row>
    <x:row r="396">
      <x:c r="S396" t="str">
        <x:f>IF(O396="drucken",COUNTIF($O$5:O396,"drucken"),"")</x:f>
      </x:c>
    </x:row>
    <x:row r="397">
      <x:c r="S397" t="str">
        <x:f>IF(O397="drucken",COUNTIF($O$5:O397,"drucken"),"")</x:f>
      </x:c>
    </x:row>
    <x:row r="398">
      <x:c r="S398" t="str">
        <x:f>IF(O398="drucken",COUNTIF($O$5:O398,"drucken"),"")</x:f>
      </x:c>
    </x:row>
    <x:row r="399">
      <x:c r="S399" t="str">
        <x:f>IF(O399="drucken",COUNTIF($O$5:O399,"drucken"),"")</x:f>
      </x:c>
    </x:row>
    <x:row r="400">
      <x:c r="S400" t="str">
        <x:f>IF(O400="drucken",COUNTIF($O$5:O400,"drucken"),"")</x:f>
      </x:c>
    </x:row>
    <x:row r="401">
      <x:c r="S401" t="str">
        <x:f>IF(O401="drucken",COUNTIF($O$5:O401,"drucken"),"")</x:f>
      </x:c>
    </x:row>
    <x:row r="402">
      <x:c r="S402" t="str">
        <x:f>IF(O402="drucken",COUNTIF($O$5:O402,"drucken"),"")</x:f>
      </x:c>
    </x:row>
    <x:row r="403">
      <x:c r="S403" t="str">
        <x:f>IF(O403="drucken",COUNTIF($O$5:O403,"drucken"),"")</x:f>
      </x:c>
    </x:row>
    <x:row r="404">
      <x:c r="S404" t="str">
        <x:f>IF(O404="drucken",COUNTIF($O$5:O404,"drucken"),"")</x:f>
      </x:c>
    </x:row>
    <x:row r="405">
      <x:c r="S405" t="str">
        <x:f>IF(O405="drucken",COUNTIF($O$5:O405,"drucken"),"")</x:f>
      </x:c>
    </x:row>
    <x:row r="406">
      <x:c r="S406" t="str">
        <x:f>IF(O406="drucken",COUNTIF($O$5:O406,"drucken"),"")</x:f>
      </x:c>
    </x:row>
    <x:row r="407">
      <x:c r="S407" t="str">
        <x:f>IF(O407="drucken",COUNTIF($O$5:O407,"drucken"),"")</x:f>
      </x:c>
    </x:row>
    <x:row r="408">
      <x:c r="S408" t="str">
        <x:f>IF(O408="drucken",COUNTIF($O$5:O408,"drucken"),"")</x:f>
      </x:c>
    </x:row>
    <x:row r="409">
      <x:c r="S409" t="str">
        <x:f>IF(O409="drucken",COUNTIF($O$5:O409,"drucken"),"")</x:f>
      </x:c>
    </x:row>
    <x:row r="410">
      <x:c r="S410" t="str">
        <x:f>IF(O410="drucken",COUNTIF($O$5:O410,"drucken"),"")</x:f>
      </x:c>
    </x:row>
    <x:row r="411">
      <x:c r="S411" t="str">
        <x:f>IF(O411="drucken",COUNTIF($O$5:O411,"drucken"),"")</x:f>
      </x:c>
    </x:row>
    <x:row r="412">
      <x:c r="S412" t="str">
        <x:f>IF(O412="drucken",COUNTIF($O$5:O412,"drucken"),"")</x:f>
      </x:c>
    </x:row>
    <x:row r="413">
      <x:c r="S413" t="str">
        <x:f>IF(O413="drucken",COUNTIF($O$5:O413,"drucken"),"")</x:f>
      </x:c>
    </x:row>
    <x:row r="414">
      <x:c r="S414" t="str">
        <x:f>IF(O414="drucken",COUNTIF($O$5:O414,"drucken"),"")</x:f>
      </x:c>
    </x:row>
    <x:row r="415">
      <x:c r="S415" t="str">
        <x:f>IF(O415="drucken",COUNTIF($O$5:O415,"drucken"),"")</x:f>
      </x:c>
    </x:row>
    <x:row r="416">
      <x:c r="S416" t="str">
        <x:f>IF(O416="drucken",COUNTIF($O$5:O416,"drucken"),"")</x:f>
      </x:c>
    </x:row>
    <x:row r="417">
      <x:c r="S417" t="str">
        <x:f>IF(O417="drucken",COUNTIF($O$5:O417,"drucken"),"")</x:f>
      </x:c>
    </x:row>
    <x:row r="418">
      <x:c r="S418" t="str">
        <x:f>IF(O418="drucken",COUNTIF($O$5:O418,"drucken"),"")</x:f>
      </x:c>
    </x:row>
    <x:row r="419">
      <x:c r="S419" t="str">
        <x:f>IF(O419="drucken",COUNTIF($O$5:O419,"drucken"),"")</x:f>
      </x:c>
    </x:row>
    <x:row r="420">
      <x:c r="S420" t="str">
        <x:f>IF(O420="drucken",COUNTIF($O$5:O420,"drucken"),"")</x:f>
      </x:c>
    </x:row>
    <x:row r="421">
      <x:c r="S421" t="str">
        <x:f>IF(O421="drucken",COUNTIF($O$5:O421,"drucken"),"")</x:f>
      </x:c>
    </x:row>
    <x:row r="422">
      <x:c r="S422" t="str">
        <x:f>IF(O422="drucken",COUNTIF($O$5:O422,"drucken"),"")</x:f>
      </x:c>
    </x:row>
    <x:row r="423">
      <x:c r="S423" t="str">
        <x:f>IF(O423="drucken",COUNTIF($O$5:O423,"drucken"),"")</x:f>
      </x:c>
    </x:row>
    <x:row r="424">
      <x:c r="S424" t="str">
        <x:f>IF(O424="drucken",COUNTIF($O$5:O424,"drucken"),"")</x:f>
      </x:c>
    </x:row>
    <x:row r="425">
      <x:c r="S425" t="str">
        <x:f>IF(O425="drucken",COUNTIF($O$5:O425,"drucken"),"")</x:f>
      </x:c>
    </x:row>
    <x:row r="426">
      <x:c r="S426" t="str">
        <x:f>IF(O426="drucken",COUNTIF($O$5:O426,"drucken"),"")</x:f>
      </x:c>
    </x:row>
    <x:row r="427">
      <x:c r="S427" t="str">
        <x:f>IF(O427="drucken",COUNTIF($O$5:O427,"drucken"),"")</x:f>
      </x:c>
    </x:row>
    <x:row r="428">
      <x:c r="S428" t="str">
        <x:f>IF(O428="drucken",COUNTIF($O$5:O428,"drucken"),"")</x:f>
      </x:c>
    </x:row>
    <x:row r="429">
      <x:c r="S429" t="str">
        <x:f>IF(O429="drucken",COUNTIF($O$5:O429,"drucken"),"")</x:f>
      </x:c>
    </x:row>
    <x:row r="430">
      <x:c r="S430" t="str">
        <x:f>IF(O430="drucken",COUNTIF($O$5:O430,"drucken"),"")</x:f>
      </x:c>
    </x:row>
    <x:row r="431">
      <x:c r="S431" t="str">
        <x:f>IF(O431="drucken",COUNTIF($O$5:O431,"drucken"),"")</x:f>
      </x:c>
    </x:row>
    <x:row r="432">
      <x:c r="S432" t="str">
        <x:f>IF(O432="drucken",COUNTIF($O$5:O432,"drucken"),"")</x:f>
      </x:c>
    </x:row>
    <x:row r="433">
      <x:c r="S433" t="str">
        <x:f>IF(O433="drucken",COUNTIF($O$5:O433,"drucken"),"")</x:f>
      </x:c>
    </x:row>
    <x:row r="434">
      <x:c r="S434" t="str">
        <x:f>IF(O434="drucken",COUNTIF($O$5:O434,"drucken"),"")</x:f>
      </x:c>
    </x:row>
    <x:row r="435">
      <x:c r="S435" t="str">
        <x:f>IF(O435="drucken",COUNTIF($O$5:O435,"drucken"),"")</x:f>
      </x:c>
    </x:row>
    <x:row r="436">
      <x:c r="S436" t="str">
        <x:f>IF(O436="drucken",COUNTIF($O$5:O436,"drucken"),"")</x:f>
      </x:c>
    </x:row>
    <x:row r="437">
      <x:c r="S437" t="str">
        <x:f>IF(O437="drucken",COUNTIF($O$5:O437,"drucken"),"")</x:f>
      </x:c>
    </x:row>
    <x:row r="438">
      <x:c r="S438" t="str">
        <x:f>IF(O438="drucken",COUNTIF($O$5:O438,"drucken"),"")</x:f>
      </x:c>
    </x:row>
    <x:row r="439">
      <x:c r="S439" t="str">
        <x:f>IF(O439="drucken",COUNTIF($O$5:O439,"drucken"),"")</x:f>
      </x:c>
    </x:row>
    <x:row r="440">
      <x:c r="S440" t="str">
        <x:f>IF(O440="drucken",COUNTIF($O$5:O440,"drucken"),"")</x:f>
      </x:c>
    </x:row>
    <x:row r="441">
      <x:c r="S441" t="str">
        <x:f>IF(O441="drucken",COUNTIF($O$5:O441,"drucken"),"")</x:f>
      </x:c>
    </x:row>
    <x:row r="442">
      <x:c r="S442" t="str">
        <x:f>IF(O442="drucken",COUNTIF($O$5:O442,"drucken"),"")</x:f>
      </x:c>
    </x:row>
    <x:row r="443">
      <x:c r="S443" t="str">
        <x:f>IF(O443="drucken",COUNTIF($O$5:O443,"drucken"),"")</x:f>
      </x:c>
    </x:row>
    <x:row r="444">
      <x:c r="S444" t="str">
        <x:f>IF(O444="drucken",COUNTIF($O$5:O444,"drucken"),"")</x:f>
      </x:c>
    </x:row>
    <x:row r="445">
      <x:c r="S445" t="str">
        <x:f>IF(O445="drucken",COUNTIF($O$5:O445,"drucken"),"")</x:f>
      </x:c>
    </x:row>
    <x:row r="446">
      <x:c r="S446" t="str">
        <x:f>IF(O446="drucken",COUNTIF($O$5:O446,"drucken"),"")</x:f>
      </x:c>
    </x:row>
    <x:row r="447">
      <x:c r="S447" t="str">
        <x:f>IF(O447="drucken",COUNTIF($O$5:O447,"drucken"),"")</x:f>
      </x:c>
    </x:row>
    <x:row r="448">
      <x:c r="S448" t="str">
        <x:f>IF(O448="drucken",COUNTIF($O$5:O448,"drucken"),"")</x:f>
      </x:c>
    </x:row>
    <x:row r="449">
      <x:c r="S449" t="str">
        <x:f>IF(O449="drucken",COUNTIF($O$5:O449,"drucken"),"")</x:f>
      </x:c>
    </x:row>
    <x:row r="450">
      <x:c r="S450" t="str">
        <x:f>IF(O450="drucken",COUNTIF($O$5:O450,"drucken"),"")</x:f>
      </x:c>
    </x:row>
    <x:row r="451">
      <x:c r="S451" t="str">
        <x:f>IF(O451="drucken",COUNTIF($O$5:O451,"drucken"),"")</x:f>
      </x:c>
    </x:row>
    <x:row r="452">
      <x:c r="S452" t="str">
        <x:f>IF(O452="drucken",COUNTIF($O$5:O452,"drucken"),"")</x:f>
      </x:c>
    </x:row>
    <x:row r="453">
      <x:c r="S453" t="str">
        <x:f>IF(O453="drucken",COUNTIF($O$5:O453,"drucken"),"")</x:f>
      </x:c>
    </x:row>
    <x:row r="454">
      <x:c r="S454" t="str">
        <x:f>IF(O454="drucken",COUNTIF($O$5:O454,"drucken"),"")</x:f>
      </x:c>
    </x:row>
    <x:row r="455">
      <x:c r="S455" t="str">
        <x:f>IF(O455="drucken",COUNTIF($O$5:O455,"drucken"),"")</x:f>
      </x:c>
    </x:row>
    <x:row r="456">
      <x:c r="S456" t="str">
        <x:f>IF(O456="drucken",COUNTIF($O$5:O456,"drucken"),"")</x:f>
      </x:c>
    </x:row>
    <x:row r="457">
      <x:c r="S457" t="str">
        <x:f>IF(O457="drucken",COUNTIF($O$5:O457,"drucken"),"")</x:f>
      </x:c>
    </x:row>
    <x:row r="458">
      <x:c r="S458" t="str">
        <x:f>IF(O458="drucken",COUNTIF($O$5:O458,"drucken"),"")</x:f>
      </x:c>
    </x:row>
    <x:row r="459">
      <x:c r="S459" t="str">
        <x:f>IF(O459="drucken",COUNTIF($O$5:O459,"drucken"),"")</x:f>
      </x:c>
    </x:row>
    <x:row r="460">
      <x:c r="S460" t="str">
        <x:f>IF(O460="drucken",COUNTIF($O$5:O460,"drucken"),"")</x:f>
      </x:c>
    </x:row>
    <x:row r="461">
      <x:c r="S461" t="str">
        <x:f>IF(O461="drucken",COUNTIF($O$5:O461,"drucken"),"")</x:f>
      </x:c>
    </x:row>
    <x:row r="462">
      <x:c r="S462" t="str">
        <x:f>IF(O462="drucken",COUNTIF($O$5:O462,"drucken"),"")</x:f>
      </x:c>
    </x:row>
    <x:row r="463">
      <x:c r="S463" t="str">
        <x:f>IF(O463="drucken",COUNTIF($O$5:O463,"drucken"),"")</x:f>
      </x:c>
    </x:row>
    <x:row r="464">
      <x:c r="S464" t="str">
        <x:f>IF(O464="drucken",COUNTIF($O$5:O464,"drucken"),"")</x:f>
      </x:c>
    </x:row>
    <x:row r="465">
      <x:c r="S465" t="str">
        <x:f>IF(O465="drucken",COUNTIF($O$5:O465,"drucken"),"")</x:f>
      </x:c>
    </x:row>
    <x:row r="466">
      <x:c r="S466" t="str">
        <x:f>IF(O466="drucken",COUNTIF($O$5:O466,"drucken"),"")</x:f>
      </x:c>
    </x:row>
    <x:row r="467">
      <x:c r="S467" t="str">
        <x:f>IF(O467="drucken",COUNTIF($O$5:O467,"drucken"),"")</x:f>
      </x:c>
    </x:row>
    <x:row r="468">
      <x:c r="S468" t="str">
        <x:f>IF(O468="drucken",COUNTIF($O$5:O468,"drucken"),"")</x:f>
      </x:c>
    </x:row>
    <x:row r="469">
      <x:c r="S469" t="str">
        <x:f>IF(O469="drucken",COUNTIF($O$5:O469,"drucken"),"")</x:f>
      </x:c>
    </x:row>
    <x:row r="470">
      <x:c r="S470" t="str">
        <x:f>IF(O470="drucken",COUNTIF($O$5:O470,"drucken"),"")</x:f>
      </x:c>
    </x:row>
    <x:row r="471">
      <x:c r="S471" t="str">
        <x:f>IF(O471="drucken",COUNTIF($O$5:O471,"drucken"),"")</x:f>
      </x:c>
    </x:row>
    <x:row r="472">
      <x:c r="S472" t="str">
        <x:f>IF(O472="drucken",COUNTIF($O$5:O472,"drucken"),"")</x:f>
      </x:c>
    </x:row>
    <x:row r="473">
      <x:c r="S473" t="str">
        <x:f>IF(O473="drucken",COUNTIF($O$5:O473,"drucken"),"")</x:f>
      </x:c>
    </x:row>
    <x:row r="474">
      <x:c r="S474" t="str">
        <x:f>IF(O474="drucken",COUNTIF($O$5:O474,"drucken"),"")</x:f>
      </x:c>
    </x:row>
    <x:row r="475">
      <x:c r="S475" t="str">
        <x:f>IF(O475="drucken",COUNTIF($O$5:O475,"drucken"),"")</x:f>
      </x:c>
    </x:row>
    <x:row r="476">
      <x:c r="S476" t="str">
        <x:f>IF(O476="drucken",COUNTIF($O$5:O476,"drucken"),"")</x:f>
      </x:c>
    </x:row>
    <x:row r="477">
      <x:c r="S477" t="str">
        <x:f>IF(O477="drucken",COUNTIF($O$5:O477,"drucken"),"")</x:f>
      </x:c>
    </x:row>
    <x:row r="478">
      <x:c r="S478" t="str">
        <x:f>IF(O478="drucken",COUNTIF($O$5:O478,"drucken"),"")</x:f>
      </x:c>
    </x:row>
    <x:row r="479">
      <x:c r="S479" t="str">
        <x:f>IF(O479="drucken",COUNTIF($O$5:O479,"drucken"),"")</x:f>
      </x:c>
    </x:row>
    <x:row r="480">
      <x:c r="S480" t="str">
        <x:f>IF(O480="drucken",COUNTIF($O$5:O480,"drucken"),"")</x:f>
      </x:c>
    </x:row>
    <x:row r="481">
      <x:c r="S481" t="str">
        <x:f>IF(O481="drucken",COUNTIF($O$5:O481,"drucken"),"")</x:f>
      </x:c>
    </x:row>
    <x:row r="482">
      <x:c r="S482" t="str">
        <x:f>IF(O482="drucken",COUNTIF($O$5:O482,"drucken"),"")</x:f>
      </x:c>
    </x:row>
    <x:row r="483">
      <x:c r="S483" t="str">
        <x:f>IF(O483="drucken",COUNTIF($O$5:O483,"drucken"),"")</x:f>
      </x:c>
    </x:row>
    <x:row r="484">
      <x:c r="S484" t="str">
        <x:f>IF(O484="drucken",COUNTIF($O$5:O484,"drucken"),"")</x:f>
      </x:c>
    </x:row>
    <x:row r="485">
      <x:c r="S485" t="str">
        <x:f>IF(O485="drucken",COUNTIF($O$5:O485,"drucken"),"")</x:f>
      </x:c>
    </x:row>
    <x:row r="486">
      <x:c r="S486" t="str">
        <x:f>IF(O486="drucken",COUNTIF($O$5:O486,"drucken"),"")</x:f>
      </x:c>
    </x:row>
    <x:row r="487">
      <x:c r="S487" t="str">
        <x:f>IF(O487="drucken",COUNTIF($O$5:O487,"drucken"),"")</x:f>
      </x:c>
    </x:row>
    <x:row r="488">
      <x:c r="S488" t="str">
        <x:f>IF(O488="drucken",COUNTIF($O$5:O488,"drucken"),"")</x:f>
      </x:c>
    </x:row>
    <x:row r="489">
      <x:c r="S489" t="str">
        <x:f>IF(O489="drucken",COUNTIF($O$5:O489,"drucken"),"")</x:f>
      </x:c>
    </x:row>
    <x:row r="490">
      <x:c r="S490" t="str">
        <x:f>IF(O490="drucken",COUNTIF($O$5:O490,"drucken"),"")</x:f>
      </x:c>
    </x:row>
    <x:row r="491">
      <x:c r="S491" t="str">
        <x:f>IF(O491="drucken",COUNTIF($O$5:O491,"drucken"),"")</x:f>
      </x:c>
    </x:row>
    <x:row r="492">
      <x:c r="S492" t="str">
        <x:f>IF(O492="drucken",COUNTIF($O$5:O492,"drucken"),"")</x:f>
      </x:c>
    </x:row>
    <x:row r="493">
      <x:c r="S493" t="str">
        <x:f>IF(O493="drucken",COUNTIF($O$5:O493,"drucken"),"")</x:f>
      </x:c>
    </x:row>
    <x:row r="494">
      <x:c r="S494" t="str">
        <x:f>IF(O494="drucken",COUNTIF($O$5:O494,"drucken"),"")</x:f>
      </x:c>
    </x:row>
    <x:row r="495">
      <x:c r="S495" t="str">
        <x:f>IF(O495="drucken",COUNTIF($O$5:O495,"drucken"),"")</x:f>
      </x:c>
    </x:row>
    <x:row r="496">
      <x:c r="S496" t="str">
        <x:f>IF(O496="drucken",COUNTIF($O$5:O496,"drucken"),"")</x:f>
      </x:c>
    </x:row>
    <x:row r="497">
      <x:c r="S497" t="str">
        <x:f>IF(O497="drucken",COUNTIF($O$5:O497,"drucken"),"")</x:f>
      </x:c>
    </x:row>
    <x:row r="498">
      <x:c r="S498" t="str">
        <x:f>IF(O498="drucken",COUNTIF($O$5:O498,"drucken"),"")</x:f>
      </x:c>
    </x:row>
    <x:row r="499">
      <x:c r="S499" t="str">
        <x:f>IF(O499="drucken",COUNTIF($O$5:O499,"drucken"),"")</x:f>
      </x:c>
    </x:row>
    <x:row r="500">
      <x:c r="S500" t="str">
        <x:f>IF(O500="drucken",COUNTIF($O$5:O500,"drucken"),"")</x:f>
      </x:c>
    </x:row>
  </x:sheetData>
  <x:mergeCells>
    <x:mergeCell ref="A1:N1"/>
    <x:mergeCell ref="Q1:R1"/>
    <x:mergeCell ref="A2:N2"/>
  </x:mergeCells>
  <x:dataValidations count="3">
    <x:dataValidation type="whole" sqref="J5:K83">
      <x:formula1>0</x:formula1>
      <x:formula2>999999</x:formula2>
    </x:dataValidation>
    <x:dataValidation type="list" sqref="O5:O105">
      <x:formula1>"drucken,nicht drucken"</x:formula1>
      <x:formula2>0</x:formula2>
    </x:dataValidation>
    <x:dataValidation type="whole" sqref="R2">
      <x:formula1>1</x:formula1>
      <x:formula2>24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e4a82be556a4c1b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.83203125" customWidth="1"/>
    <x:col min="2" max="2" width="31.1640625" customWidth="1"/>
    <x:col min="3" max="3" width="1.83203125" customWidth="1"/>
    <x:col min="4" max="4" width="31.1640625" customWidth="1"/>
    <x:col min="5" max="5" width="1.83203125" customWidth="1"/>
    <x:col min="6" max="6" width="31.1640625" customWidth="1"/>
  </x:cols>
  <x:sheetData>
    <x:row r="1" ht="22" customHeight="1">
      <x:c r="A1" s="63"/>
      <x:c r="B1" s="64" t="str">
        <x:f>IFERROR(IF(1&lt;Stock!$R$2,"",INDEX(Stock!$A$5:$A$500,MATCH(1-Stock!$R$2+1,Stock!$S$5:$S$500,0))),"")</x:f>
        <x:v>ENP-00018</x:v>
      </x:c>
      <x:c r="C1" s="63"/>
      <x:c r="D1" s="65" t="str">
        <x:f>IFERROR(IF(2&lt;Stock!$R$2,"",INDEX(Stock!$A$5:$A$500,MATCH(2-Stock!$R$2+1,Stock!$S$5:$S$500,0))),"")</x:f>
        <x:v>ENP-00091</x:v>
      </x:c>
      <x:c r="E1" s="66"/>
      <x:c r="F1" s="65" t="str">
        <x:f>IFERROR(IF(3&lt;Stock!$R$2,"",INDEX(Stock!$A$5:$A$500,MATCH(3-Stock!$R$2+1,Stock!$S$5:$S$500,0))),"")</x:f>
        <x:v>ENP-00092</x:v>
      </x:c>
    </x:row>
    <x:row r="2" ht="28" customHeight="1">
      <x:c r="A2" s="67"/>
      <x:c r="B2" s="68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)),"")</x:f>
        <x:v>10 kΩ, 0,1 %, 250 mW</x:v>
      </x:c>
      <x:c r="C2" s="67"/>
      <x:c r="D2" s="69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)),"")</x:f>
        <x:v>1x8, 2,54 mm, THT, gerade, Präzisionskontakte, 3 A / 150 V</x:v>
      </x:c>
      <x:c r="E2" s="66"/>
      <x:c r="F2" s="69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)),"")</x:f>
        <x:v>N-/P-Kanal, ±30 V, 1,4 W</x:v>
      </x:c>
    </x:row>
    <x:row r="3" ht="26" customHeight="1">
      <x:c r="A3" s="70"/>
      <x:c r="B3" s="71" t="str">
        <x:f>IFERROR(IF(1&lt;Stock!$R$2,"",IF(IF(OR(INDEX(Stock!$D$5:$D$500,MATCH(1-Stock!$R$2+1,Stock!$S$5:$S$500,0))="",INDEX(Stock!$D$5:$D$500,MATCH(1-Stock!$R$2+1,Stock!$S$5:$S$500,0))=0,INDEX(Stock!$D$5:$D$500,MATCH(1-Stock!$R$2+1,Stock!$S$5:$S$500,0))="0"),"",INDEX(Stock!$D$5:$D$500,MATCH(1-Stock!$R$2+1,Stock!$S$5:$S$500,0)))&lt;&gt;"",IF(OR(INDEX(Stock!$C$5:$C$500,MATCH(1-Stock!$R$2+1,Stock!$S$5:$S$500,0))="",INDEX(Stock!$C$5:$C$500,MATCH(1-Stock!$R$2+1,Stock!$S$5:$S$500,0))=0,INDEX(Stock!$C$5:$C$500,MATCH(1-Stock!$R$2+1,Stock!$S$5:$S$500,0))="0"),"",INDEX(Stock!$C$5:$C$500,MATCH(1-Stock!$R$2+1,Stock!$S$5:$S$500,0))),IF(OR(INDEX(Stock!$E$5:$E$500,MATCH(1-Stock!$R$2+1,Stock!$S$5:$S$500,0))="",INDEX(Stock!$E$5:$E$500,MATCH(1-Stock!$R$2+1,Stock!$S$5:$S$500,0))=0,INDEX(Stock!$E$5:$E$500,MATCH(1-Stock!$R$2+1,Stock!$S$5:$S$500,0))="0"),"",INDEX(Stock!$E$5:$E$500,MATCH(1-Stock!$R$2+1,Stock!$S$5:$S$500,0))))),"")</x:f>
        <x:v>SMD-Widerstand, 1206, 10 kOhm, 250 mW, 0,1%</x:v>
      </x:c>
      <x:c r="C3" s="70"/>
      <x:c r="D3" s="72" t="str">
        <x:f>IFERROR(IF(2&lt;Stock!$R$2,"",IF(IF(OR(INDEX(Stock!$D$5:$D$500,MATCH(2-Stock!$R$2+1,Stock!$S$5:$S$500,0))="",INDEX(Stock!$D$5:$D$500,MATCH(2-Stock!$R$2+1,Stock!$S$5:$S$500,0))=0,INDEX(Stock!$D$5:$D$500,MATCH(2-Stock!$R$2+1,Stock!$S$5:$S$500,0))="0"),"",INDEX(Stock!$D$5:$D$500,MATCH(2-Stock!$R$2+1,Stock!$S$5:$S$500,0)))&lt;&gt;"",IF(OR(INDEX(Stock!$C$5:$C$500,MATCH(2-Stock!$R$2+1,Stock!$S$5:$S$500,0))="",INDEX(Stock!$C$5:$C$500,MATCH(2-Stock!$R$2+1,Stock!$S$5:$S$500,0))=0,INDEX(Stock!$C$5:$C$500,MATCH(2-Stock!$R$2+1,Stock!$S$5:$S$500,0))="0"),"",INDEX(Stock!$C$5:$C$500,MATCH(2-Stock!$R$2+1,Stock!$S$5:$S$500,0))),IF(OR(INDEX(Stock!$E$5:$E$500,MATCH(2-Stock!$R$2+1,Stock!$S$5:$S$500,0))="",INDEX(Stock!$E$5:$E$500,MATCH(2-Stock!$R$2+1,Stock!$S$5:$S$500,0))=0,INDEX(Stock!$E$5:$E$500,MATCH(2-Stock!$R$2+1,Stock!$S$5:$S$500,0))="0"),"",INDEX(Stock!$E$5:$E$500,MATCH(2-Stock!$R$2+1,Stock!$S$5:$S$500,0))))),"")</x:f>
        <x:v>Präzisions-Buchsenleiste 1x8, 2,54 mm, gerade</x:v>
      </x:c>
      <x:c r="E3" s="66"/>
      <x:c r="F3" s="72" t="str">
        <x:f>IFERROR(IF(3&lt;Stock!$R$2,"",IF(IF(OR(INDEX(Stock!$D$5:$D$500,MATCH(3-Stock!$R$2+1,Stock!$S$5:$S$500,0))="",INDEX(Stock!$D$5:$D$500,MATCH(3-Stock!$R$2+1,Stock!$S$5:$S$500,0))=0,INDEX(Stock!$D$5:$D$500,MATCH(3-Stock!$R$2+1,Stock!$S$5:$S$500,0))="0"),"",INDEX(Stock!$D$5:$D$500,MATCH(3-Stock!$R$2+1,Stock!$S$5:$S$500,0)))&lt;&gt;"",IF(OR(INDEX(Stock!$C$5:$C$500,MATCH(3-Stock!$R$2+1,Stock!$S$5:$S$500,0))="",INDEX(Stock!$C$5:$C$500,MATCH(3-Stock!$R$2+1,Stock!$S$5:$S$500,0))=0,INDEX(Stock!$C$5:$C$500,MATCH(3-Stock!$R$2+1,Stock!$S$5:$S$500,0))="0"),"",INDEX(Stock!$C$5:$C$500,MATCH(3-Stock!$R$2+1,Stock!$S$5:$S$500,0))),IF(OR(INDEX(Stock!$E$5:$E$500,MATCH(3-Stock!$R$2+1,Stock!$S$5:$S$500,0))="",INDEX(Stock!$E$5:$E$500,MATCH(3-Stock!$R$2+1,Stock!$S$5:$S$500,0))=0,INDEX(Stock!$E$5:$E$500,MATCH(3-Stock!$R$2+1,Stock!$S$5:$S$500,0))="0"),"",INDEX(Stock!$E$5:$E$500,MATCH(3-Stock!$R$2+1,Stock!$S$5:$S$500,0))))),"")</x:f>
        <x:v>Dual-MOSFET N-/P-Kanal, SO-8</x:v>
      </x:c>
    </x:row>
    <x:row r="4" ht="29" customHeight="1">
      <x:c r="A4" s="73"/>
      <x:c r="B4" s="74" t="str">
        <x:f>IFERROR(IF(1&lt;Stock!$R$2,"",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amp;IF(AND(IF(OR(INDEX(Stock!$B$5:$B$500,MATCH(1-Stock!$R$2+1,Stock!$S$5:$S$500,0))="",INDEX(Stock!$B$5:$B$500,MATCH(1-Stock!$R$2+1,Stock!$S$5:$S$500,0))=0,INDEX(Stock!$B$5:$B$500,MATCH(1-Stock!$R$2+1,Stock!$S$5:$S$500,0))="0"),"",INDEX(Stock!$B$5:$B$500,MATCH(1-Stock!$R$2+1,Stock!$S$5:$S$500,0)))&lt;&gt;"",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&lt;&gt;"")," · ","")&amp;IF(OR(INDEX(Stock!$G$5:$G$500,MATCH(1-Stock!$R$2+1,Stock!$S$5:$S$500,0))="",INDEX(Stock!$G$5:$G$500,MATCH(1-Stock!$R$2+1,Stock!$S$5:$S$500,0))=0,INDEX(Stock!$G$5:$G$500,MATCH(1-Stock!$R$2+1,Stock!$S$5:$S$500,0))="0"),"",INDEX(Stock!$G$5:$G$500,MATCH(1-Stock!$R$2+1,Stock!$S$5:$S$500,0)))),"")</x:f>
        <x:v>Widerstand · ERA8AEB103V</x:v>
      </x:c>
      <x:c r="C4" s="73"/>
      <x:c r="D4" s="75" t="str">
        <x:f>IFERROR(IF(2&lt;Stock!$R$2,"",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amp;IF(AND(IF(OR(INDEX(Stock!$B$5:$B$500,MATCH(2-Stock!$R$2+1,Stock!$S$5:$S$500,0))="",INDEX(Stock!$B$5:$B$500,MATCH(2-Stock!$R$2+1,Stock!$S$5:$S$500,0))=0,INDEX(Stock!$B$5:$B$500,MATCH(2-Stock!$R$2+1,Stock!$S$5:$S$500,0))="0"),"",INDEX(Stock!$B$5:$B$500,MATCH(2-Stock!$R$2+1,Stock!$S$5:$S$500,0)))&lt;&gt;"",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&lt;&gt;"")," · ","")&amp;IF(OR(INDEX(Stock!$G$5:$G$500,MATCH(2-Stock!$R$2+1,Stock!$S$5:$S$500,0))="",INDEX(Stock!$G$5:$G$500,MATCH(2-Stock!$R$2+1,Stock!$S$5:$S$500,0))=0,INDEX(Stock!$G$5:$G$500,MATCH(2-Stock!$R$2+1,Stock!$S$5:$S$500,0))="0"),"",INDEX(Stock!$G$5:$G$500,MATCH(2-Stock!$R$2+1,Stock!$S$5:$S$500,0)))),"")</x:f>
        <x:v>Steckverbinder · 115-1-008-1-0-MTF-XS0</x:v>
      </x:c>
      <x:c r="E4" s="66"/>
      <x:c r="F4" s="75" t="str">
        <x:f>IFERROR(IF(3&lt;Stock!$R$2,"",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amp;IF(AND(IF(OR(INDEX(Stock!$B$5:$B$500,MATCH(3-Stock!$R$2+1,Stock!$S$5:$S$500,0))="",INDEX(Stock!$B$5:$B$500,MATCH(3-Stock!$R$2+1,Stock!$S$5:$S$500,0))=0,INDEX(Stock!$B$5:$B$500,MATCH(3-Stock!$R$2+1,Stock!$S$5:$S$500,0))="0"),"",INDEX(Stock!$B$5:$B$500,MATCH(3-Stock!$R$2+1,Stock!$S$5:$S$500,0)))&lt;&gt;"",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&lt;&gt;"")," · ","")&amp;IF(OR(INDEX(Stock!$G$5:$G$500,MATCH(3-Stock!$R$2+1,Stock!$S$5:$S$500,0))="",INDEX(Stock!$G$5:$G$500,MATCH(3-Stock!$R$2+1,Stock!$S$5:$S$500,0))=0,INDEX(Stock!$G$5:$G$500,MATCH(3-Stock!$R$2+1,Stock!$S$5:$S$500,0))="0"),"",INDEX(Stock!$G$5:$G$500,MATCH(3-Stock!$R$2+1,Stock!$S$5:$S$500,0)))),"")</x:f>
        <x:v>MOSFET · IRF7309PBF</x:v>
      </x:c>
    </x:row>
    <x:row r="5" ht="22" customHeight="1">
      <x:c r="A5" s="63"/>
      <x:c r="B5" s="64" t="str">
        <x:f>IFERROR(IF(4&lt;Stock!$R$2,"",INDEX(Stock!$A$5:$A$500,MATCH(4-Stock!$R$2+1,Stock!$S$5:$S$500,0))),"")</x:f>
        <x:v>ENP-00093</x:v>
      </x:c>
      <x:c r="C5" s="63"/>
      <x:c r="D5" s="65" t="str">
        <x:f>IFERROR(IF(5&lt;Stock!$R$2,"",INDEX(Stock!$A$5:$A$500,MATCH(5-Stock!$R$2+1,Stock!$S$5:$S$500,0))),"")</x:f>
        <x:v>ENP-00094</x:v>
      </x:c>
      <x:c r="E5" s="66"/>
      <x:c r="F5" s="65" t="str">
        <x:f>IFERROR(IF(6&lt;Stock!$R$2,"",INDEX(Stock!$A$5:$A$500,MATCH(6-Stock!$R$2+1,Stock!$S$5:$S$500,0))),"")</x:f>
        <x:v>ENP-00095</x:v>
      </x:c>
    </x:row>
    <x:row r="6" ht="28" customHeight="1">
      <x:c r="A6" s="67"/>
      <x:c r="B6" s="68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)),"")</x:f>
        <x:v>100 kΩ, 5 %, 250 mW, 200 V, ±100 ppm/K</x:v>
      </x:c>
      <x:c r="C6" s="67"/>
      <x:c r="D6" s="69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)),"")</x:f>
        <x:v>10 kΩ, 5 %, 250 mW, 200 V, ±100 ppm/K</x:v>
      </x:c>
      <x:c r="E6" s="66"/>
      <x:c r="F6" s="69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)),"")</x:f>
        <x:v>4000B, 6-fach, 3–15 V, SO-14</x:v>
      </x:c>
    </x:row>
    <x:row r="7" ht="26" customHeight="1">
      <x:c r="A7" s="70"/>
      <x:c r="B7" s="71" t="str">
        <x:f>IFERROR(IF(4&lt;Stock!$R$2,"",IF(IF(OR(INDEX(Stock!$D$5:$D$500,MATCH(4-Stock!$R$2+1,Stock!$S$5:$S$500,0))="",INDEX(Stock!$D$5:$D$500,MATCH(4-Stock!$R$2+1,Stock!$S$5:$S$500,0))=0,INDEX(Stock!$D$5:$D$500,MATCH(4-Stock!$R$2+1,Stock!$S$5:$S$500,0))="0"),"",INDEX(Stock!$D$5:$D$500,MATCH(4-Stock!$R$2+1,Stock!$S$5:$S$500,0)))&lt;&gt;"",IF(OR(INDEX(Stock!$C$5:$C$500,MATCH(4-Stock!$R$2+1,Stock!$S$5:$S$500,0))="",INDEX(Stock!$C$5:$C$500,MATCH(4-Stock!$R$2+1,Stock!$S$5:$S$500,0))=0,INDEX(Stock!$C$5:$C$500,MATCH(4-Stock!$R$2+1,Stock!$S$5:$S$500,0))="0"),"",INDEX(Stock!$C$5:$C$500,MATCH(4-Stock!$R$2+1,Stock!$S$5:$S$500,0))),IF(OR(INDEX(Stock!$E$5:$E$500,MATCH(4-Stock!$R$2+1,Stock!$S$5:$S$500,0))="",INDEX(Stock!$E$5:$E$500,MATCH(4-Stock!$R$2+1,Stock!$S$5:$S$500,0))=0,INDEX(Stock!$E$5:$E$500,MATCH(4-Stock!$R$2+1,Stock!$S$5:$S$500,0))="0"),"",INDEX(Stock!$E$5:$E$500,MATCH(4-Stock!$R$2+1,Stock!$S$5:$S$500,0))))),"")</x:f>
        <x:v>SMD-Widerstand 100 kOhm, 5 %, 1206</x:v>
      </x:c>
      <x:c r="C7" s="70"/>
      <x:c r="D7" s="72" t="str">
        <x:f>IFERROR(IF(5&lt;Stock!$R$2,"",IF(IF(OR(INDEX(Stock!$D$5:$D$500,MATCH(5-Stock!$R$2+1,Stock!$S$5:$S$500,0))="",INDEX(Stock!$D$5:$D$500,MATCH(5-Stock!$R$2+1,Stock!$S$5:$S$500,0))=0,INDEX(Stock!$D$5:$D$500,MATCH(5-Stock!$R$2+1,Stock!$S$5:$S$500,0))="0"),"",INDEX(Stock!$D$5:$D$500,MATCH(5-Stock!$R$2+1,Stock!$S$5:$S$500,0)))&lt;&gt;"",IF(OR(INDEX(Stock!$C$5:$C$500,MATCH(5-Stock!$R$2+1,Stock!$S$5:$S$500,0))="",INDEX(Stock!$C$5:$C$500,MATCH(5-Stock!$R$2+1,Stock!$S$5:$S$500,0))=0,INDEX(Stock!$C$5:$C$500,MATCH(5-Stock!$R$2+1,Stock!$S$5:$S$500,0))="0"),"",INDEX(Stock!$C$5:$C$500,MATCH(5-Stock!$R$2+1,Stock!$S$5:$S$500,0))),IF(OR(INDEX(Stock!$E$5:$E$500,MATCH(5-Stock!$R$2+1,Stock!$S$5:$S$500,0))="",INDEX(Stock!$E$5:$E$500,MATCH(5-Stock!$R$2+1,Stock!$S$5:$S$500,0))=0,INDEX(Stock!$E$5:$E$500,MATCH(5-Stock!$R$2+1,Stock!$S$5:$S$500,0))="0"),"",INDEX(Stock!$E$5:$E$500,MATCH(5-Stock!$R$2+1,Stock!$S$5:$S$500,0))))),"")</x:f>
        <x:v>SMD-Widerstand 10 kOhm, 5 %, 1206</x:v>
      </x:c>
      <x:c r="E7" s="66"/>
      <x:c r="F7" s="72" t="str">
        <x:f>IFERROR(IF(6&lt;Stock!$R$2,"",IF(IF(OR(INDEX(Stock!$D$5:$D$500,MATCH(6-Stock!$R$2+1,Stock!$S$5:$S$500,0))="",INDEX(Stock!$D$5:$D$500,MATCH(6-Stock!$R$2+1,Stock!$S$5:$S$500,0))=0,INDEX(Stock!$D$5:$D$500,MATCH(6-Stock!$R$2+1,Stock!$S$5:$S$500,0))="0"),"",INDEX(Stock!$D$5:$D$500,MATCH(6-Stock!$R$2+1,Stock!$S$5:$S$500,0)))&lt;&gt;"",IF(OR(INDEX(Stock!$C$5:$C$500,MATCH(6-Stock!$R$2+1,Stock!$S$5:$S$500,0))="",INDEX(Stock!$C$5:$C$500,MATCH(6-Stock!$R$2+1,Stock!$S$5:$S$500,0))=0,INDEX(Stock!$C$5:$C$500,MATCH(6-Stock!$R$2+1,Stock!$S$5:$S$500,0))="0"),"",INDEX(Stock!$C$5:$C$500,MATCH(6-Stock!$R$2+1,Stock!$S$5:$S$500,0))),IF(OR(INDEX(Stock!$E$5:$E$500,MATCH(6-Stock!$R$2+1,Stock!$S$5:$S$500,0))="",INDEX(Stock!$E$5:$E$500,MATCH(6-Stock!$R$2+1,Stock!$S$5:$S$500,0))=0,INDEX(Stock!$E$5:$E$500,MATCH(6-Stock!$R$2+1,Stock!$S$5:$S$500,0))="0"),"",INDEX(Stock!$E$5:$E$500,MATCH(6-Stock!$R$2+1,Stock!$S$5:$S$500,0))))),"")</x:f>
        <x:v>Hex-Inverter mit Schmitt-Trigger, SO-14</x:v>
      </x:c>
    </x:row>
    <x:row r="8" ht="29" customHeight="1">
      <x:c r="A8" s="73"/>
      <x:c r="B8" s="74" t="str">
        <x:f>IFERROR(IF(4&lt;Stock!$R$2,"",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amp;IF(AND(IF(OR(INDEX(Stock!$B$5:$B$500,MATCH(4-Stock!$R$2+1,Stock!$S$5:$S$500,0))="",INDEX(Stock!$B$5:$B$500,MATCH(4-Stock!$R$2+1,Stock!$S$5:$S$500,0))=0,INDEX(Stock!$B$5:$B$500,MATCH(4-Stock!$R$2+1,Stock!$S$5:$S$500,0))="0"),"",INDEX(Stock!$B$5:$B$500,MATCH(4-Stock!$R$2+1,Stock!$S$5:$S$500,0)))&lt;&gt;"",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&lt;&gt;"")," · ","")&amp;IF(OR(INDEX(Stock!$G$5:$G$500,MATCH(4-Stock!$R$2+1,Stock!$S$5:$S$500,0))="",INDEX(Stock!$G$5:$G$500,MATCH(4-Stock!$R$2+1,Stock!$S$5:$S$500,0))=0,INDEX(Stock!$G$5:$G$500,MATCH(4-Stock!$R$2+1,Stock!$S$5:$S$500,0))="0"),"",INDEX(Stock!$G$5:$G$500,MATCH(4-Stock!$R$2+1,Stock!$S$5:$S$500,0)))),"")</x:f>
        <x:v>Widerstand · RC1206JR-07100KL</x:v>
      </x:c>
      <x:c r="C8" s="73"/>
      <x:c r="D8" s="75" t="str">
        <x:f>IFERROR(IF(5&lt;Stock!$R$2,"",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amp;IF(AND(IF(OR(INDEX(Stock!$B$5:$B$500,MATCH(5-Stock!$R$2+1,Stock!$S$5:$S$500,0))="",INDEX(Stock!$B$5:$B$500,MATCH(5-Stock!$R$2+1,Stock!$S$5:$S$500,0))=0,INDEX(Stock!$B$5:$B$500,MATCH(5-Stock!$R$2+1,Stock!$S$5:$S$500,0))="0"),"",INDEX(Stock!$B$5:$B$500,MATCH(5-Stock!$R$2+1,Stock!$S$5:$S$500,0)))&lt;&gt;"",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&lt;&gt;"")," · ","")&amp;IF(OR(INDEX(Stock!$G$5:$G$500,MATCH(5-Stock!$R$2+1,Stock!$S$5:$S$500,0))="",INDEX(Stock!$G$5:$G$500,MATCH(5-Stock!$R$2+1,Stock!$S$5:$S$500,0))=0,INDEX(Stock!$G$5:$G$500,MATCH(5-Stock!$R$2+1,Stock!$S$5:$S$500,0))="0"),"",INDEX(Stock!$G$5:$G$500,MATCH(5-Stock!$R$2+1,Stock!$S$5:$S$500,0)))),"")</x:f>
        <x:v>Widerstand · RC1206JR-0710KL</x:v>
      </x:c>
      <x:c r="E8" s="66"/>
      <x:c r="F8" s="75" t="str">
        <x:f>IFERROR(IF(6&lt;Stock!$R$2,"",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amp;IF(AND(IF(OR(INDEX(Stock!$B$5:$B$500,MATCH(6-Stock!$R$2+1,Stock!$S$5:$S$500,0))="",INDEX(Stock!$B$5:$B$500,MATCH(6-Stock!$R$2+1,Stock!$S$5:$S$500,0))=0,INDEX(Stock!$B$5:$B$500,MATCH(6-Stock!$R$2+1,Stock!$S$5:$S$500,0))="0"),"",INDEX(Stock!$B$5:$B$500,MATCH(6-Stock!$R$2+1,Stock!$S$5:$S$500,0)))&lt;&gt;"",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&lt;&gt;"")," · ","")&amp;IF(OR(INDEX(Stock!$G$5:$G$500,MATCH(6-Stock!$R$2+1,Stock!$S$5:$S$500,0))="",INDEX(Stock!$G$5:$G$500,MATCH(6-Stock!$R$2+1,Stock!$S$5:$S$500,0))=0,INDEX(Stock!$G$5:$G$500,MATCH(6-Stock!$R$2+1,Stock!$S$5:$S$500,0))="0"),"",INDEX(Stock!$G$5:$G$500,MATCH(6-Stock!$R$2+1,Stock!$S$5:$S$500,0)))),"")</x:f>
        <x:v>IC</x:v>
      </x:c>
    </x:row>
    <x:row r="9" ht="22" customHeight="1">
      <x:c r="A9" s="63"/>
      <x:c r="B9" s="64" t="str">
        <x:f>IFERROR(IF(7&lt;Stock!$R$2,"",INDEX(Stock!$A$5:$A$500,MATCH(7-Stock!$R$2+1,Stock!$S$5:$S$500,0))),"")</x:f>
        <x:v>ENP-00096</x:v>
      </x:c>
      <x:c r="C9" s="63"/>
      <x:c r="D9" s="65" t="str">
        <x:f>IFERROR(IF(8&lt;Stock!$R$2,"",INDEX(Stock!$A$5:$A$500,MATCH(8-Stock!$R$2+1,Stock!$S$5:$S$500,0))),"")</x:f>
        <x:v>ENP-00097</x:v>
      </x:c>
      <x:c r="E9" s="66"/>
      <x:c r="F9" s="65" t="str">
        <x:f>IFERROR(IF(9&lt;Stock!$R$2,"",INDEX(Stock!$A$5:$A$500,MATCH(9-Stock!$R$2+1,Stock!$S$5:$S$500,0))),"")</x:f>
        <x:v>ENP-00098</x:v>
      </x:c>
    </x:row>
    <x:row r="10" ht="28" customHeight="1">
      <x:c r="A10" s="67"/>
      <x:c r="B10" s="68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)),"")</x:f>
        <x:v>220 µF, ±20 %, 16 V, 105 °C, 2000 h, ESR 160 mΩ</x:v>
      </x:c>
      <x:c r="C10" s="67"/>
      <x:c r="D10" s="69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)),"")</x:f>
        <x:v>470 µF, ±20 %, 16 V, 105 °C, 5000 h, ESR 160 mΩ</x:v>
      </x:c>
      <x:c r="E10" s="66"/>
      <x:c r="F10" s="69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)),"")</x:f>
        <x:v>1x2, 2,50 mm, THT, 90°, 250 V / 3 A</x:v>
      </x:c>
    </x:row>
    <x:row r="11" ht="26" customHeight="1">
      <x:c r="A11" s="70"/>
      <x:c r="B11" s="71" t="str">
        <x:f>IFERROR(IF(7&lt;Stock!$R$2,"",IF(IF(OR(INDEX(Stock!$D$5:$D$500,MATCH(7-Stock!$R$2+1,Stock!$S$5:$S$500,0))="",INDEX(Stock!$D$5:$D$500,MATCH(7-Stock!$R$2+1,Stock!$S$5:$S$500,0))=0,INDEX(Stock!$D$5:$D$500,MATCH(7-Stock!$R$2+1,Stock!$S$5:$S$500,0))="0"),"",INDEX(Stock!$D$5:$D$500,MATCH(7-Stock!$R$2+1,Stock!$S$5:$S$500,0)))&lt;&gt;"",IF(OR(INDEX(Stock!$C$5:$C$500,MATCH(7-Stock!$R$2+1,Stock!$S$5:$S$500,0))="",INDEX(Stock!$C$5:$C$500,MATCH(7-Stock!$R$2+1,Stock!$S$5:$S$500,0))=0,INDEX(Stock!$C$5:$C$500,MATCH(7-Stock!$R$2+1,Stock!$S$5:$S$500,0))="0"),"",INDEX(Stock!$C$5:$C$500,MATCH(7-Stock!$R$2+1,Stock!$S$5:$S$500,0))),IF(OR(INDEX(Stock!$E$5:$E$500,MATCH(7-Stock!$R$2+1,Stock!$S$5:$S$500,0))="",INDEX(Stock!$E$5:$E$500,MATCH(7-Stock!$R$2+1,Stock!$S$5:$S$500,0))=0,INDEX(Stock!$E$5:$E$500,MATCH(7-Stock!$R$2+1,Stock!$S$5:$S$500,0))="0"),"",INDEX(Stock!$E$5:$E$500,MATCH(7-Stock!$R$2+1,Stock!$S$5:$S$500,0))))),"")</x:f>
        <x:v>Elektrolytkondensator 220 µF SMD, Low ESR</x:v>
      </x:c>
      <x:c r="C11" s="70"/>
      <x:c r="D11" s="72" t="str">
        <x:f>IFERROR(IF(8&lt;Stock!$R$2,"",IF(IF(OR(INDEX(Stock!$D$5:$D$500,MATCH(8-Stock!$R$2+1,Stock!$S$5:$S$500,0))="",INDEX(Stock!$D$5:$D$500,MATCH(8-Stock!$R$2+1,Stock!$S$5:$S$500,0))=0,INDEX(Stock!$D$5:$D$500,MATCH(8-Stock!$R$2+1,Stock!$S$5:$S$500,0))="0"),"",INDEX(Stock!$D$5:$D$500,MATCH(8-Stock!$R$2+1,Stock!$S$5:$S$500,0)))&lt;&gt;"",IF(OR(INDEX(Stock!$C$5:$C$500,MATCH(8-Stock!$R$2+1,Stock!$S$5:$S$500,0))="",INDEX(Stock!$C$5:$C$500,MATCH(8-Stock!$R$2+1,Stock!$S$5:$S$500,0))=0,INDEX(Stock!$C$5:$C$500,MATCH(8-Stock!$R$2+1,Stock!$S$5:$S$500,0))="0"),"",INDEX(Stock!$C$5:$C$500,MATCH(8-Stock!$R$2+1,Stock!$S$5:$S$500,0))),IF(OR(INDEX(Stock!$E$5:$E$500,MATCH(8-Stock!$R$2+1,Stock!$S$5:$S$500,0))="",INDEX(Stock!$E$5:$E$500,MATCH(8-Stock!$R$2+1,Stock!$S$5:$S$500,0))=0,INDEX(Stock!$E$5:$E$500,MATCH(8-Stock!$R$2+1,Stock!$S$5:$S$500,0))="0"),"",INDEX(Stock!$E$5:$E$500,MATCH(8-Stock!$R$2+1,Stock!$S$5:$S$500,0))))),"")</x:f>
        <x:v>Elektrolytkondensator 470 µF SMD, Low ESR</x:v>
      </x:c>
      <x:c r="E11" s="66"/>
      <x:c r="F11" s="72" t="str">
        <x:f>IFERROR(IF(9&lt;Stock!$R$2,"",IF(IF(OR(INDEX(Stock!$D$5:$D$500,MATCH(9-Stock!$R$2+1,Stock!$S$5:$S$500,0))="",INDEX(Stock!$D$5:$D$500,MATCH(9-Stock!$R$2+1,Stock!$S$5:$S$500,0))=0,INDEX(Stock!$D$5:$D$500,MATCH(9-Stock!$R$2+1,Stock!$S$5:$S$500,0))="0"),"",INDEX(Stock!$D$5:$D$500,MATCH(9-Stock!$R$2+1,Stock!$S$5:$S$500,0)))&lt;&gt;"",IF(OR(INDEX(Stock!$C$5:$C$500,MATCH(9-Stock!$R$2+1,Stock!$S$5:$S$500,0))="",INDEX(Stock!$C$5:$C$500,MATCH(9-Stock!$R$2+1,Stock!$S$5:$S$500,0))=0,INDEX(Stock!$C$5:$C$500,MATCH(9-Stock!$R$2+1,Stock!$S$5:$S$500,0))="0"),"",INDEX(Stock!$C$5:$C$500,MATCH(9-Stock!$R$2+1,Stock!$S$5:$S$500,0))),IF(OR(INDEX(Stock!$E$5:$E$500,MATCH(9-Stock!$R$2+1,Stock!$S$5:$S$500,0))="",INDEX(Stock!$E$5:$E$500,MATCH(9-Stock!$R$2+1,Stock!$S$5:$S$500,0))=0,INDEX(Stock!$E$5:$E$500,MATCH(9-Stock!$R$2+1,Stock!$S$5:$S$500,0))="0"),"",INDEX(Stock!$E$5:$E$500,MATCH(9-Stock!$R$2+1,Stock!$S$5:$S$500,0))))),"")</x:f>
        <x:v>JST-XH Stiftleiste 1x2, abgewinkelt</x:v>
      </x:c>
    </x:row>
    <x:row r="12" ht="29" customHeight="1">
      <x:c r="A12" s="73"/>
      <x:c r="B12" s="74" t="str">
        <x:f>IFERROR(IF(7&lt;Stock!$R$2,"",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amp;IF(AND(IF(OR(INDEX(Stock!$B$5:$B$500,MATCH(7-Stock!$R$2+1,Stock!$S$5:$S$500,0))="",INDEX(Stock!$B$5:$B$500,MATCH(7-Stock!$R$2+1,Stock!$S$5:$S$500,0))=0,INDEX(Stock!$B$5:$B$500,MATCH(7-Stock!$R$2+1,Stock!$S$5:$S$500,0))="0"),"",INDEX(Stock!$B$5:$B$500,MATCH(7-Stock!$R$2+1,Stock!$S$5:$S$500,0)))&lt;&gt;"",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&lt;&gt;"")," · ","")&amp;IF(OR(INDEX(Stock!$G$5:$G$500,MATCH(7-Stock!$R$2+1,Stock!$S$5:$S$500,0))="",INDEX(Stock!$G$5:$G$500,MATCH(7-Stock!$R$2+1,Stock!$S$5:$S$500,0))=0,INDEX(Stock!$G$5:$G$500,MATCH(7-Stock!$R$2+1,Stock!$S$5:$S$500,0))="0"),"",INDEX(Stock!$G$5:$G$500,MATCH(7-Stock!$R$2+1,Stock!$S$5:$S$500,0)))),"")</x:f>
        <x:v>Kondensator · EEEFPC221XAP</x:v>
      </x:c>
      <x:c r="C12" s="73"/>
      <x:c r="D12" s="75" t="str">
        <x:f>IFERROR(IF(8&lt;Stock!$R$2,"",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amp;IF(AND(IF(OR(INDEX(Stock!$B$5:$B$500,MATCH(8-Stock!$R$2+1,Stock!$S$5:$S$500,0))="",INDEX(Stock!$B$5:$B$500,MATCH(8-Stock!$R$2+1,Stock!$S$5:$S$500,0))=0,INDEX(Stock!$B$5:$B$500,MATCH(8-Stock!$R$2+1,Stock!$S$5:$S$500,0))="0"),"",INDEX(Stock!$B$5:$B$500,MATCH(8-Stock!$R$2+1,Stock!$S$5:$S$500,0)))&lt;&gt;"",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&lt;&gt;"")," · ","")&amp;IF(OR(INDEX(Stock!$G$5:$G$500,MATCH(8-Stock!$R$2+1,Stock!$S$5:$S$500,0))="",INDEX(Stock!$G$5:$G$500,MATCH(8-Stock!$R$2+1,Stock!$S$5:$S$500,0))=0,INDEX(Stock!$G$5:$G$500,MATCH(8-Stock!$R$2+1,Stock!$S$5:$S$500,0))="0"),"",INDEX(Stock!$G$5:$G$500,MATCH(8-Stock!$R$2+1,Stock!$S$5:$S$500,0)))),"")</x:f>
        <x:v>Kondensator · EMZL160ARA471MHA0G</x:v>
      </x:c>
      <x:c r="E12" s="66"/>
      <x:c r="F12" s="75" t="str">
        <x:f>IFERROR(IF(9&lt;Stock!$R$2,"",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amp;IF(AND(IF(OR(INDEX(Stock!$B$5:$B$500,MATCH(9-Stock!$R$2+1,Stock!$S$5:$S$500,0))="",INDEX(Stock!$B$5:$B$500,MATCH(9-Stock!$R$2+1,Stock!$S$5:$S$500,0))=0,INDEX(Stock!$B$5:$B$500,MATCH(9-Stock!$R$2+1,Stock!$S$5:$S$500,0))="0"),"",INDEX(Stock!$B$5:$B$500,MATCH(9-Stock!$R$2+1,Stock!$S$5:$S$500,0)))&lt;&gt;"",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&lt;&gt;"")," · ","")&amp;IF(OR(INDEX(Stock!$G$5:$G$500,MATCH(9-Stock!$R$2+1,Stock!$S$5:$S$500,0))="",INDEX(Stock!$G$5:$G$500,MATCH(9-Stock!$R$2+1,Stock!$S$5:$S$500,0))=0,INDEX(Stock!$G$5:$G$500,MATCH(9-Stock!$R$2+1,Stock!$S$5:$S$500,0))="0"),"",INDEX(Stock!$G$5:$G$500,MATCH(9-Stock!$R$2+1,Stock!$S$5:$S$500,0)))),"")</x:f>
        <x:v>Steckverbinder · S2B-XH-A</x:v>
      </x:c>
    </x:row>
    <x:row r="13" ht="22" customHeight="1">
      <x:c r="A13" s="63"/>
      <x:c r="B13" s="64" t="str">
        <x:f>IFERROR(IF(10&lt;Stock!$R$2,"",INDEX(Stock!$A$5:$A$500,MATCH(10-Stock!$R$2+1,Stock!$S$5:$S$500,0))),"")</x:f>
        <x:v>ENP-00099</x:v>
      </x:c>
      <x:c r="C13" s="63"/>
      <x:c r="D13" s="65" t="str">
        <x:f>IFERROR(IF(11&lt;Stock!$R$2,"",INDEX(Stock!$A$5:$A$500,MATCH(11-Stock!$R$2+1,Stock!$S$5:$S$500,0))),"")</x:f>
        <x:v>ENP-00100</x:v>
      </x:c>
      <x:c r="E13" s="66"/>
      <x:c r="F13" s="65" t="str">
        <x:f>IFERROR(IF(12&lt;Stock!$R$2,"",INDEX(Stock!$A$5:$A$500,MATCH(12-Stock!$R$2+1,Stock!$S$5:$S$500,0))),"")</x:f>
        <x:v>ENP-00101</x:v>
      </x:c>
    </x:row>
    <x:row r="14" ht="28" customHeight="1">
      <x:c r="A14" s="67"/>
      <x:c r="B14" s="68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)),"")</x:f>
        <x:v>1 kΩ, 1 %, 250 mW, 200 V, ±100 ppm/K</x:v>
      </x:c>
      <x:c r="C14" s="67"/>
      <x:c r="D14" s="69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)),"")</x:f>
        <x:v>Rot, 624 nm, 40 mcd, 160°, Vf max. 1,7 V, IF max. 20 mA</x:v>
      </x:c>
      <x:c r="E14" s="66"/>
      <x:c r="F14" s="69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)),"")</x:f>
        <x:v>2-polig, Raster 2,54 mm, vergoldet, schwarz, mit Grifflasche</x:v>
      </x:c>
    </x:row>
    <x:row r="15" ht="26" customHeight="1">
      <x:c r="A15" s="70"/>
      <x:c r="B15" s="71" t="str">
        <x:f>IFERROR(IF(10&lt;Stock!$R$2,"",IF(IF(OR(INDEX(Stock!$D$5:$D$500,MATCH(10-Stock!$R$2+1,Stock!$S$5:$S$500,0))="",INDEX(Stock!$D$5:$D$500,MATCH(10-Stock!$R$2+1,Stock!$S$5:$S$500,0))=0,INDEX(Stock!$D$5:$D$500,MATCH(10-Stock!$R$2+1,Stock!$S$5:$S$500,0))="0"),"",INDEX(Stock!$D$5:$D$500,MATCH(10-Stock!$R$2+1,Stock!$S$5:$S$500,0)))&lt;&gt;"",IF(OR(INDEX(Stock!$C$5:$C$500,MATCH(10-Stock!$R$2+1,Stock!$S$5:$S$500,0))="",INDEX(Stock!$C$5:$C$500,MATCH(10-Stock!$R$2+1,Stock!$S$5:$S$500,0))=0,INDEX(Stock!$C$5:$C$500,MATCH(10-Stock!$R$2+1,Stock!$S$5:$S$500,0))="0"),"",INDEX(Stock!$C$5:$C$500,MATCH(10-Stock!$R$2+1,Stock!$S$5:$S$500,0))),IF(OR(INDEX(Stock!$E$5:$E$500,MATCH(10-Stock!$R$2+1,Stock!$S$5:$S$500,0))="",INDEX(Stock!$E$5:$E$500,MATCH(10-Stock!$R$2+1,Stock!$S$5:$S$500,0))=0,INDEX(Stock!$E$5:$E$500,MATCH(10-Stock!$R$2+1,Stock!$S$5:$S$500,0))="0"),"",INDEX(Stock!$E$5:$E$500,MATCH(10-Stock!$R$2+1,Stock!$S$5:$S$500,0))))),"")</x:f>
        <x:v>SMD-Widerstand 1 kOhm, 1 %, 1206</x:v>
      </x:c>
      <x:c r="C15" s="70"/>
      <x:c r="D15" s="72" t="str">
        <x:f>IFERROR(IF(11&lt;Stock!$R$2,"",IF(IF(OR(INDEX(Stock!$D$5:$D$500,MATCH(11-Stock!$R$2+1,Stock!$S$5:$S$500,0))="",INDEX(Stock!$D$5:$D$500,MATCH(11-Stock!$R$2+1,Stock!$S$5:$S$500,0))=0,INDEX(Stock!$D$5:$D$500,MATCH(11-Stock!$R$2+1,Stock!$S$5:$S$500,0))="0"),"",INDEX(Stock!$D$5:$D$500,MATCH(11-Stock!$R$2+1,Stock!$S$5:$S$500,0)))&lt;&gt;"",IF(OR(INDEX(Stock!$C$5:$C$500,MATCH(11-Stock!$R$2+1,Stock!$S$5:$S$500,0))="",INDEX(Stock!$C$5:$C$500,MATCH(11-Stock!$R$2+1,Stock!$S$5:$S$500,0))=0,INDEX(Stock!$C$5:$C$500,MATCH(11-Stock!$R$2+1,Stock!$S$5:$S$500,0))="0"),"",INDEX(Stock!$C$5:$C$500,MATCH(11-Stock!$R$2+1,Stock!$S$5:$S$500,0))),IF(OR(INDEX(Stock!$E$5:$E$500,MATCH(11-Stock!$R$2+1,Stock!$S$5:$S$500,0))="",INDEX(Stock!$E$5:$E$500,MATCH(11-Stock!$R$2+1,Stock!$S$5:$S$500,0))=0,INDEX(Stock!$E$5:$E$500,MATCH(11-Stock!$R$2+1,Stock!$S$5:$S$500,0))="0"),"",INDEX(Stock!$E$5:$E$500,MATCH(11-Stock!$R$2+1,Stock!$S$5:$S$500,0))))),"")</x:f>
        <x:v>LED SMD 1206, rot</x:v>
      </x:c>
      <x:c r="E15" s="66"/>
      <x:c r="F15" s="72" t="str">
        <x:f>IFERROR(IF(12&lt;Stock!$R$2,"",IF(IF(OR(INDEX(Stock!$D$5:$D$500,MATCH(12-Stock!$R$2+1,Stock!$S$5:$S$500,0))="",INDEX(Stock!$D$5:$D$500,MATCH(12-Stock!$R$2+1,Stock!$S$5:$S$500,0))=0,INDEX(Stock!$D$5:$D$500,MATCH(12-Stock!$R$2+1,Stock!$S$5:$S$500,0))="0"),"",INDEX(Stock!$D$5:$D$500,MATCH(12-Stock!$R$2+1,Stock!$S$5:$S$500,0)))&lt;&gt;"",IF(OR(INDEX(Stock!$C$5:$C$500,MATCH(12-Stock!$R$2+1,Stock!$S$5:$S$500,0))="",INDEX(Stock!$C$5:$C$500,MATCH(12-Stock!$R$2+1,Stock!$S$5:$S$500,0))=0,INDEX(Stock!$C$5:$C$500,MATCH(12-Stock!$R$2+1,Stock!$S$5:$S$500,0))="0"),"",INDEX(Stock!$C$5:$C$500,MATCH(12-Stock!$R$2+1,Stock!$S$5:$S$500,0))),IF(OR(INDEX(Stock!$E$5:$E$500,MATCH(12-Stock!$R$2+1,Stock!$S$5:$S$500,0))="",INDEX(Stock!$E$5:$E$500,MATCH(12-Stock!$R$2+1,Stock!$S$5:$S$500,0))=0,INDEX(Stock!$E$5:$E$500,MATCH(12-Stock!$R$2+1,Stock!$S$5:$S$500,0))="0"),"",INDEX(Stock!$E$5:$E$500,MATCH(12-Stock!$R$2+1,Stock!$S$5:$S$500,0))))),"")</x:f>
        <x:v>Kurzschlussbrücke 2,54 mm, schwarz, mit Grifflasche</x:v>
      </x:c>
    </x:row>
    <x:row r="16" ht="29" customHeight="1">
      <x:c r="A16" s="73"/>
      <x:c r="B16" s="74" t="str">
        <x:f>IFERROR(IF(10&lt;Stock!$R$2,"",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amp;IF(AND(IF(OR(INDEX(Stock!$B$5:$B$500,MATCH(10-Stock!$R$2+1,Stock!$S$5:$S$500,0))="",INDEX(Stock!$B$5:$B$500,MATCH(10-Stock!$R$2+1,Stock!$S$5:$S$500,0))=0,INDEX(Stock!$B$5:$B$500,MATCH(10-Stock!$R$2+1,Stock!$S$5:$S$500,0))="0"),"",INDEX(Stock!$B$5:$B$500,MATCH(10-Stock!$R$2+1,Stock!$S$5:$S$500,0)))&lt;&gt;"",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&lt;&gt;"")," · ","")&amp;IF(OR(INDEX(Stock!$G$5:$G$500,MATCH(10-Stock!$R$2+1,Stock!$S$5:$S$500,0))="",INDEX(Stock!$G$5:$G$500,MATCH(10-Stock!$R$2+1,Stock!$S$5:$S$500,0))=0,INDEX(Stock!$G$5:$G$500,MATCH(10-Stock!$R$2+1,Stock!$S$5:$S$500,0))="0"),"",INDEX(Stock!$G$5:$G$500,MATCH(10-Stock!$R$2+1,Stock!$S$5:$S$500,0)))),"")</x:f>
        <x:v>Widerstand · WR12X1001FTL</x:v>
      </x:c>
      <x:c r="C16" s="73"/>
      <x:c r="D16" s="75" t="str">
        <x:f>IFERROR(IF(11&lt;Stock!$R$2,"",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amp;IF(AND(IF(OR(INDEX(Stock!$B$5:$B$500,MATCH(11-Stock!$R$2+1,Stock!$S$5:$S$500,0))="",INDEX(Stock!$B$5:$B$500,MATCH(11-Stock!$R$2+1,Stock!$S$5:$S$500,0))=0,INDEX(Stock!$B$5:$B$500,MATCH(11-Stock!$R$2+1,Stock!$S$5:$S$500,0))="0"),"",INDEX(Stock!$B$5:$B$500,MATCH(11-Stock!$R$2+1,Stock!$S$5:$S$500,0)))&lt;&gt;"",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&lt;&gt;"")," · ","")&amp;IF(OR(INDEX(Stock!$G$5:$G$500,MATCH(11-Stock!$R$2+1,Stock!$S$5:$S$500,0))="",INDEX(Stock!$G$5:$G$500,MATCH(11-Stock!$R$2+1,Stock!$S$5:$S$500,0))=0,INDEX(Stock!$G$5:$G$500,MATCH(11-Stock!$R$2+1,Stock!$S$5:$S$500,0))="0"),"",INDEX(Stock!$G$5:$G$500,MATCH(11-Stock!$R$2+1,Stock!$S$5:$S$500,0)))),"")</x:f>
        <x:v>LED · 15-21SURD/S530-A3/TR8</x:v>
      </x:c>
      <x:c r="E16" s="66"/>
      <x:c r="F16" s="75" t="str">
        <x:f>IFERROR(IF(12&lt;Stock!$R$2,"",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amp;IF(AND(IF(OR(INDEX(Stock!$B$5:$B$500,MATCH(12-Stock!$R$2+1,Stock!$S$5:$S$500,0))="",INDEX(Stock!$B$5:$B$500,MATCH(12-Stock!$R$2+1,Stock!$S$5:$S$500,0))=0,INDEX(Stock!$B$5:$B$500,MATCH(12-Stock!$R$2+1,Stock!$S$5:$S$500,0))="0"),"",INDEX(Stock!$B$5:$B$500,MATCH(12-Stock!$R$2+1,Stock!$S$5:$S$500,0)))&lt;&gt;"",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&lt;&gt;"")," · ","")&amp;IF(OR(INDEX(Stock!$G$5:$G$500,MATCH(12-Stock!$R$2+1,Stock!$S$5:$S$500,0))="",INDEX(Stock!$G$5:$G$500,MATCH(12-Stock!$R$2+1,Stock!$S$5:$S$500,0))=0,INDEX(Stock!$G$5:$G$500,MATCH(12-Stock!$R$2+1,Stock!$S$5:$S$500,0))="0"),"",INDEX(Stock!$G$5:$G$500,MATCH(12-Stock!$R$2+1,Stock!$S$5:$S$500,0)))),"")</x:f>
        <x:v>Steckbrücke</x:v>
      </x:c>
    </x:row>
    <x:row r="17" ht="22" customHeight="1">
      <x:c r="A17" s="63"/>
      <x:c r="B17" s="64" t="str">
        <x:f>IFERROR(IF(13&lt;Stock!$R$2,"",INDEX(Stock!$A$5:$A$500,MATCH(13-Stock!$R$2+1,Stock!$S$5:$S$500,0))),"")</x:f>
      </x:c>
      <x:c r="C17" s="63"/>
      <x:c r="D17" s="65" t="str">
        <x:f>IFERROR(IF(14&lt;Stock!$R$2,"",INDEX(Stock!$A$5:$A$500,MATCH(14-Stock!$R$2+1,Stock!$S$5:$S$500,0))),"")</x:f>
      </x:c>
      <x:c r="E17" s="66"/>
      <x:c r="F17" s="65" t="str">
        <x:f>IFERROR(IF(15&lt;Stock!$R$2,"",INDEX(Stock!$A$5:$A$500,MATCH(15-Stock!$R$2+1,Stock!$S$5:$S$500,0))),"")</x:f>
      </x:c>
    </x:row>
    <x:row r="18" ht="28" customHeight="1">
      <x:c r="A18" s="67"/>
      <x:c r="B18" s="68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)),"")</x:f>
      </x:c>
      <x:c r="C18" s="67"/>
      <x:c r="D18" s="69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)),"")</x:f>
      </x:c>
      <x:c r="E18" s="66"/>
      <x:c r="F18" s="69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)),"")</x:f>
      </x:c>
    </x:row>
    <x:row r="19" ht="26" customHeight="1">
      <x:c r="A19" s="70"/>
      <x:c r="B19" s="71" t="str">
        <x:f>IFERROR(IF(13&lt;Stock!$R$2,"",IF(IF(OR(INDEX(Stock!$D$5:$D$500,MATCH(13-Stock!$R$2+1,Stock!$S$5:$S$500,0))="",INDEX(Stock!$D$5:$D$500,MATCH(13-Stock!$R$2+1,Stock!$S$5:$S$500,0))=0,INDEX(Stock!$D$5:$D$500,MATCH(13-Stock!$R$2+1,Stock!$S$5:$S$500,0))="0"),"",INDEX(Stock!$D$5:$D$500,MATCH(13-Stock!$R$2+1,Stock!$S$5:$S$500,0)))&lt;&gt;"",IF(OR(INDEX(Stock!$C$5:$C$500,MATCH(13-Stock!$R$2+1,Stock!$S$5:$S$500,0))="",INDEX(Stock!$C$5:$C$500,MATCH(13-Stock!$R$2+1,Stock!$S$5:$S$500,0))=0,INDEX(Stock!$C$5:$C$500,MATCH(13-Stock!$R$2+1,Stock!$S$5:$S$500,0))="0"),"",INDEX(Stock!$C$5:$C$500,MATCH(13-Stock!$R$2+1,Stock!$S$5:$S$500,0))),IF(OR(INDEX(Stock!$E$5:$E$500,MATCH(13-Stock!$R$2+1,Stock!$S$5:$S$500,0))="",INDEX(Stock!$E$5:$E$500,MATCH(13-Stock!$R$2+1,Stock!$S$5:$S$500,0))=0,INDEX(Stock!$E$5:$E$500,MATCH(13-Stock!$R$2+1,Stock!$S$5:$S$500,0))="0"),"",INDEX(Stock!$E$5:$E$500,MATCH(13-Stock!$R$2+1,Stock!$S$5:$S$500,0))))),"")</x:f>
      </x:c>
      <x:c r="C19" s="70"/>
      <x:c r="D19" s="72" t="str">
        <x:f>IFERROR(IF(14&lt;Stock!$R$2,"",IF(IF(OR(INDEX(Stock!$D$5:$D$500,MATCH(14-Stock!$R$2+1,Stock!$S$5:$S$500,0))="",INDEX(Stock!$D$5:$D$500,MATCH(14-Stock!$R$2+1,Stock!$S$5:$S$500,0))=0,INDEX(Stock!$D$5:$D$500,MATCH(14-Stock!$R$2+1,Stock!$S$5:$S$500,0))="0"),"",INDEX(Stock!$D$5:$D$500,MATCH(14-Stock!$R$2+1,Stock!$S$5:$S$500,0)))&lt;&gt;"",IF(OR(INDEX(Stock!$C$5:$C$500,MATCH(14-Stock!$R$2+1,Stock!$S$5:$S$500,0))="",INDEX(Stock!$C$5:$C$500,MATCH(14-Stock!$R$2+1,Stock!$S$5:$S$500,0))=0,INDEX(Stock!$C$5:$C$500,MATCH(14-Stock!$R$2+1,Stock!$S$5:$S$500,0))="0"),"",INDEX(Stock!$C$5:$C$500,MATCH(14-Stock!$R$2+1,Stock!$S$5:$S$500,0))),IF(OR(INDEX(Stock!$E$5:$E$500,MATCH(14-Stock!$R$2+1,Stock!$S$5:$S$500,0))="",INDEX(Stock!$E$5:$E$500,MATCH(14-Stock!$R$2+1,Stock!$S$5:$S$500,0))=0,INDEX(Stock!$E$5:$E$500,MATCH(14-Stock!$R$2+1,Stock!$S$5:$S$500,0))="0"),"",INDEX(Stock!$E$5:$E$500,MATCH(14-Stock!$R$2+1,Stock!$S$5:$S$500,0))))),"")</x:f>
      </x:c>
      <x:c r="E19" s="66"/>
      <x:c r="F19" s="72" t="str">
        <x:f>IFERROR(IF(15&lt;Stock!$R$2,"",IF(IF(OR(INDEX(Stock!$D$5:$D$500,MATCH(15-Stock!$R$2+1,Stock!$S$5:$S$500,0))="",INDEX(Stock!$D$5:$D$500,MATCH(15-Stock!$R$2+1,Stock!$S$5:$S$500,0))=0,INDEX(Stock!$D$5:$D$500,MATCH(15-Stock!$R$2+1,Stock!$S$5:$S$500,0))="0"),"",INDEX(Stock!$D$5:$D$500,MATCH(15-Stock!$R$2+1,Stock!$S$5:$S$500,0)))&lt;&gt;"",IF(OR(INDEX(Stock!$C$5:$C$500,MATCH(15-Stock!$R$2+1,Stock!$S$5:$S$500,0))="",INDEX(Stock!$C$5:$C$500,MATCH(15-Stock!$R$2+1,Stock!$S$5:$S$500,0))=0,INDEX(Stock!$C$5:$C$500,MATCH(15-Stock!$R$2+1,Stock!$S$5:$S$500,0))="0"),"",INDEX(Stock!$C$5:$C$500,MATCH(15-Stock!$R$2+1,Stock!$S$5:$S$500,0))),IF(OR(INDEX(Stock!$E$5:$E$500,MATCH(15-Stock!$R$2+1,Stock!$S$5:$S$500,0))="",INDEX(Stock!$E$5:$E$500,MATCH(15-Stock!$R$2+1,Stock!$S$5:$S$500,0))=0,INDEX(Stock!$E$5:$E$500,MATCH(15-Stock!$R$2+1,Stock!$S$5:$S$500,0))="0"),"",INDEX(Stock!$E$5:$E$500,MATCH(15-Stock!$R$2+1,Stock!$S$5:$S$500,0))))),"")</x:f>
      </x:c>
    </x:row>
    <x:row r="20" ht="29" customHeight="1">
      <x:c r="A20" s="73"/>
      <x:c r="B20" s="74" t="str">
        <x:f>IFERROR(IF(13&lt;Stock!$R$2,"",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amp;IF(AND(IF(OR(INDEX(Stock!$B$5:$B$500,MATCH(13-Stock!$R$2+1,Stock!$S$5:$S$500,0))="",INDEX(Stock!$B$5:$B$500,MATCH(13-Stock!$R$2+1,Stock!$S$5:$S$500,0))=0,INDEX(Stock!$B$5:$B$500,MATCH(13-Stock!$R$2+1,Stock!$S$5:$S$500,0))="0"),"",INDEX(Stock!$B$5:$B$500,MATCH(13-Stock!$R$2+1,Stock!$S$5:$S$500,0)))&lt;&gt;"",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&lt;&gt;"")," · ","")&amp;IF(OR(INDEX(Stock!$G$5:$G$500,MATCH(13-Stock!$R$2+1,Stock!$S$5:$S$500,0))="",INDEX(Stock!$G$5:$G$500,MATCH(13-Stock!$R$2+1,Stock!$S$5:$S$500,0))=0,INDEX(Stock!$G$5:$G$500,MATCH(13-Stock!$R$2+1,Stock!$S$5:$S$500,0))="0"),"",INDEX(Stock!$G$5:$G$500,MATCH(13-Stock!$R$2+1,Stock!$S$5:$S$500,0)))),"")</x:f>
      </x:c>
      <x:c r="C20" s="73"/>
      <x:c r="D20" s="75" t="str">
        <x:f>IFERROR(IF(14&lt;Stock!$R$2,"",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amp;IF(AND(IF(OR(INDEX(Stock!$B$5:$B$500,MATCH(14-Stock!$R$2+1,Stock!$S$5:$S$500,0))="",INDEX(Stock!$B$5:$B$500,MATCH(14-Stock!$R$2+1,Stock!$S$5:$S$500,0))=0,INDEX(Stock!$B$5:$B$500,MATCH(14-Stock!$R$2+1,Stock!$S$5:$S$500,0))="0"),"",INDEX(Stock!$B$5:$B$500,MATCH(14-Stock!$R$2+1,Stock!$S$5:$S$500,0)))&lt;&gt;"",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&lt;&gt;"")," · ","")&amp;IF(OR(INDEX(Stock!$G$5:$G$500,MATCH(14-Stock!$R$2+1,Stock!$S$5:$S$500,0))="",INDEX(Stock!$G$5:$G$500,MATCH(14-Stock!$R$2+1,Stock!$S$5:$S$500,0))=0,INDEX(Stock!$G$5:$G$500,MATCH(14-Stock!$R$2+1,Stock!$S$5:$S$500,0))="0"),"",INDEX(Stock!$G$5:$G$500,MATCH(14-Stock!$R$2+1,Stock!$S$5:$S$500,0)))),"")</x:f>
      </x:c>
      <x:c r="E20" s="66"/>
      <x:c r="F20" s="75" t="str">
        <x:f>IFERROR(IF(15&lt;Stock!$R$2,"",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amp;IF(AND(IF(OR(INDEX(Stock!$B$5:$B$500,MATCH(15-Stock!$R$2+1,Stock!$S$5:$S$500,0))="",INDEX(Stock!$B$5:$B$500,MATCH(15-Stock!$R$2+1,Stock!$S$5:$S$500,0))=0,INDEX(Stock!$B$5:$B$500,MATCH(15-Stock!$R$2+1,Stock!$S$5:$S$500,0))="0"),"",INDEX(Stock!$B$5:$B$500,MATCH(15-Stock!$R$2+1,Stock!$S$5:$S$500,0)))&lt;&gt;"",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&lt;&gt;"")," · ","")&amp;IF(OR(INDEX(Stock!$G$5:$G$500,MATCH(15-Stock!$R$2+1,Stock!$S$5:$S$500,0))="",INDEX(Stock!$G$5:$G$500,MATCH(15-Stock!$R$2+1,Stock!$S$5:$S$500,0))=0,INDEX(Stock!$G$5:$G$500,MATCH(15-Stock!$R$2+1,Stock!$S$5:$S$500,0))="0"),"",INDEX(Stock!$G$5:$G$500,MATCH(15-Stock!$R$2+1,Stock!$S$5:$S$500,0)))),"")</x:f>
      </x:c>
    </x:row>
    <x:row r="21" ht="22" customHeight="1">
      <x:c r="A21" s="63"/>
      <x:c r="B21" s="64" t="str">
        <x:f>IFERROR(IF(16&lt;Stock!$R$2,"",INDEX(Stock!$A$5:$A$500,MATCH(16-Stock!$R$2+1,Stock!$S$5:$S$500,0))),"")</x:f>
      </x:c>
      <x:c r="C21" s="63"/>
      <x:c r="D21" s="65" t="str">
        <x:f>IFERROR(IF(17&lt;Stock!$R$2,"",INDEX(Stock!$A$5:$A$500,MATCH(17-Stock!$R$2+1,Stock!$S$5:$S$500,0))),"")</x:f>
      </x:c>
      <x:c r="E21" s="66"/>
      <x:c r="F21" s="65" t="str">
        <x:f>IFERROR(IF(18&lt;Stock!$R$2,"",INDEX(Stock!$A$5:$A$500,MATCH(18-Stock!$R$2+1,Stock!$S$5:$S$500,0))),"")</x:f>
      </x:c>
    </x:row>
    <x:row r="22" ht="28" customHeight="1">
      <x:c r="A22" s="67"/>
      <x:c r="B22" s="68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)),"")</x:f>
      </x:c>
      <x:c r="C22" s="67"/>
      <x:c r="D22" s="69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)),"")</x:f>
      </x:c>
      <x:c r="E22" s="66"/>
      <x:c r="F22" s="69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)),"")</x:f>
      </x:c>
    </x:row>
    <x:row r="23" ht="26" customHeight="1">
      <x:c r="A23" s="70"/>
      <x:c r="B23" s="71" t="str">
        <x:f>IFERROR(IF(16&lt;Stock!$R$2,"",IF(IF(OR(INDEX(Stock!$D$5:$D$500,MATCH(16-Stock!$R$2+1,Stock!$S$5:$S$500,0))="",INDEX(Stock!$D$5:$D$500,MATCH(16-Stock!$R$2+1,Stock!$S$5:$S$500,0))=0,INDEX(Stock!$D$5:$D$500,MATCH(16-Stock!$R$2+1,Stock!$S$5:$S$500,0))="0"),"",INDEX(Stock!$D$5:$D$500,MATCH(16-Stock!$R$2+1,Stock!$S$5:$S$500,0)))&lt;&gt;"",IF(OR(INDEX(Stock!$C$5:$C$500,MATCH(16-Stock!$R$2+1,Stock!$S$5:$S$500,0))="",INDEX(Stock!$C$5:$C$500,MATCH(16-Stock!$R$2+1,Stock!$S$5:$S$500,0))=0,INDEX(Stock!$C$5:$C$500,MATCH(16-Stock!$R$2+1,Stock!$S$5:$S$500,0))="0"),"",INDEX(Stock!$C$5:$C$500,MATCH(16-Stock!$R$2+1,Stock!$S$5:$S$500,0))),IF(OR(INDEX(Stock!$E$5:$E$500,MATCH(16-Stock!$R$2+1,Stock!$S$5:$S$500,0))="",INDEX(Stock!$E$5:$E$500,MATCH(16-Stock!$R$2+1,Stock!$S$5:$S$500,0))=0,INDEX(Stock!$E$5:$E$500,MATCH(16-Stock!$R$2+1,Stock!$S$5:$S$500,0))="0"),"",INDEX(Stock!$E$5:$E$500,MATCH(16-Stock!$R$2+1,Stock!$S$5:$S$500,0))))),"")</x:f>
      </x:c>
      <x:c r="C23" s="70"/>
      <x:c r="D23" s="72" t="str">
        <x:f>IFERROR(IF(17&lt;Stock!$R$2,"",IF(IF(OR(INDEX(Stock!$D$5:$D$500,MATCH(17-Stock!$R$2+1,Stock!$S$5:$S$500,0))="",INDEX(Stock!$D$5:$D$500,MATCH(17-Stock!$R$2+1,Stock!$S$5:$S$500,0))=0,INDEX(Stock!$D$5:$D$500,MATCH(17-Stock!$R$2+1,Stock!$S$5:$S$500,0))="0"),"",INDEX(Stock!$D$5:$D$500,MATCH(17-Stock!$R$2+1,Stock!$S$5:$S$500,0)))&lt;&gt;"",IF(OR(INDEX(Stock!$C$5:$C$500,MATCH(17-Stock!$R$2+1,Stock!$S$5:$S$500,0))="",INDEX(Stock!$C$5:$C$500,MATCH(17-Stock!$R$2+1,Stock!$S$5:$S$500,0))=0,INDEX(Stock!$C$5:$C$500,MATCH(17-Stock!$R$2+1,Stock!$S$5:$S$500,0))="0"),"",INDEX(Stock!$C$5:$C$500,MATCH(17-Stock!$R$2+1,Stock!$S$5:$S$500,0))),IF(OR(INDEX(Stock!$E$5:$E$500,MATCH(17-Stock!$R$2+1,Stock!$S$5:$S$500,0))="",INDEX(Stock!$E$5:$E$500,MATCH(17-Stock!$R$2+1,Stock!$S$5:$S$500,0))=0,INDEX(Stock!$E$5:$E$500,MATCH(17-Stock!$R$2+1,Stock!$S$5:$S$500,0))="0"),"",INDEX(Stock!$E$5:$E$500,MATCH(17-Stock!$R$2+1,Stock!$S$5:$S$500,0))))),"")</x:f>
      </x:c>
      <x:c r="E23" s="66"/>
      <x:c r="F23" s="72" t="str">
        <x:f>IFERROR(IF(18&lt;Stock!$R$2,"",IF(IF(OR(INDEX(Stock!$D$5:$D$500,MATCH(18-Stock!$R$2+1,Stock!$S$5:$S$500,0))="",INDEX(Stock!$D$5:$D$500,MATCH(18-Stock!$R$2+1,Stock!$S$5:$S$500,0))=0,INDEX(Stock!$D$5:$D$500,MATCH(18-Stock!$R$2+1,Stock!$S$5:$S$500,0))="0"),"",INDEX(Stock!$D$5:$D$500,MATCH(18-Stock!$R$2+1,Stock!$S$5:$S$500,0)))&lt;&gt;"",IF(OR(INDEX(Stock!$C$5:$C$500,MATCH(18-Stock!$R$2+1,Stock!$S$5:$S$500,0))="",INDEX(Stock!$C$5:$C$500,MATCH(18-Stock!$R$2+1,Stock!$S$5:$S$500,0))=0,INDEX(Stock!$C$5:$C$500,MATCH(18-Stock!$R$2+1,Stock!$S$5:$S$500,0))="0"),"",INDEX(Stock!$C$5:$C$500,MATCH(18-Stock!$R$2+1,Stock!$S$5:$S$500,0))),IF(OR(INDEX(Stock!$E$5:$E$500,MATCH(18-Stock!$R$2+1,Stock!$S$5:$S$500,0))="",INDEX(Stock!$E$5:$E$500,MATCH(18-Stock!$R$2+1,Stock!$S$5:$S$500,0))=0,INDEX(Stock!$E$5:$E$500,MATCH(18-Stock!$R$2+1,Stock!$S$5:$S$500,0))="0"),"",INDEX(Stock!$E$5:$E$500,MATCH(18-Stock!$R$2+1,Stock!$S$5:$S$500,0))))),"")</x:f>
      </x:c>
    </x:row>
    <x:row r="24" ht="29" customHeight="1">
      <x:c r="A24" s="73"/>
      <x:c r="B24" s="74" t="str">
        <x:f>IFERROR(IF(16&lt;Stock!$R$2,"",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amp;IF(AND(IF(OR(INDEX(Stock!$B$5:$B$500,MATCH(16-Stock!$R$2+1,Stock!$S$5:$S$500,0))="",INDEX(Stock!$B$5:$B$500,MATCH(16-Stock!$R$2+1,Stock!$S$5:$S$500,0))=0,INDEX(Stock!$B$5:$B$500,MATCH(16-Stock!$R$2+1,Stock!$S$5:$S$500,0))="0"),"",INDEX(Stock!$B$5:$B$500,MATCH(16-Stock!$R$2+1,Stock!$S$5:$S$500,0)))&lt;&gt;"",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&lt;&gt;"")," · ","")&amp;IF(OR(INDEX(Stock!$G$5:$G$500,MATCH(16-Stock!$R$2+1,Stock!$S$5:$S$500,0))="",INDEX(Stock!$G$5:$G$500,MATCH(16-Stock!$R$2+1,Stock!$S$5:$S$500,0))=0,INDEX(Stock!$G$5:$G$500,MATCH(16-Stock!$R$2+1,Stock!$S$5:$S$500,0))="0"),"",INDEX(Stock!$G$5:$G$500,MATCH(16-Stock!$R$2+1,Stock!$S$5:$S$500,0)))),"")</x:f>
      </x:c>
      <x:c r="C24" s="73"/>
      <x:c r="D24" s="75" t="str">
        <x:f>IFERROR(IF(17&lt;Stock!$R$2,"",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amp;IF(AND(IF(OR(INDEX(Stock!$B$5:$B$500,MATCH(17-Stock!$R$2+1,Stock!$S$5:$S$500,0))="",INDEX(Stock!$B$5:$B$500,MATCH(17-Stock!$R$2+1,Stock!$S$5:$S$500,0))=0,INDEX(Stock!$B$5:$B$500,MATCH(17-Stock!$R$2+1,Stock!$S$5:$S$500,0))="0"),"",INDEX(Stock!$B$5:$B$500,MATCH(17-Stock!$R$2+1,Stock!$S$5:$S$500,0)))&lt;&gt;"",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&lt;&gt;"")," · ","")&amp;IF(OR(INDEX(Stock!$G$5:$G$500,MATCH(17-Stock!$R$2+1,Stock!$S$5:$S$500,0))="",INDEX(Stock!$G$5:$G$500,MATCH(17-Stock!$R$2+1,Stock!$S$5:$S$500,0))=0,INDEX(Stock!$G$5:$G$500,MATCH(17-Stock!$R$2+1,Stock!$S$5:$S$500,0))="0"),"",INDEX(Stock!$G$5:$G$500,MATCH(17-Stock!$R$2+1,Stock!$S$5:$S$500,0)))),"")</x:f>
      </x:c>
      <x:c r="E24" s="66"/>
      <x:c r="F24" s="75" t="str">
        <x:f>IFERROR(IF(18&lt;Stock!$R$2,"",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amp;IF(AND(IF(OR(INDEX(Stock!$B$5:$B$500,MATCH(18-Stock!$R$2+1,Stock!$S$5:$S$500,0))="",INDEX(Stock!$B$5:$B$500,MATCH(18-Stock!$R$2+1,Stock!$S$5:$S$500,0))=0,INDEX(Stock!$B$5:$B$500,MATCH(18-Stock!$R$2+1,Stock!$S$5:$S$500,0))="0"),"",INDEX(Stock!$B$5:$B$500,MATCH(18-Stock!$R$2+1,Stock!$S$5:$S$500,0)))&lt;&gt;"",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&lt;&gt;"")," · ","")&amp;IF(OR(INDEX(Stock!$G$5:$G$500,MATCH(18-Stock!$R$2+1,Stock!$S$5:$S$500,0))="",INDEX(Stock!$G$5:$G$500,MATCH(18-Stock!$R$2+1,Stock!$S$5:$S$500,0))=0,INDEX(Stock!$G$5:$G$500,MATCH(18-Stock!$R$2+1,Stock!$S$5:$S$500,0))="0"),"",INDEX(Stock!$G$5:$G$500,MATCH(18-Stock!$R$2+1,Stock!$S$5:$S$500,0)))),"")</x:f>
      </x:c>
    </x:row>
    <x:row r="25" ht="22" customHeight="1">
      <x:c r="A25" s="63"/>
      <x:c r="B25" s="64" t="str">
        <x:f>IFERROR(IF(19&lt;Stock!$R$2,"",INDEX(Stock!$A$5:$A$500,MATCH(19-Stock!$R$2+1,Stock!$S$5:$S$500,0))),"")</x:f>
      </x:c>
      <x:c r="C25" s="63"/>
      <x:c r="D25" s="65" t="str">
        <x:f>IFERROR(IF(20&lt;Stock!$R$2,"",INDEX(Stock!$A$5:$A$500,MATCH(20-Stock!$R$2+1,Stock!$S$5:$S$500,0))),"")</x:f>
      </x:c>
      <x:c r="E25" s="66"/>
      <x:c r="F25" s="65" t="str">
        <x:f>IFERROR(IF(21&lt;Stock!$R$2,"",INDEX(Stock!$A$5:$A$500,MATCH(21-Stock!$R$2+1,Stock!$S$5:$S$500,0))),"")</x:f>
      </x:c>
    </x:row>
    <x:row r="26" ht="28" customHeight="1">
      <x:c r="A26" s="67"/>
      <x:c r="B26" s="68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)),"")</x:f>
      </x:c>
      <x:c r="C26" s="67"/>
      <x:c r="D26" s="69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)),"")</x:f>
      </x:c>
      <x:c r="E26" s="66"/>
      <x:c r="F26" s="69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)),"")</x:f>
      </x:c>
    </x:row>
    <x:row r="27" ht="26" customHeight="1">
      <x:c r="A27" s="70"/>
      <x:c r="B27" s="71" t="str">
        <x:f>IFERROR(IF(19&lt;Stock!$R$2,"",IF(IF(OR(INDEX(Stock!$D$5:$D$500,MATCH(19-Stock!$R$2+1,Stock!$S$5:$S$500,0))="",INDEX(Stock!$D$5:$D$500,MATCH(19-Stock!$R$2+1,Stock!$S$5:$S$500,0))=0,INDEX(Stock!$D$5:$D$500,MATCH(19-Stock!$R$2+1,Stock!$S$5:$S$500,0))="0"),"",INDEX(Stock!$D$5:$D$500,MATCH(19-Stock!$R$2+1,Stock!$S$5:$S$500,0)))&lt;&gt;"",IF(OR(INDEX(Stock!$C$5:$C$500,MATCH(19-Stock!$R$2+1,Stock!$S$5:$S$500,0))="",INDEX(Stock!$C$5:$C$500,MATCH(19-Stock!$R$2+1,Stock!$S$5:$S$500,0))=0,INDEX(Stock!$C$5:$C$500,MATCH(19-Stock!$R$2+1,Stock!$S$5:$S$500,0))="0"),"",INDEX(Stock!$C$5:$C$500,MATCH(19-Stock!$R$2+1,Stock!$S$5:$S$500,0))),IF(OR(INDEX(Stock!$E$5:$E$500,MATCH(19-Stock!$R$2+1,Stock!$S$5:$S$500,0))="",INDEX(Stock!$E$5:$E$500,MATCH(19-Stock!$R$2+1,Stock!$S$5:$S$500,0))=0,INDEX(Stock!$E$5:$E$500,MATCH(19-Stock!$R$2+1,Stock!$S$5:$S$500,0))="0"),"",INDEX(Stock!$E$5:$E$500,MATCH(19-Stock!$R$2+1,Stock!$S$5:$S$500,0))))),"")</x:f>
      </x:c>
      <x:c r="C27" s="70"/>
      <x:c r="D27" s="72" t="str">
        <x:f>IFERROR(IF(20&lt;Stock!$R$2,"",IF(IF(OR(INDEX(Stock!$D$5:$D$500,MATCH(20-Stock!$R$2+1,Stock!$S$5:$S$500,0))="",INDEX(Stock!$D$5:$D$500,MATCH(20-Stock!$R$2+1,Stock!$S$5:$S$500,0))=0,INDEX(Stock!$D$5:$D$500,MATCH(20-Stock!$R$2+1,Stock!$S$5:$S$500,0))="0"),"",INDEX(Stock!$D$5:$D$500,MATCH(20-Stock!$R$2+1,Stock!$S$5:$S$500,0)))&lt;&gt;"",IF(OR(INDEX(Stock!$C$5:$C$500,MATCH(20-Stock!$R$2+1,Stock!$S$5:$S$500,0))="",INDEX(Stock!$C$5:$C$500,MATCH(20-Stock!$R$2+1,Stock!$S$5:$S$500,0))=0,INDEX(Stock!$C$5:$C$500,MATCH(20-Stock!$R$2+1,Stock!$S$5:$S$500,0))="0"),"",INDEX(Stock!$C$5:$C$500,MATCH(20-Stock!$R$2+1,Stock!$S$5:$S$500,0))),IF(OR(INDEX(Stock!$E$5:$E$500,MATCH(20-Stock!$R$2+1,Stock!$S$5:$S$500,0))="",INDEX(Stock!$E$5:$E$500,MATCH(20-Stock!$R$2+1,Stock!$S$5:$S$500,0))=0,INDEX(Stock!$E$5:$E$500,MATCH(20-Stock!$R$2+1,Stock!$S$5:$S$500,0))="0"),"",INDEX(Stock!$E$5:$E$500,MATCH(20-Stock!$R$2+1,Stock!$S$5:$S$500,0))))),"")</x:f>
      </x:c>
      <x:c r="E27" s="66"/>
      <x:c r="F27" s="72" t="str">
        <x:f>IFERROR(IF(21&lt;Stock!$R$2,"",IF(IF(OR(INDEX(Stock!$D$5:$D$500,MATCH(21-Stock!$R$2+1,Stock!$S$5:$S$500,0))="",INDEX(Stock!$D$5:$D$500,MATCH(21-Stock!$R$2+1,Stock!$S$5:$S$500,0))=0,INDEX(Stock!$D$5:$D$500,MATCH(21-Stock!$R$2+1,Stock!$S$5:$S$500,0))="0"),"",INDEX(Stock!$D$5:$D$500,MATCH(21-Stock!$R$2+1,Stock!$S$5:$S$500,0)))&lt;&gt;"",IF(OR(INDEX(Stock!$C$5:$C$500,MATCH(21-Stock!$R$2+1,Stock!$S$5:$S$500,0))="",INDEX(Stock!$C$5:$C$500,MATCH(21-Stock!$R$2+1,Stock!$S$5:$S$500,0))=0,INDEX(Stock!$C$5:$C$500,MATCH(21-Stock!$R$2+1,Stock!$S$5:$S$500,0))="0"),"",INDEX(Stock!$C$5:$C$500,MATCH(21-Stock!$R$2+1,Stock!$S$5:$S$500,0))),IF(OR(INDEX(Stock!$E$5:$E$500,MATCH(21-Stock!$R$2+1,Stock!$S$5:$S$500,0))="",INDEX(Stock!$E$5:$E$500,MATCH(21-Stock!$R$2+1,Stock!$S$5:$S$500,0))=0,INDEX(Stock!$E$5:$E$500,MATCH(21-Stock!$R$2+1,Stock!$S$5:$S$500,0))="0"),"",INDEX(Stock!$E$5:$E$500,MATCH(21-Stock!$R$2+1,Stock!$S$5:$S$500,0))))),"")</x:f>
      </x:c>
    </x:row>
    <x:row r="28" ht="29" customHeight="1">
      <x:c r="A28" s="73"/>
      <x:c r="B28" s="74" t="str">
        <x:f>IFERROR(IF(19&lt;Stock!$R$2,"",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amp;IF(AND(IF(OR(INDEX(Stock!$B$5:$B$500,MATCH(19-Stock!$R$2+1,Stock!$S$5:$S$500,0))="",INDEX(Stock!$B$5:$B$500,MATCH(19-Stock!$R$2+1,Stock!$S$5:$S$500,0))=0,INDEX(Stock!$B$5:$B$500,MATCH(19-Stock!$R$2+1,Stock!$S$5:$S$500,0))="0"),"",INDEX(Stock!$B$5:$B$500,MATCH(19-Stock!$R$2+1,Stock!$S$5:$S$500,0)))&lt;&gt;"",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&lt;&gt;"")," · ","")&amp;IF(OR(INDEX(Stock!$G$5:$G$500,MATCH(19-Stock!$R$2+1,Stock!$S$5:$S$500,0))="",INDEX(Stock!$G$5:$G$500,MATCH(19-Stock!$R$2+1,Stock!$S$5:$S$500,0))=0,INDEX(Stock!$G$5:$G$500,MATCH(19-Stock!$R$2+1,Stock!$S$5:$S$500,0))="0"),"",INDEX(Stock!$G$5:$G$500,MATCH(19-Stock!$R$2+1,Stock!$S$5:$S$500,0)))),"")</x:f>
      </x:c>
      <x:c r="C28" s="73"/>
      <x:c r="D28" s="75" t="str">
        <x:f>IFERROR(IF(20&lt;Stock!$R$2,"",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amp;IF(AND(IF(OR(INDEX(Stock!$B$5:$B$500,MATCH(20-Stock!$R$2+1,Stock!$S$5:$S$500,0))="",INDEX(Stock!$B$5:$B$500,MATCH(20-Stock!$R$2+1,Stock!$S$5:$S$500,0))=0,INDEX(Stock!$B$5:$B$500,MATCH(20-Stock!$R$2+1,Stock!$S$5:$S$500,0))="0"),"",INDEX(Stock!$B$5:$B$500,MATCH(20-Stock!$R$2+1,Stock!$S$5:$S$500,0)))&lt;&gt;"",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&lt;&gt;"")," · ","")&amp;IF(OR(INDEX(Stock!$G$5:$G$500,MATCH(20-Stock!$R$2+1,Stock!$S$5:$S$500,0))="",INDEX(Stock!$G$5:$G$500,MATCH(20-Stock!$R$2+1,Stock!$S$5:$S$500,0))=0,INDEX(Stock!$G$5:$G$500,MATCH(20-Stock!$R$2+1,Stock!$S$5:$S$500,0))="0"),"",INDEX(Stock!$G$5:$G$500,MATCH(20-Stock!$R$2+1,Stock!$S$5:$S$500,0)))),"")</x:f>
      </x:c>
      <x:c r="E28" s="66"/>
      <x:c r="F28" s="75" t="str">
        <x:f>IFERROR(IF(21&lt;Stock!$R$2,"",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amp;IF(AND(IF(OR(INDEX(Stock!$B$5:$B$500,MATCH(21-Stock!$R$2+1,Stock!$S$5:$S$500,0))="",INDEX(Stock!$B$5:$B$500,MATCH(21-Stock!$R$2+1,Stock!$S$5:$S$500,0))=0,INDEX(Stock!$B$5:$B$500,MATCH(21-Stock!$R$2+1,Stock!$S$5:$S$500,0))="0"),"",INDEX(Stock!$B$5:$B$500,MATCH(21-Stock!$R$2+1,Stock!$S$5:$S$500,0)))&lt;&gt;"",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&lt;&gt;"")," · ","")&amp;IF(OR(INDEX(Stock!$G$5:$G$500,MATCH(21-Stock!$R$2+1,Stock!$S$5:$S$500,0))="",INDEX(Stock!$G$5:$G$500,MATCH(21-Stock!$R$2+1,Stock!$S$5:$S$500,0))=0,INDEX(Stock!$G$5:$G$500,MATCH(21-Stock!$R$2+1,Stock!$S$5:$S$500,0))="0"),"",INDEX(Stock!$G$5:$G$500,MATCH(21-Stock!$R$2+1,Stock!$S$5:$S$500,0)))),"")</x:f>
      </x:c>
    </x:row>
    <x:row r="29" ht="22" customHeight="1">
      <x:c r="A29" s="63"/>
      <x:c r="B29" s="64" t="str">
        <x:f>IFERROR(IF(22&lt;Stock!$R$2,"",INDEX(Stock!$A$5:$A$500,MATCH(22-Stock!$R$2+1,Stock!$S$5:$S$500,0))),"")</x:f>
      </x:c>
      <x:c r="C29" s="63"/>
      <x:c r="D29" s="65" t="str">
        <x:f>IFERROR(IF(23&lt;Stock!$R$2,"",INDEX(Stock!$A$5:$A$500,MATCH(23-Stock!$R$2+1,Stock!$S$5:$S$500,0))),"")</x:f>
      </x:c>
      <x:c r="E29" s="66"/>
      <x:c r="F29" s="65" t="str">
        <x:f>IFERROR(IF(24&lt;Stock!$R$2,"",INDEX(Stock!$A$5:$A$500,MATCH(24-Stock!$R$2+1,Stock!$S$5:$S$500,0))),"")</x:f>
      </x:c>
    </x:row>
    <x:row r="30" ht="28" customHeight="1">
      <x:c r="A30" s="67"/>
      <x:c r="B30" s="68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)),"")</x:f>
      </x:c>
      <x:c r="C30" s="67"/>
      <x:c r="D30" s="69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)),"")</x:f>
      </x:c>
      <x:c r="E30" s="66"/>
      <x:c r="F30" s="69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)),"")</x:f>
      </x:c>
    </x:row>
    <x:row r="31" ht="26" customHeight="1">
      <x:c r="A31" s="70"/>
      <x:c r="B31" s="71" t="str">
        <x:f>IFERROR(IF(22&lt;Stock!$R$2,"",IF(IF(OR(INDEX(Stock!$D$5:$D$500,MATCH(22-Stock!$R$2+1,Stock!$S$5:$S$500,0))="",INDEX(Stock!$D$5:$D$500,MATCH(22-Stock!$R$2+1,Stock!$S$5:$S$500,0))=0,INDEX(Stock!$D$5:$D$500,MATCH(22-Stock!$R$2+1,Stock!$S$5:$S$500,0))="0"),"",INDEX(Stock!$D$5:$D$500,MATCH(22-Stock!$R$2+1,Stock!$S$5:$S$500,0)))&lt;&gt;"",IF(OR(INDEX(Stock!$C$5:$C$500,MATCH(22-Stock!$R$2+1,Stock!$S$5:$S$500,0))="",INDEX(Stock!$C$5:$C$500,MATCH(22-Stock!$R$2+1,Stock!$S$5:$S$500,0))=0,INDEX(Stock!$C$5:$C$500,MATCH(22-Stock!$R$2+1,Stock!$S$5:$S$500,0))="0"),"",INDEX(Stock!$C$5:$C$500,MATCH(22-Stock!$R$2+1,Stock!$S$5:$S$500,0))),IF(OR(INDEX(Stock!$E$5:$E$500,MATCH(22-Stock!$R$2+1,Stock!$S$5:$S$500,0))="",INDEX(Stock!$E$5:$E$500,MATCH(22-Stock!$R$2+1,Stock!$S$5:$S$500,0))=0,INDEX(Stock!$E$5:$E$500,MATCH(22-Stock!$R$2+1,Stock!$S$5:$S$500,0))="0"),"",INDEX(Stock!$E$5:$E$500,MATCH(22-Stock!$R$2+1,Stock!$S$5:$S$500,0))))),"")</x:f>
      </x:c>
      <x:c r="C31" s="70"/>
      <x:c r="D31" s="72" t="str">
        <x:f>IFERROR(IF(23&lt;Stock!$R$2,"",IF(IF(OR(INDEX(Stock!$D$5:$D$500,MATCH(23-Stock!$R$2+1,Stock!$S$5:$S$500,0))="",INDEX(Stock!$D$5:$D$500,MATCH(23-Stock!$R$2+1,Stock!$S$5:$S$500,0))=0,INDEX(Stock!$D$5:$D$500,MATCH(23-Stock!$R$2+1,Stock!$S$5:$S$500,0))="0"),"",INDEX(Stock!$D$5:$D$500,MATCH(23-Stock!$R$2+1,Stock!$S$5:$S$500,0)))&lt;&gt;"",IF(OR(INDEX(Stock!$C$5:$C$500,MATCH(23-Stock!$R$2+1,Stock!$S$5:$S$500,0))="",INDEX(Stock!$C$5:$C$500,MATCH(23-Stock!$R$2+1,Stock!$S$5:$S$500,0))=0,INDEX(Stock!$C$5:$C$500,MATCH(23-Stock!$R$2+1,Stock!$S$5:$S$500,0))="0"),"",INDEX(Stock!$C$5:$C$500,MATCH(23-Stock!$R$2+1,Stock!$S$5:$S$500,0))),IF(OR(INDEX(Stock!$E$5:$E$500,MATCH(23-Stock!$R$2+1,Stock!$S$5:$S$500,0))="",INDEX(Stock!$E$5:$E$500,MATCH(23-Stock!$R$2+1,Stock!$S$5:$S$500,0))=0,INDEX(Stock!$E$5:$E$500,MATCH(23-Stock!$R$2+1,Stock!$S$5:$S$500,0))="0"),"",INDEX(Stock!$E$5:$E$500,MATCH(23-Stock!$R$2+1,Stock!$S$5:$S$500,0))))),"")</x:f>
      </x:c>
      <x:c r="E31" s="66"/>
      <x:c r="F31" s="72" t="str">
        <x:f>IFERROR(IF(24&lt;Stock!$R$2,"",IF(IF(OR(INDEX(Stock!$D$5:$D$500,MATCH(24-Stock!$R$2+1,Stock!$S$5:$S$500,0))="",INDEX(Stock!$D$5:$D$500,MATCH(24-Stock!$R$2+1,Stock!$S$5:$S$500,0))=0,INDEX(Stock!$D$5:$D$500,MATCH(24-Stock!$R$2+1,Stock!$S$5:$S$500,0))="0"),"",INDEX(Stock!$D$5:$D$500,MATCH(24-Stock!$R$2+1,Stock!$S$5:$S$500,0)))&lt;&gt;"",IF(OR(INDEX(Stock!$C$5:$C$500,MATCH(24-Stock!$R$2+1,Stock!$S$5:$S$500,0))="",INDEX(Stock!$C$5:$C$500,MATCH(24-Stock!$R$2+1,Stock!$S$5:$S$500,0))=0,INDEX(Stock!$C$5:$C$500,MATCH(24-Stock!$R$2+1,Stock!$S$5:$S$500,0))="0"),"",INDEX(Stock!$C$5:$C$500,MATCH(24-Stock!$R$2+1,Stock!$S$5:$S$500,0))),IF(OR(INDEX(Stock!$E$5:$E$500,MATCH(24-Stock!$R$2+1,Stock!$S$5:$S$500,0))="",INDEX(Stock!$E$5:$E$500,MATCH(24-Stock!$R$2+1,Stock!$S$5:$S$500,0))=0,INDEX(Stock!$E$5:$E$500,MATCH(24-Stock!$R$2+1,Stock!$S$5:$S$500,0))="0"),"",INDEX(Stock!$E$5:$E$500,MATCH(24-Stock!$R$2+1,Stock!$S$5:$S$500,0))))),"")</x:f>
      </x:c>
    </x:row>
    <x:row r="32" ht="29" customHeight="1">
      <x:c r="A32" s="73"/>
      <x:c r="B32" s="74" t="str">
        <x:f>IFERROR(IF(22&lt;Stock!$R$2,"",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amp;IF(AND(IF(OR(INDEX(Stock!$B$5:$B$500,MATCH(22-Stock!$R$2+1,Stock!$S$5:$S$500,0))="",INDEX(Stock!$B$5:$B$500,MATCH(22-Stock!$R$2+1,Stock!$S$5:$S$500,0))=0,INDEX(Stock!$B$5:$B$500,MATCH(22-Stock!$R$2+1,Stock!$S$5:$S$500,0))="0"),"",INDEX(Stock!$B$5:$B$500,MATCH(22-Stock!$R$2+1,Stock!$S$5:$S$500,0)))&lt;&gt;"",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&lt;&gt;"")," · ","")&amp;IF(OR(INDEX(Stock!$G$5:$G$500,MATCH(22-Stock!$R$2+1,Stock!$S$5:$S$500,0))="",INDEX(Stock!$G$5:$G$500,MATCH(22-Stock!$R$2+1,Stock!$S$5:$S$500,0))=0,INDEX(Stock!$G$5:$G$500,MATCH(22-Stock!$R$2+1,Stock!$S$5:$S$500,0))="0"),"",INDEX(Stock!$G$5:$G$500,MATCH(22-Stock!$R$2+1,Stock!$S$5:$S$500,0)))),"")</x:f>
      </x:c>
      <x:c r="C32" s="73"/>
      <x:c r="D32" s="75" t="str">
        <x:f>IFERROR(IF(23&lt;Stock!$R$2,"",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amp;IF(AND(IF(OR(INDEX(Stock!$B$5:$B$500,MATCH(23-Stock!$R$2+1,Stock!$S$5:$S$500,0))="",INDEX(Stock!$B$5:$B$500,MATCH(23-Stock!$R$2+1,Stock!$S$5:$S$500,0))=0,INDEX(Stock!$B$5:$B$500,MATCH(23-Stock!$R$2+1,Stock!$S$5:$S$500,0))="0"),"",INDEX(Stock!$B$5:$B$500,MATCH(23-Stock!$R$2+1,Stock!$S$5:$S$500,0)))&lt;&gt;"",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&lt;&gt;"")," · ","")&amp;IF(OR(INDEX(Stock!$G$5:$G$500,MATCH(23-Stock!$R$2+1,Stock!$S$5:$S$500,0))="",INDEX(Stock!$G$5:$G$500,MATCH(23-Stock!$R$2+1,Stock!$S$5:$S$500,0))=0,INDEX(Stock!$G$5:$G$500,MATCH(23-Stock!$R$2+1,Stock!$S$5:$S$500,0))="0"),"",INDEX(Stock!$G$5:$G$500,MATCH(23-Stock!$R$2+1,Stock!$S$5:$S$500,0)))),"")</x:f>
      </x:c>
      <x:c r="E32" s="66"/>
      <x:c r="F32" s="75" t="str">
        <x:f>IFERROR(IF(24&lt;Stock!$R$2,"",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amp;IF(AND(IF(OR(INDEX(Stock!$B$5:$B$500,MATCH(24-Stock!$R$2+1,Stock!$S$5:$S$500,0))="",INDEX(Stock!$B$5:$B$500,MATCH(24-Stock!$R$2+1,Stock!$S$5:$S$500,0))=0,INDEX(Stock!$B$5:$B$500,MATCH(24-Stock!$R$2+1,Stock!$S$5:$S$500,0))="0"),"",INDEX(Stock!$B$5:$B$500,MATCH(24-Stock!$R$2+1,Stock!$S$5:$S$500,0)))&lt;&gt;"",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&lt;&gt;"")," · ","")&amp;IF(OR(INDEX(Stock!$G$5:$G$500,MATCH(24-Stock!$R$2+1,Stock!$S$5:$S$500,0))="",INDEX(Stock!$G$5:$G$500,MATCH(24-Stock!$R$2+1,Stock!$S$5:$S$500,0))=0,INDEX(Stock!$G$5:$G$500,MATCH(24-Stock!$R$2+1,Stock!$S$5:$S$500,0))="0"),"",INDEX(Stock!$G$5:$G$500,MATCH(24-Stock!$R$2+1,Stock!$S$5:$S$500,0)))),"")</x:f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14" customWidth="1"/>
    <x:col min="2" max="2" width="18" customWidth="1"/>
    <x:col min="3" max="3" width="24" customWidth="1"/>
    <x:col min="4" max="4" width="48" customWidth="1"/>
    <x:col min="5" max="6" width="16" customWidth="1"/>
    <x:col min="7" max="7" width="18" customWidth="1"/>
    <x:col min="8" max="8" width="12" customWidth="1"/>
    <x:col min="9" max="9" width="16" customWidth="1"/>
    <x:col min="10" max="10" width="35" customWidth="1"/>
    <x:col min="11" max="12" width="2" customWidth="1"/>
  </x:cols>
  <x:sheetData>
    <x:row r="1" ht="30" customHeight="1">
      <x:c r="A1" s="76" t="s">
        <x:v>0</x:v>
      </x:c>
      <x:c r="B1" s="76" t="s">
        <x:v>802</x:v>
      </x:c>
      <x:c r="C1" s="76" t="s">
        <x:v>803</x:v>
      </x:c>
      <x:c r="D1" s="76" t="s">
        <x:v>809</x:v>
      </x:c>
      <x:c r="E1" s="76" t="s">
        <x:v>763</x:v>
      </x:c>
      <x:c r="F1" s="76" t="s">
        <x:v>841</x:v>
      </x:c>
      <x:c r="G1" s="76" t="s">
        <x:v>805</x:v>
      </x:c>
      <x:c r="H1" s="76" t="s">
        <x:v>842</x:v>
      </x:c>
      <x:c r="I1" s="76" t="s">
        <x:v>843</x:v>
      </x:c>
      <x:c r="J1" s="76" t="s">
        <x:v>11</x:v>
      </x:c>
      <x:c r="K1" s="77" t="s">
        <x:v>844</x:v>
      </x:c>
      <x:c r="L1" s="77" t="s">
        <x:v>845</x:v>
      </x:c>
    </x:row>
    <x:row r="2" ht="20" customHeight="1">
      <x:c r="A2" s="78" t="s">
        <x:v>13</x:v>
      </x:c>
      <x:c r="B2" s="78" t="s">
        <x:v>824</x:v>
      </x:c>
      <x:c r="C2" s="78"/>
      <x:c r="D2" s="78" t="s">
        <x:v>846</x:v>
      </x:c>
      <x:c r="E2" s="79">
        <x:v>15.3</x:v>
      </x:c>
      <x:c r="F2" s="78" t="s">
        <x:v>847</x:v>
      </x:c>
      <x:c r="G2" s="78">
        <x:v>10</x:v>
      </x:c>
      <x:c r="H2" s="78" t="s">
        <x:v>799</x:v>
      </x:c>
      <x:c r="I2" s="80"/>
      <x:c r="J2" s="78"/>
      <x:c r="K2" s="81" t="str">
        <x:f t="shared" ref="K2:K33" si="0">A2&amp;"|"&amp;B2</x:f>
        <x:v>ENP-00001|eBay</x:v>
      </x:c>
      <x:c r="L2" s="81" t="str">
        <x:f t="shared" ref="L2:L33" si="1">A2&amp;"|"&amp;H2</x:f>
        <x:v>ENP-00001|Ja</x:v>
      </x:c>
    </x:row>
    <x:row r="3" ht="20" customHeight="1">
      <x:c r="A3" s="78" t="s">
        <x:v>24</x:v>
      </x:c>
      <x:c r="B3" s="78" t="s">
        <x:v>824</x:v>
      </x:c>
      <x:c r="C3" s="78"/>
      <x:c r="D3" s="78" t="s">
        <x:v>848</x:v>
      </x:c>
      <x:c r="E3" s="79">
        <x:v>6.69</x:v>
      </x:c>
      <x:c r="F3" s="78" t="s">
        <x:v>847</x:v>
      </x:c>
      <x:c r="G3" s="78">
        <x:v>10</x:v>
      </x:c>
      <x:c r="H3" s="78" t="s">
        <x:v>799</x:v>
      </x:c>
      <x:c r="I3" s="80"/>
      <x:c r="J3" s="78"/>
      <x:c r="K3" s="81" t="str">
        <x:f t="shared" si="0"/>
        <x:v>ENP-00002|eBay</x:v>
      </x:c>
      <x:c r="L3" s="81" t="str">
        <x:f t="shared" si="1"/>
        <x:v>ENP-00002|Ja</x:v>
      </x:c>
    </x:row>
    <x:row r="4" ht="20" customHeight="1">
      <x:c r="A4" s="78" t="s">
        <x:v>30</x:v>
      </x:c>
      <x:c r="B4" s="78" t="s">
        <x:v>829</x:v>
      </x:c>
      <x:c r="C4" s="78" t="s">
        <x:v>849</x:v>
      </x:c>
      <x:c r="D4" s="78" t="s">
        <x:v>850</x:v>
      </x:c>
      <x:c r="E4" s="79">
        <x:v>0.81</x:v>
      </x:c>
      <x:c r="F4" s="78" t="s">
        <x:v>847</x:v>
      </x:c>
      <x:c r="G4" s="78"/>
      <x:c r="H4" s="78" t="s">
        <x:v>799</x:v>
      </x:c>
      <x:c r="I4" s="80"/>
      <x:c r="J4" s="78"/>
      <x:c r="K4" s="81" t="str">
        <x:f t="shared" si="0"/>
        <x:v>ENP-00003|Reichelt</x:v>
      </x:c>
      <x:c r="L4" s="81" t="str">
        <x:f t="shared" si="1"/>
        <x:v>ENP-00003|Ja</x:v>
      </x:c>
    </x:row>
    <x:row r="5" ht="20" customHeight="1">
      <x:c r="A5" s="78" t="s">
        <x:v>40</x:v>
      </x:c>
      <x:c r="B5" s="78" t="s">
        <x:v>829</x:v>
      </x:c>
      <x:c r="C5" s="78" t="s">
        <x:v>851</x:v>
      </x:c>
      <x:c r="D5" s="78" t="s">
        <x:v>852</x:v>
      </x:c>
      <x:c r="E5" s="79">
        <x:v>2.5499999999999998</x:v>
      </x:c>
      <x:c r="F5" s="78" t="s">
        <x:v>847</x:v>
      </x:c>
      <x:c r="G5" s="78"/>
      <x:c r="H5" s="78" t="s">
        <x:v>799</x:v>
      </x:c>
      <x:c r="I5" s="80"/>
      <x:c r="J5" s="78"/>
      <x:c r="K5" s="81" t="str">
        <x:f t="shared" si="0"/>
        <x:v>ENP-00004|Reichelt</x:v>
      </x:c>
      <x:c r="L5" s="81" t="str">
        <x:f t="shared" si="1"/>
        <x:v>ENP-00004|Ja</x:v>
      </x:c>
    </x:row>
    <x:row r="6" ht="20" customHeight="1">
      <x:c r="A6" s="78" t="s">
        <x:v>46</x:v>
      </x:c>
      <x:c r="B6" s="78" t="s">
        <x:v>829</x:v>
      </x:c>
      <x:c r="C6" s="78" t="s">
        <x:v>853</x:v>
      </x:c>
      <x:c r="D6" s="78" t="s">
        <x:v>854</x:v>
      </x:c>
      <x:c r="E6" s="79">
        <x:v>0.15</x:v>
      </x:c>
      <x:c r="F6" s="78" t="s">
        <x:v>847</x:v>
      </x:c>
      <x:c r="G6" s="78"/>
      <x:c r="H6" s="78" t="s">
        <x:v>799</x:v>
      </x:c>
      <x:c r="I6" s="80"/>
      <x:c r="J6" s="78"/>
      <x:c r="K6" s="81" t="str">
        <x:f t="shared" si="0"/>
        <x:v>ENP-00005|Reichelt</x:v>
      </x:c>
      <x:c r="L6" s="81" t="str">
        <x:f t="shared" si="1"/>
        <x:v>ENP-00005|Ja</x:v>
      </x:c>
    </x:row>
    <x:row r="7" ht="20" customHeight="1">
      <x:c r="A7" s="78" t="s">
        <x:v>56</x:v>
      </x:c>
      <x:c r="B7" s="78" t="s">
        <x:v>829</x:v>
      </x:c>
      <x:c r="C7" s="78" t="s">
        <x:v>855</x:v>
      </x:c>
      <x:c r="D7" s="78" t="s">
        <x:v>856</x:v>
      </x:c>
      <x:c r="E7" s="79">
        <x:v>0.24</x:v>
      </x:c>
      <x:c r="F7" s="78" t="s">
        <x:v>847</x:v>
      </x:c>
      <x:c r="G7" s="78">
        <x:v>10</x:v>
      </x:c>
      <x:c r="H7" s="78" t="s">
        <x:v>799</x:v>
      </x:c>
      <x:c r="I7" s="80"/>
      <x:c r="J7" s="78"/>
      <x:c r="K7" s="81" t="str">
        <x:f t="shared" si="0"/>
        <x:v>ENP-00006|Reichelt</x:v>
      </x:c>
      <x:c r="L7" s="81" t="str">
        <x:f t="shared" si="1"/>
        <x:v>ENP-00006|Ja</x:v>
      </x:c>
    </x:row>
    <x:row r="8" ht="20" customHeight="1">
      <x:c r="A8" s="78" t="s">
        <x:v>66</x:v>
      </x:c>
      <x:c r="B8" s="78" t="s">
        <x:v>829</x:v>
      </x:c>
      <x:c r="C8" s="78" t="s">
        <x:v>70</x:v>
      </x:c>
      <x:c r="D8" s="78" t="s">
        <x:v>857</x:v>
      </x:c>
      <x:c r="E8" s="79">
        <x:v>0.11</x:v>
      </x:c>
      <x:c r="F8" s="78" t="s">
        <x:v>847</x:v>
      </x:c>
      <x:c r="G8" s="78">
        <x:v>10</x:v>
      </x:c>
      <x:c r="H8" s="78" t="s">
        <x:v>799</x:v>
      </x:c>
      <x:c r="I8" s="80"/>
      <x:c r="J8" s="78"/>
      <x:c r="K8" s="81" t="str">
        <x:f t="shared" si="0"/>
        <x:v>ENP-00007|Reichelt</x:v>
      </x:c>
      <x:c r="L8" s="81" t="str">
        <x:f t="shared" si="1"/>
        <x:v>ENP-00007|Ja</x:v>
      </x:c>
    </x:row>
    <x:row r="9" ht="20" customHeight="1">
      <x:c r="A9" s="78" t="s">
        <x:v>74</x:v>
      </x:c>
      <x:c r="B9" s="78" t="s">
        <x:v>829</x:v>
      </x:c>
      <x:c r="C9" s="78" t="s">
        <x:v>858</x:v>
      </x:c>
      <x:c r="D9" s="78" t="s">
        <x:v>859</x:v>
      </x:c>
      <x:c r="E9" s="79">
        <x:v>0.28999999999999998</x:v>
      </x:c>
      <x:c r="F9" s="78" t="s">
        <x:v>847</x:v>
      </x:c>
      <x:c r="G9" s="78"/>
      <x:c r="H9" s="78" t="s">
        <x:v>799</x:v>
      </x:c>
      <x:c r="I9" s="80"/>
      <x:c r="J9" s="78"/>
      <x:c r="K9" s="81" t="str">
        <x:f t="shared" si="0"/>
        <x:v>ENP-00008|Reichelt</x:v>
      </x:c>
      <x:c r="L9" s="81" t="str">
        <x:f t="shared" si="1"/>
        <x:v>ENP-00008|Ja</x:v>
      </x:c>
    </x:row>
    <x:row r="10" ht="20" customHeight="1">
      <x:c r="A10" s="78" t="s">
        <x:v>81</x:v>
      </x:c>
      <x:c r="B10" s="78" t="s">
        <x:v>829</x:v>
      </x:c>
      <x:c r="C10" s="78" t="s">
        <x:v>860</x:v>
      </x:c>
      <x:c r="D10" s="78" t="s">
        <x:v>861</x:v>
      </x:c>
      <x:c r="E10" s="79">
        <x:v>1</x:v>
      </x:c>
      <x:c r="F10" s="78" t="s">
        <x:v>847</x:v>
      </x:c>
      <x:c r="G10" s="78">
        <x:v>3</x:v>
      </x:c>
      <x:c r="H10" s="78" t="s">
        <x:v>799</x:v>
      </x:c>
      <x:c r="I10" s="80"/>
      <x:c r="J10" s="78"/>
      <x:c r="K10" s="81" t="str">
        <x:f t="shared" si="0"/>
        <x:v>ENP-00009|Reichelt</x:v>
      </x:c>
      <x:c r="L10" s="81" t="str">
        <x:f t="shared" si="1"/>
        <x:v>ENP-00009|Ja</x:v>
      </x:c>
    </x:row>
    <x:row r="11" ht="20" customHeight="1">
      <x:c r="A11" s="78" t="s">
        <x:v>90</x:v>
      </x:c>
      <x:c r="B11" s="78" t="s">
        <x:v>833</x:v>
      </x:c>
      <x:c r="C11" s="78"/>
      <x:c r="D11" s="78"/>
      <x:c r="E11" s="79">
        <x:v>5</x:v>
      </x:c>
      <x:c r="F11" s="78" t="s">
        <x:v>847</x:v>
      </x:c>
      <x:c r="G11" s="78">
        <x:v>3</x:v>
      </x:c>
      <x:c r="H11" s="78" t="s">
        <x:v>799</x:v>
      </x:c>
      <x:c r="I11" s="80"/>
      <x:c r="J11" s="78"/>
      <x:c r="K11" s="81" t="str">
        <x:f t="shared" si="0"/>
        <x:v>ENP-00010|Noch festlegen</x:v>
      </x:c>
      <x:c r="L11" s="81" t="str">
        <x:f t="shared" si="1"/>
        <x:v>ENP-00010|Ja</x:v>
      </x:c>
    </x:row>
    <x:row r="12" ht="20" customHeight="1">
      <x:c r="A12" s="78" t="s">
        <x:v>99</x:v>
      </x:c>
      <x:c r="B12" s="78" t="s">
        <x:v>103</x:v>
      </x:c>
      <x:c r="C12" s="78"/>
      <x:c r="D12" s="78" t="s">
        <x:v>862</x:v>
      </x:c>
      <x:c r="E12" s="79">
        <x:v>7.85</x:v>
      </x:c>
      <x:c r="F12" s="78" t="s">
        <x:v>847</x:v>
      </x:c>
      <x:c r="G12" s="78">
        <x:v>5</x:v>
      </x:c>
      <x:c r="H12" s="78" t="s">
        <x:v>799</x:v>
      </x:c>
      <x:c r="I12" s="80"/>
      <x:c r="J12" s="78"/>
      <x:c r="K12" s="81" t="str">
        <x:f t="shared" si="0"/>
        <x:v>ENP-00011|JLCPCB</x:v>
      </x:c>
      <x:c r="L12" s="81" t="str">
        <x:f t="shared" si="1"/>
        <x:v>ENP-00011|Ja</x:v>
      </x:c>
    </x:row>
    <x:row r="13" ht="20" customHeight="1">
      <x:c r="A13" s="78" t="s">
        <x:v>106</x:v>
      </x:c>
      <x:c r="B13" s="78" t="s">
        <x:v>829</x:v>
      </x:c>
      <x:c r="C13" s="78" t="s">
        <x:v>863</x:v>
      </x:c>
      <x:c r="D13" s="78" t="s">
        <x:v>864</x:v>
      </x:c>
      <x:c r="E13" s="79">
        <x:v>1.3</x:v>
      </x:c>
      <x:c r="F13" s="78" t="s">
        <x:v>847</x:v>
      </x:c>
      <x:c r="G13" s="78"/>
      <x:c r="H13" s="78" t="s">
        <x:v>799</x:v>
      </x:c>
      <x:c r="I13" s="80"/>
      <x:c r="J13" s="78"/>
      <x:c r="K13" s="81" t="str">
        <x:f t="shared" si="0"/>
        <x:v>ENP-00012|Reichelt</x:v>
      </x:c>
      <x:c r="L13" s="81" t="str">
        <x:f t="shared" si="1"/>
        <x:v>ENP-00012|Ja</x:v>
      </x:c>
    </x:row>
    <x:row r="14" ht="20" customHeight="1">
      <x:c r="A14" s="78" t="s">
        <x:v>112</x:v>
      </x:c>
      <x:c r="B14" s="78" t="s">
        <x:v>829</x:v>
      </x:c>
      <x:c r="C14" s="78" t="s">
        <x:v>118</x:v>
      </x:c>
      <x:c r="D14" s="78" t="s">
        <x:v>865</x:v>
      </x:c>
      <x:c r="E14" s="79">
        <x:v>0.18</x:v>
      </x:c>
      <x:c r="F14" s="78" t="s">
        <x:v>847</x:v>
      </x:c>
      <x:c r="G14" s="78"/>
      <x:c r="H14" s="78" t="s">
        <x:v>799</x:v>
      </x:c>
      <x:c r="I14" s="80"/>
      <x:c r="J14" s="78"/>
      <x:c r="K14" s="81" t="str">
        <x:f t="shared" si="0"/>
        <x:v>ENP-00013|Reichelt</x:v>
      </x:c>
      <x:c r="L14" s="81" t="str">
        <x:f t="shared" si="1"/>
        <x:v>ENP-00013|Ja</x:v>
      </x:c>
    </x:row>
    <x:row r="15" ht="20" customHeight="1">
      <x:c r="A15" s="78" t="s">
        <x:v>121</x:v>
      </x:c>
      <x:c r="B15" s="78" t="s">
        <x:v>829</x:v>
      </x:c>
      <x:c r="C15" s="78" t="s">
        <x:v>866</x:v>
      </x:c>
      <x:c r="D15" s="78" t="s">
        <x:v>867</x:v>
      </x:c>
      <x:c r="E15" s="79">
        <x:v>5.3</x:v>
      </x:c>
      <x:c r="F15" s="78" t="s">
        <x:v>847</x:v>
      </x:c>
      <x:c r="G15" s="78"/>
      <x:c r="H15" s="78" t="s">
        <x:v>799</x:v>
      </x:c>
      <x:c r="I15" s="80"/>
      <x:c r="J15" s="78"/>
      <x:c r="K15" s="81" t="str">
        <x:f t="shared" si="0"/>
        <x:v>ENP-00014|Reichelt</x:v>
      </x:c>
      <x:c r="L15" s="81" t="str">
        <x:f t="shared" si="1"/>
        <x:v>ENP-00014|Ja</x:v>
      </x:c>
    </x:row>
    <x:row r="16" ht="20" customHeight="1">
      <x:c r="A16" s="78" t="s">
        <x:v>128</x:v>
      </x:c>
      <x:c r="B16" s="78" t="s">
        <x:v>829</x:v>
      </x:c>
      <x:c r="C16" s="78" t="s">
        <x:v>868</x:v>
      </x:c>
      <x:c r="D16" s="78" t="s">
        <x:v>869</x:v>
      </x:c>
      <x:c r="E16" s="79">
        <x:v>8.85</x:v>
      </x:c>
      <x:c r="F16" s="78" t="s">
        <x:v>847</x:v>
      </x:c>
      <x:c r="G16" s="78"/>
      <x:c r="H16" s="78" t="s">
        <x:v>799</x:v>
      </x:c>
      <x:c r="I16" s="80"/>
      <x:c r="J16" s="78"/>
      <x:c r="K16" s="81" t="str">
        <x:f t="shared" si="0"/>
        <x:v>ENP-00015|Reichelt</x:v>
      </x:c>
      <x:c r="L16" s="81" t="str">
        <x:f t="shared" si="1"/>
        <x:v>ENP-00015|Ja</x:v>
      </x:c>
    </x:row>
    <x:row r="17" ht="20" customHeight="1">
      <x:c r="A17" s="78" t="s">
        <x:v>133</x:v>
      </x:c>
      <x:c r="B17" s="78" t="s">
        <x:v>829</x:v>
      </x:c>
      <x:c r="C17" s="78" t="s">
        <x:v>870</x:v>
      </x:c>
      <x:c r="D17" s="78" t="s">
        <x:v>871</x:v>
      </x:c>
      <x:c r="E17" s="79">
        <x:v>0.83</x:v>
      </x:c>
      <x:c r="F17" s="78" t="s">
        <x:v>847</x:v>
      </x:c>
      <x:c r="G17" s="78"/>
      <x:c r="H17" s="78" t="s">
        <x:v>799</x:v>
      </x:c>
      <x:c r="I17" s="80"/>
      <x:c r="J17" s="78"/>
      <x:c r="K17" s="81" t="str">
        <x:f t="shared" si="0"/>
        <x:v>ENP-00016|Reichelt</x:v>
      </x:c>
      <x:c r="L17" s="81" t="str">
        <x:f t="shared" si="1"/>
        <x:v>ENP-00016|Ja</x:v>
      </x:c>
    </x:row>
    <x:row r="18" ht="20" customHeight="1">
      <x:c r="A18" s="78" t="s">
        <x:v>141</x:v>
      </x:c>
      <x:c r="B18" s="78" t="s">
        <x:v>829</x:v>
      </x:c>
      <x:c r="C18" s="78" t="s">
        <x:v>872</x:v>
      </x:c>
      <x:c r="D18" s="78" t="s">
        <x:v>873</x:v>
      </x:c>
      <x:c r="E18" s="79">
        <x:v>0.06</x:v>
      </x:c>
      <x:c r="F18" s="78" t="s">
        <x:v>847</x:v>
      </x:c>
      <x:c r="G18" s="78"/>
      <x:c r="H18" s="78" t="s">
        <x:v>799</x:v>
      </x:c>
      <x:c r="I18" s="80"/>
      <x:c r="J18" s="78"/>
      <x:c r="K18" s="81" t="str">
        <x:f t="shared" si="0"/>
        <x:v>ENP-00017|Reichelt</x:v>
      </x:c>
      <x:c r="L18" s="81" t="str">
        <x:f t="shared" si="1"/>
        <x:v>ENP-00017|Ja</x:v>
      </x:c>
    </x:row>
    <x:row r="19" ht="20" customHeight="1">
      <x:c r="A19" s="78" t="s">
        <x:v>148</x:v>
      </x:c>
      <x:c r="B19" s="78" t="s">
        <x:v>829</x:v>
      </x:c>
      <x:c r="C19" s="78" t="s">
        <x:v>874</x:v>
      </x:c>
      <x:c r="D19" s="78" t="s">
        <x:v>875</x:v>
      </x:c>
      <x:c r="E19" s="79">
        <x:v>0.75</x:v>
      </x:c>
      <x:c r="F19" s="78" t="s">
        <x:v>847</x:v>
      </x:c>
      <x:c r="G19" s="78"/>
      <x:c r="H19" s="78" t="s">
        <x:v>799</x:v>
      </x:c>
      <x:c r="I19" s="80"/>
      <x:c r="J19" s="78"/>
      <x:c r="K19" s="81" t="str">
        <x:f t="shared" si="0"/>
        <x:v>ENP-00018|Reichelt</x:v>
      </x:c>
      <x:c r="L19" s="81" t="str">
        <x:f t="shared" si="1"/>
        <x:v>ENP-00018|Ja</x:v>
      </x:c>
    </x:row>
    <x:row r="20" ht="20" customHeight="1">
      <x:c r="A20" s="78" t="s">
        <x:v>154</x:v>
      </x:c>
      <x:c r="B20" s="78" t="s">
        <x:v>829</x:v>
      </x:c>
      <x:c r="C20" s="78" t="s">
        <x:v>876</x:v>
      </x:c>
      <x:c r="D20" s="78" t="s">
        <x:v>877</x:v>
      </x:c>
      <x:c r="E20" s="79">
        <x:v>0.31</x:v>
      </x:c>
      <x:c r="F20" s="78" t="s">
        <x:v>847</x:v>
      </x:c>
      <x:c r="G20" s="78"/>
      <x:c r="H20" s="78" t="s">
        <x:v>799</x:v>
      </x:c>
      <x:c r="I20" s="80"/>
      <x:c r="J20" s="78"/>
      <x:c r="K20" s="81" t="str">
        <x:f t="shared" si="0"/>
        <x:v>ENP-00019|Reichelt</x:v>
      </x:c>
      <x:c r="L20" s="81" t="str">
        <x:f t="shared" si="1"/>
        <x:v>ENP-00019|Ja</x:v>
      </x:c>
    </x:row>
    <x:row r="21" ht="20" customHeight="1">
      <x:c r="A21" s="78" t="s">
        <x:v>161</x:v>
      </x:c>
      <x:c r="B21" s="78" t="s">
        <x:v>829</x:v>
      </x:c>
      <x:c r="C21" s="78" t="s">
        <x:v>878</x:v>
      </x:c>
      <x:c r="D21" s="78" t="s">
        <x:v>879</x:v>
      </x:c>
      <x:c r="E21" s="79">
        <x:v>1.1000000000000001</x:v>
      </x:c>
      <x:c r="F21" s="78" t="s">
        <x:v>847</x:v>
      </x:c>
      <x:c r="G21" s="78"/>
      <x:c r="H21" s="78" t="s">
        <x:v>799</x:v>
      </x:c>
      <x:c r="I21" s="80"/>
      <x:c r="J21" s="78"/>
      <x:c r="K21" s="81" t="str">
        <x:f t="shared" si="0"/>
        <x:v>ENP-00020|Reichelt</x:v>
      </x:c>
      <x:c r="L21" s="81" t="str">
        <x:f t="shared" si="1"/>
        <x:v>ENP-00020|Ja</x:v>
      </x:c>
    </x:row>
    <x:row r="22" ht="20" customHeight="1">
      <x:c r="A22" s="78" t="s">
        <x:v>169</x:v>
      </x:c>
      <x:c r="B22" s="78" t="s">
        <x:v>829</x:v>
      </x:c>
      <x:c r="C22" s="78" t="s">
        <x:v>880</x:v>
      </x:c>
      <x:c r="D22" s="78" t="s">
        <x:v>881</x:v>
      </x:c>
      <x:c r="E22" s="79">
        <x:v>1.7</x:v>
      </x:c>
      <x:c r="F22" s="78" t="s">
        <x:v>847</x:v>
      </x:c>
      <x:c r="G22" s="78"/>
      <x:c r="H22" s="78" t="s">
        <x:v>799</x:v>
      </x:c>
      <x:c r="I22" s="80"/>
      <x:c r="J22" s="78"/>
      <x:c r="K22" s="81" t="str">
        <x:f t="shared" si="0"/>
        <x:v>ENP-00021|Reichelt</x:v>
      </x:c>
      <x:c r="L22" s="81" t="str">
        <x:f t="shared" si="1"/>
        <x:v>ENP-00021|Ja</x:v>
      </x:c>
    </x:row>
    <x:row r="23" ht="20" customHeight="1">
      <x:c r="A23" s="78" t="s">
        <x:v>177</x:v>
      </x:c>
      <x:c r="B23" s="78" t="s">
        <x:v>829</x:v>
      </x:c>
      <x:c r="C23" s="78" t="s">
        <x:v>882</x:v>
      </x:c>
      <x:c r="D23" s="78" t="s">
        <x:v>883</x:v>
      </x:c>
      <x:c r="E23" s="79">
        <x:v>0.02</x:v>
      </x:c>
      <x:c r="F23" s="78" t="s">
        <x:v>847</x:v>
      </x:c>
      <x:c r="G23" s="78"/>
      <x:c r="H23" s="78" t="s">
        <x:v>799</x:v>
      </x:c>
      <x:c r="I23" s="80"/>
      <x:c r="J23" s="78"/>
      <x:c r="K23" s="81" t="str">
        <x:f t="shared" si="0"/>
        <x:v>ENP-00022|Reichelt</x:v>
      </x:c>
      <x:c r="L23" s="81" t="str">
        <x:f t="shared" si="1"/>
        <x:v>ENP-00022|Ja</x:v>
      </x:c>
    </x:row>
    <x:row r="24" ht="20" customHeight="1">
      <x:c r="A24" s="78" t="s">
        <x:v>183</x:v>
      </x:c>
      <x:c r="B24" s="78" t="s">
        <x:v>829</x:v>
      </x:c>
      <x:c r="C24" s="78" t="s">
        <x:v>884</x:v>
      </x:c>
      <x:c r="D24" s="78" t="s">
        <x:v>885</x:v>
      </x:c>
      <x:c r="E24" s="79">
        <x:v>5.8</x:v>
      </x:c>
      <x:c r="F24" s="78" t="s">
        <x:v>847</x:v>
      </x:c>
      <x:c r="G24" s="78"/>
      <x:c r="H24" s="78" t="s">
        <x:v>799</x:v>
      </x:c>
      <x:c r="I24" s="80"/>
      <x:c r="J24" s="78"/>
      <x:c r="K24" s="81" t="str">
        <x:f t="shared" si="0"/>
        <x:v>ENP-00023|Reichelt</x:v>
      </x:c>
      <x:c r="L24" s="81" t="str">
        <x:f t="shared" si="1"/>
        <x:v>ENP-00023|Ja</x:v>
      </x:c>
    </x:row>
    <x:row r="25" ht="20" customHeight="1">
      <x:c r="A25" s="78" t="s">
        <x:v>192</x:v>
      </x:c>
      <x:c r="B25" s="78" t="s">
        <x:v>836</x:v>
      </x:c>
      <x:c r="C25" s="78" t="s">
        <x:v>886</x:v>
      </x:c>
      <x:c r="D25" s="78" t="s">
        <x:v>887</x:v>
      </x:c>
      <x:c r="E25" s="79">
        <x:v>0.32</x:v>
      </x:c>
      <x:c r="F25" s="78" t="s">
        <x:v>847</x:v>
      </x:c>
      <x:c r="G25" s="78">
        <x:v>1</x:v>
      </x:c>
      <x:c r="H25" s="78" t="s">
        <x:v>799</x:v>
      </x:c>
      <x:c r="I25" s="80"/>
      <x:c r="J25" s="78"/>
      <x:c r="K25" s="81" t="str">
        <x:f t="shared" si="0"/>
        <x:v>ENP-00024|DigiKey</x:v>
      </x:c>
      <x:c r="L25" s="81" t="str">
        <x:f t="shared" si="1"/>
        <x:v>ENP-00024|Ja</x:v>
      </x:c>
    </x:row>
    <x:row r="26" ht="20" customHeight="1">
      <x:c r="A26" s="78" t="s">
        <x:v>202</x:v>
      </x:c>
      <x:c r="B26" s="78" t="s">
        <x:v>829</x:v>
      </x:c>
      <x:c r="C26" s="78" t="s">
        <x:v>888</x:v>
      </x:c>
      <x:c r="D26" s="78" t="s">
        <x:v>889</x:v>
      </x:c>
      <x:c r="E26" s="79">
        <x:v>0.17</x:v>
      </x:c>
      <x:c r="F26" s="78" t="s">
        <x:v>847</x:v>
      </x:c>
      <x:c r="G26" s="78"/>
      <x:c r="H26" s="78" t="s">
        <x:v>799</x:v>
      </x:c>
      <x:c r="I26" s="80"/>
      <x:c r="J26" s="78"/>
      <x:c r="K26" s="81" t="str">
        <x:f t="shared" si="0"/>
        <x:v>ENP-00025|Reichelt</x:v>
      </x:c>
      <x:c r="L26" s="81" t="str">
        <x:f t="shared" si="1"/>
        <x:v>ENP-00025|Ja</x:v>
      </x:c>
    </x:row>
    <x:row r="27" ht="20" customHeight="1">
      <x:c r="A27" s="78" t="s">
        <x:v>210</x:v>
      </x:c>
      <x:c r="B27" s="78" t="s">
        <x:v>837</x:v>
      </x:c>
      <x:c r="C27" s="78" t="s">
        <x:v>890</x:v>
      </x:c>
      <x:c r="D27" s="78" t="s">
        <x:v>891</x:v>
      </x:c>
      <x:c r="E27" s="79">
        <x:v>0.57999999999999996</x:v>
      </x:c>
      <x:c r="F27" s="78" t="s">
        <x:v>847</x:v>
      </x:c>
      <x:c r="G27" s="78">
        <x:v>10</x:v>
      </x:c>
      <x:c r="H27" s="78" t="s">
        <x:v>799</x:v>
      </x:c>
      <x:c r="I27" s="80"/>
      <x:c r="J27" s="78"/>
      <x:c r="K27" s="81" t="str">
        <x:f t="shared" si="0"/>
        <x:v>ENP-00026|RS</x:v>
      </x:c>
      <x:c r="L27" s="81" t="str">
        <x:f t="shared" si="1"/>
        <x:v>ENP-00026|Ja</x:v>
      </x:c>
    </x:row>
    <x:row r="28" ht="20" customHeight="1">
      <x:c r="A28" s="78" t="s">
        <x:v>218</x:v>
      </x:c>
      <x:c r="B28" s="78" t="s">
        <x:v>833</x:v>
      </x:c>
      <x:c r="C28" s="78"/>
      <x:c r="D28" s="78"/>
      <x:c r="E28" s="79"/>
      <x:c r="F28" s="78" t="s">
        <x:v>847</x:v>
      </x:c>
      <x:c r="G28" s="78"/>
      <x:c r="H28" s="78" t="s">
        <x:v>799</x:v>
      </x:c>
      <x:c r="I28" s="80"/>
      <x:c r="J28" s="78"/>
      <x:c r="K28" s="81" t="str">
        <x:f t="shared" si="0"/>
        <x:v>ENP-00027|Noch festlegen</x:v>
      </x:c>
      <x:c r="L28" s="81" t="str">
        <x:f t="shared" si="1"/>
        <x:v>ENP-00027|Ja</x:v>
      </x:c>
    </x:row>
    <x:row r="29" ht="20" customHeight="1">
      <x:c r="A29" s="78" t="s">
        <x:v>225</x:v>
      </x:c>
      <x:c r="B29" s="78" t="s">
        <x:v>829</x:v>
      </x:c>
      <x:c r="C29" s="78" t="s">
        <x:v>228</x:v>
      </x:c>
      <x:c r="D29" s="78" t="s">
        <x:v>892</x:v>
      </x:c>
      <x:c r="E29" s="79">
        <x:v>0.16</x:v>
      </x:c>
      <x:c r="F29" s="78" t="s">
        <x:v>847</x:v>
      </x:c>
      <x:c r="G29" s="78"/>
      <x:c r="H29" s="78" t="s">
        <x:v>799</x:v>
      </x:c>
      <x:c r="I29" s="80"/>
      <x:c r="J29" s="78"/>
      <x:c r="K29" s="81" t="str">
        <x:f t="shared" si="0"/>
        <x:v>ENP-00028|Reichelt</x:v>
      </x:c>
      <x:c r="L29" s="81" t="str">
        <x:f t="shared" si="1"/>
        <x:v>ENP-00028|Ja</x:v>
      </x:c>
    </x:row>
    <x:row r="30" ht="20" customHeight="1">
      <x:c r="A30" s="78" t="s">
        <x:v>231</x:v>
      </x:c>
      <x:c r="B30" s="78" t="s">
        <x:v>829</x:v>
      </x:c>
      <x:c r="C30" s="78" t="s">
        <x:v>893</x:v>
      </x:c>
      <x:c r="D30" s="78" t="s">
        <x:v>894</x:v>
      </x:c>
      <x:c r="E30" s="79">
        <x:v>0.04</x:v>
      </x:c>
      <x:c r="F30" s="78" t="s">
        <x:v>847</x:v>
      </x:c>
      <x:c r="G30" s="78"/>
      <x:c r="H30" s="78" t="s">
        <x:v>799</x:v>
      </x:c>
      <x:c r="I30" s="80"/>
      <x:c r="J30" s="78"/>
      <x:c r="K30" s="81" t="str">
        <x:f t="shared" si="0"/>
        <x:v>ENP-00029|Reichelt</x:v>
      </x:c>
      <x:c r="L30" s="81" t="str">
        <x:f t="shared" si="1"/>
        <x:v>ENP-00029|Ja</x:v>
      </x:c>
    </x:row>
    <x:row r="31" ht="20" customHeight="1">
      <x:c r="A31" s="78" t="s">
        <x:v>238</x:v>
      </x:c>
      <x:c r="B31" s="78" t="s">
        <x:v>833</x:v>
      </x:c>
      <x:c r="C31" s="78"/>
      <x:c r="D31" s="78"/>
      <x:c r="E31" s="79"/>
      <x:c r="F31" s="78" t="s">
        <x:v>847</x:v>
      </x:c>
      <x:c r="G31" s="78"/>
      <x:c r="H31" s="78" t="s">
        <x:v>799</x:v>
      </x:c>
      <x:c r="I31" s="80"/>
      <x:c r="J31" s="78"/>
      <x:c r="K31" s="81" t="str">
        <x:f t="shared" si="0"/>
        <x:v>ENP-00030|Noch festlegen</x:v>
      </x:c>
      <x:c r="L31" s="81" t="str">
        <x:f t="shared" si="1"/>
        <x:v>ENP-00030|Ja</x:v>
      </x:c>
    </x:row>
    <x:row r="32" ht="20" customHeight="1">
      <x:c r="A32" s="78" t="s">
        <x:v>247</x:v>
      </x:c>
      <x:c r="B32" s="78" t="s">
        <x:v>833</x:v>
      </x:c>
      <x:c r="C32" s="78"/>
      <x:c r="D32" s="78"/>
      <x:c r="E32" s="79"/>
      <x:c r="F32" s="78" t="s">
        <x:v>847</x:v>
      </x:c>
      <x:c r="G32" s="78"/>
      <x:c r="H32" s="78" t="s">
        <x:v>799</x:v>
      </x:c>
      <x:c r="I32" s="80"/>
      <x:c r="J32" s="78"/>
      <x:c r="K32" s="81" t="str">
        <x:f t="shared" si="0"/>
        <x:v>ENP-00031|Noch festlegen</x:v>
      </x:c>
      <x:c r="L32" s="81" t="str">
        <x:f t="shared" si="1"/>
        <x:v>ENP-00031|Ja</x:v>
      </x:c>
    </x:row>
    <x:row r="33" ht="20" customHeight="1">
      <x:c r="A33" s="78" t="s">
        <x:v>253</x:v>
      </x:c>
      <x:c r="B33" s="78" t="s">
        <x:v>829</x:v>
      </x:c>
      <x:c r="C33" s="78" t="s">
        <x:v>895</x:v>
      </x:c>
      <x:c r="D33" s="78" t="s">
        <x:v>896</x:v>
      </x:c>
      <x:c r="E33" s="79">
        <x:v>1.3</x:v>
      </x:c>
      <x:c r="F33" s="78" t="s">
        <x:v>847</x:v>
      </x:c>
      <x:c r="G33" s="78"/>
      <x:c r="H33" s="78" t="s">
        <x:v>799</x:v>
      </x:c>
      <x:c r="I33" s="80"/>
      <x:c r="J33" s="78"/>
      <x:c r="K33" s="81" t="str">
        <x:f t="shared" si="0"/>
        <x:v>ENP-00032|Reichelt</x:v>
      </x:c>
      <x:c r="L33" s="81" t="str">
        <x:f t="shared" si="1"/>
        <x:v>ENP-00032|Ja</x:v>
      </x:c>
    </x:row>
    <x:row r="34" ht="20" customHeight="1">
      <x:c r="A34" s="78" t="s">
        <x:v>260</x:v>
      </x:c>
      <x:c r="B34" s="78" t="s">
        <x:v>829</x:v>
      </x:c>
      <x:c r="C34" s="78" t="s">
        <x:v>897</x:v>
      </x:c>
      <x:c r="D34" s="78" t="s">
        <x:v>898</x:v>
      </x:c>
      <x:c r="E34" s="79">
        <x:v>0.02</x:v>
      </x:c>
      <x:c r="F34" s="78" t="s">
        <x:v>847</x:v>
      </x:c>
      <x:c r="G34" s="78"/>
      <x:c r="H34" s="78" t="s">
        <x:v>799</x:v>
      </x:c>
      <x:c r="I34" s="80"/>
      <x:c r="J34" s="78"/>
      <x:c r="K34" s="81" t="str">
        <x:f t="shared" ref="K34:K65" si="2">A34&amp;"|"&amp;B34</x:f>
        <x:v>ENP-00033|Reichelt</x:v>
      </x:c>
      <x:c r="L34" s="81" t="str">
        <x:f t="shared" ref="L34:L65" si="3">A34&amp;"|"&amp;H34</x:f>
        <x:v>ENP-00033|Ja</x:v>
      </x:c>
    </x:row>
    <x:row r="35" ht="20" customHeight="1">
      <x:c r="A35" s="78" t="s">
        <x:v>265</x:v>
      </x:c>
      <x:c r="B35" s="78" t="s">
        <x:v>833</x:v>
      </x:c>
      <x:c r="C35" s="78"/>
      <x:c r="D35" s="78"/>
      <x:c r="E35" s="79"/>
      <x:c r="F35" s="78" t="s">
        <x:v>847</x:v>
      </x:c>
      <x:c r="G35" s="78"/>
      <x:c r="H35" s="78" t="s">
        <x:v>799</x:v>
      </x:c>
      <x:c r="I35" s="80"/>
      <x:c r="J35" s="78"/>
      <x:c r="K35" s="81" t="str">
        <x:f t="shared" si="2"/>
        <x:v>ENP-00034|Noch festlegen</x:v>
      </x:c>
      <x:c r="L35" s="81" t="str">
        <x:f t="shared" si="3"/>
        <x:v>ENP-00034|Ja</x:v>
      </x:c>
    </x:row>
    <x:row r="36" ht="20" customHeight="1">
      <x:c r="A36" s="78" t="s">
        <x:v>273</x:v>
      </x:c>
      <x:c r="B36" s="78" t="s">
        <x:v>829</x:v>
      </x:c>
      <x:c r="C36" s="78" t="s">
        <x:v>899</x:v>
      </x:c>
      <x:c r="D36" s="78" t="s">
        <x:v>900</x:v>
      </x:c>
      <x:c r="E36" s="79">
        <x:v>0.02</x:v>
      </x:c>
      <x:c r="F36" s="78" t="s">
        <x:v>847</x:v>
      </x:c>
      <x:c r="G36" s="78"/>
      <x:c r="H36" s="78" t="s">
        <x:v>799</x:v>
      </x:c>
      <x:c r="I36" s="80"/>
      <x:c r="J36" s="78"/>
      <x:c r="K36" s="81" t="str">
        <x:f t="shared" si="2"/>
        <x:v>ENP-00035|Reichelt</x:v>
      </x:c>
      <x:c r="L36" s="81" t="str">
        <x:f t="shared" si="3"/>
        <x:v>ENP-00035|Ja</x:v>
      </x:c>
    </x:row>
    <x:row r="37" ht="20" customHeight="1">
      <x:c r="A37" s="78" t="s">
        <x:v>279</x:v>
      </x:c>
      <x:c r="B37" s="78" t="s">
        <x:v>829</x:v>
      </x:c>
      <x:c r="C37" s="78" t="s">
        <x:v>901</x:v>
      </x:c>
      <x:c r="D37" s="78" t="s">
        <x:v>902</x:v>
      </x:c>
      <x:c r="E37" s="79">
        <x:v>0.14000000000000001</x:v>
      </x:c>
      <x:c r="F37" s="78" t="s">
        <x:v>847</x:v>
      </x:c>
      <x:c r="G37" s="78"/>
      <x:c r="H37" s="78" t="s">
        <x:v>799</x:v>
      </x:c>
      <x:c r="I37" s="80"/>
      <x:c r="J37" s="78"/>
      <x:c r="K37" s="81" t="str">
        <x:f t="shared" si="2"/>
        <x:v>ENP-00036|Reichelt</x:v>
      </x:c>
      <x:c r="L37" s="81" t="str">
        <x:f t="shared" si="3"/>
        <x:v>ENP-00036|Ja</x:v>
      </x:c>
    </x:row>
    <x:row r="38" ht="20" customHeight="1">
      <x:c r="A38" s="78" t="s">
        <x:v>284</x:v>
      </x:c>
      <x:c r="B38" s="78" t="s">
        <x:v>829</x:v>
      </x:c>
      <x:c r="C38" s="78" t="s">
        <x:v>903</x:v>
      </x:c>
      <x:c r="D38" s="78" t="s">
        <x:v>904</x:v>
      </x:c>
      <x:c r="E38" s="79">
        <x:v>0.61</x:v>
      </x:c>
      <x:c r="F38" s="78" t="s">
        <x:v>847</x:v>
      </x:c>
      <x:c r="G38" s="78"/>
      <x:c r="H38" s="78" t="s">
        <x:v>799</x:v>
      </x:c>
      <x:c r="I38" s="80"/>
      <x:c r="J38" s="78"/>
      <x:c r="K38" s="81" t="str">
        <x:f t="shared" si="2"/>
        <x:v>ENP-00037|Reichelt</x:v>
      </x:c>
      <x:c r="L38" s="81" t="str">
        <x:f t="shared" si="3"/>
        <x:v>ENP-00037|Ja</x:v>
      </x:c>
    </x:row>
    <x:row r="39" ht="20" customHeight="1">
      <x:c r="A39" s="78" t="s">
        <x:v>292</x:v>
      </x:c>
      <x:c r="B39" s="78" t="s">
        <x:v>829</x:v>
      </x:c>
      <x:c r="C39" s="78" t="s">
        <x:v>905</x:v>
      </x:c>
      <x:c r="D39" s="78" t="s">
        <x:v>906</x:v>
      </x:c>
      <x:c r="E39" s="79">
        <x:v>0.25</x:v>
      </x:c>
      <x:c r="F39" s="78" t="s">
        <x:v>847</x:v>
      </x:c>
      <x:c r="G39" s="78"/>
      <x:c r="H39" s="78" t="s">
        <x:v>799</x:v>
      </x:c>
      <x:c r="I39" s="80"/>
      <x:c r="J39" s="78"/>
      <x:c r="K39" s="81" t="str">
        <x:f t="shared" si="2"/>
        <x:v>ENP-00038|Reichelt</x:v>
      </x:c>
      <x:c r="L39" s="81" t="str">
        <x:f t="shared" si="3"/>
        <x:v>ENP-00038|Ja</x:v>
      </x:c>
    </x:row>
    <x:row r="40" ht="20" customHeight="1">
      <x:c r="A40" s="78" t="s">
        <x:v>299</x:v>
      </x:c>
      <x:c r="B40" s="78" t="s">
        <x:v>829</x:v>
      </x:c>
      <x:c r="C40" s="78" t="s">
        <x:v>907</x:v>
      </x:c>
      <x:c r="D40" s="78" t="s">
        <x:v>908</x:v>
      </x:c>
      <x:c r="E40" s="79">
        <x:v>0.3</x:v>
      </x:c>
      <x:c r="F40" s="78" t="s">
        <x:v>847</x:v>
      </x:c>
      <x:c r="G40" s="78"/>
      <x:c r="H40" s="78" t="s">
        <x:v>799</x:v>
      </x:c>
      <x:c r="I40" s="80"/>
      <x:c r="J40" s="78"/>
      <x:c r="K40" s="81" t="str">
        <x:f t="shared" si="2"/>
        <x:v>ENP-00039|Reichelt</x:v>
      </x:c>
      <x:c r="L40" s="81" t="str">
        <x:f t="shared" si="3"/>
        <x:v>ENP-00039|Ja</x:v>
      </x:c>
    </x:row>
    <x:row r="41" ht="20" customHeight="1">
      <x:c r="A41" s="78" t="s">
        <x:v>306</x:v>
      </x:c>
      <x:c r="B41" s="78" t="s">
        <x:v>833</x:v>
      </x:c>
      <x:c r="C41" s="78"/>
      <x:c r="D41" s="78"/>
      <x:c r="E41" s="79"/>
      <x:c r="F41" s="78" t="s">
        <x:v>847</x:v>
      </x:c>
      <x:c r="G41" s="78"/>
      <x:c r="H41" s="78" t="s">
        <x:v>799</x:v>
      </x:c>
      <x:c r="I41" s="80"/>
      <x:c r="J41" s="78"/>
      <x:c r="K41" s="81" t="str">
        <x:f t="shared" si="2"/>
        <x:v>ENP-00040|Noch festlegen</x:v>
      </x:c>
      <x:c r="L41" s="81" t="str">
        <x:f t="shared" si="3"/>
        <x:v>ENP-00040|Ja</x:v>
      </x:c>
    </x:row>
    <x:row r="42" ht="20" customHeight="1">
      <x:c r="A42" s="78" t="s">
        <x:v>314</x:v>
      </x:c>
      <x:c r="B42" s="78" t="s">
        <x:v>833</x:v>
      </x:c>
      <x:c r="C42" s="78"/>
      <x:c r="D42" s="78"/>
      <x:c r="E42" s="79"/>
      <x:c r="F42" s="78" t="s">
        <x:v>847</x:v>
      </x:c>
      <x:c r="G42" s="78"/>
      <x:c r="H42" s="78" t="s">
        <x:v>799</x:v>
      </x:c>
      <x:c r="I42" s="80"/>
      <x:c r="J42" s="78"/>
      <x:c r="K42" s="81" t="str">
        <x:f t="shared" si="2"/>
        <x:v>ENP-00041|Noch festlegen</x:v>
      </x:c>
      <x:c r="L42" s="81" t="str">
        <x:f t="shared" si="3"/>
        <x:v>ENP-00041|Ja</x:v>
      </x:c>
    </x:row>
    <x:row r="43" ht="20" customHeight="1">
      <x:c r="A43" s="78" t="s">
        <x:v>321</x:v>
      </x:c>
      <x:c r="B43" s="78" t="s">
        <x:v>829</x:v>
      </x:c>
      <x:c r="C43" s="78" t="s">
        <x:v>324</x:v>
      </x:c>
      <x:c r="D43" s="78" t="s">
        <x:v>909</x:v>
      </x:c>
      <x:c r="E43" s="79">
        <x:v>6.85</x:v>
      </x:c>
      <x:c r="F43" s="78" t="s">
        <x:v>847</x:v>
      </x:c>
      <x:c r="G43" s="78"/>
      <x:c r="H43" s="78" t="s">
        <x:v>799</x:v>
      </x:c>
      <x:c r="I43" s="80"/>
      <x:c r="J43" s="78"/>
      <x:c r="K43" s="81" t="str">
        <x:f t="shared" si="2"/>
        <x:v>ENP-00042|Reichelt</x:v>
      </x:c>
      <x:c r="L43" s="81" t="str">
        <x:f t="shared" si="3"/>
        <x:v>ENP-00042|Ja</x:v>
      </x:c>
    </x:row>
    <x:row r="44" ht="20" customHeight="1">
      <x:c r="A44" s="78" t="s">
        <x:v>328</x:v>
      </x:c>
      <x:c r="B44" s="78" t="s">
        <x:v>829</x:v>
      </x:c>
      <x:c r="C44" s="78" t="s">
        <x:v>330</x:v>
      </x:c>
      <x:c r="D44" s="78" t="s">
        <x:v>910</x:v>
      </x:c>
      <x:c r="E44" s="79">
        <x:v>6.85</x:v>
      </x:c>
      <x:c r="F44" s="78" t="s">
        <x:v>847</x:v>
      </x:c>
      <x:c r="G44" s="78"/>
      <x:c r="H44" s="78" t="s">
        <x:v>799</x:v>
      </x:c>
      <x:c r="I44" s="80"/>
      <x:c r="J44" s="78"/>
      <x:c r="K44" s="81" t="str">
        <x:f t="shared" si="2"/>
        <x:v>ENP-00043|Reichelt</x:v>
      </x:c>
      <x:c r="L44" s="81" t="str">
        <x:f t="shared" si="3"/>
        <x:v>ENP-00043|Ja</x:v>
      </x:c>
    </x:row>
    <x:row r="45" ht="20" customHeight="1">
      <x:c r="A45" s="78" t="s">
        <x:v>333</x:v>
      </x:c>
      <x:c r="B45" s="78" t="s">
        <x:v>829</x:v>
      </x:c>
      <x:c r="C45" s="78" t="s">
        <x:v>336</x:v>
      </x:c>
      <x:c r="D45" s="78" t="s">
        <x:v>911</x:v>
      </x:c>
      <x:c r="E45" s="79">
        <x:v>0.12</x:v>
      </x:c>
      <x:c r="F45" s="78" t="s">
        <x:v>847</x:v>
      </x:c>
      <x:c r="G45" s="78"/>
      <x:c r="H45" s="78" t="s">
        <x:v>799</x:v>
      </x:c>
      <x:c r="I45" s="80"/>
      <x:c r="J45" s="78"/>
      <x:c r="K45" s="81" t="str">
        <x:f t="shared" si="2"/>
        <x:v>ENP-00044|Reichelt</x:v>
      </x:c>
      <x:c r="L45" s="81" t="str">
        <x:f t="shared" si="3"/>
        <x:v>ENP-00044|Ja</x:v>
      </x:c>
    </x:row>
    <x:row r="46" ht="20" customHeight="1">
      <x:c r="A46" s="78" t="s">
        <x:v>339</x:v>
      </x:c>
      <x:c r="B46" s="78" t="s">
        <x:v>829</x:v>
      </x:c>
      <x:c r="C46" s="78" t="s">
        <x:v>912</x:v>
      </x:c>
      <x:c r="D46" s="78" t="s">
        <x:v>913</x:v>
      </x:c>
      <x:c r="E46" s="79">
        <x:v>0.08</x:v>
      </x:c>
      <x:c r="F46" s="78" t="s">
        <x:v>847</x:v>
      </x:c>
      <x:c r="G46" s="78"/>
      <x:c r="H46" s="78" t="s">
        <x:v>799</x:v>
      </x:c>
      <x:c r="I46" s="80"/>
      <x:c r="J46" s="78"/>
      <x:c r="K46" s="81" t="str">
        <x:f t="shared" si="2"/>
        <x:v>ENP-00045|Reichelt</x:v>
      </x:c>
      <x:c r="L46" s="81" t="str">
        <x:f t="shared" si="3"/>
        <x:v>ENP-00045|Ja</x:v>
      </x:c>
    </x:row>
    <x:row r="47" ht="20" customHeight="1">
      <x:c r="A47" s="78" t="s">
        <x:v>345</x:v>
      </x:c>
      <x:c r="B47" s="78" t="s">
        <x:v>833</x:v>
      </x:c>
      <x:c r="C47" s="78"/>
      <x:c r="D47" s="78"/>
      <x:c r="E47" s="79"/>
      <x:c r="F47" s="78" t="s">
        <x:v>847</x:v>
      </x:c>
      <x:c r="G47" s="78"/>
      <x:c r="H47" s="78" t="s">
        <x:v>799</x:v>
      </x:c>
      <x:c r="I47" s="80"/>
      <x:c r="J47" s="78"/>
      <x:c r="K47" s="81" t="str">
        <x:f t="shared" si="2"/>
        <x:v>ENP-00046|Noch festlegen</x:v>
      </x:c>
      <x:c r="L47" s="81" t="str">
        <x:f t="shared" si="3"/>
        <x:v>ENP-00046|Ja</x:v>
      </x:c>
    </x:row>
    <x:row r="48" ht="20" customHeight="1">
      <x:c r="A48" s="78" t="s">
        <x:v>352</x:v>
      </x:c>
      <x:c r="B48" s="78" t="s">
        <x:v>833</x:v>
      </x:c>
      <x:c r="C48" s="78"/>
      <x:c r="D48" s="78"/>
      <x:c r="E48" s="79"/>
      <x:c r="F48" s="78" t="s">
        <x:v>847</x:v>
      </x:c>
      <x:c r="G48" s="78"/>
      <x:c r="H48" s="78" t="s">
        <x:v>799</x:v>
      </x:c>
      <x:c r="I48" s="80"/>
      <x:c r="J48" s="78"/>
      <x:c r="K48" s="81" t="str">
        <x:f t="shared" si="2"/>
        <x:v>ENP-00047|Noch festlegen</x:v>
      </x:c>
      <x:c r="L48" s="81" t="str">
        <x:f t="shared" si="3"/>
        <x:v>ENP-00047|Ja</x:v>
      </x:c>
    </x:row>
    <x:row r="49" ht="20" customHeight="1">
      <x:c r="A49" s="78" t="s">
        <x:v>358</x:v>
      </x:c>
      <x:c r="B49" s="78" t="s">
        <x:v>103</x:v>
      </x:c>
      <x:c r="C49" s="78"/>
      <x:c r="D49" s="78"/>
      <x:c r="E49" s="79"/>
      <x:c r="F49" s="78" t="s">
        <x:v>847</x:v>
      </x:c>
      <x:c r="G49" s="78">
        <x:v>5</x:v>
      </x:c>
      <x:c r="H49" s="78" t="s">
        <x:v>799</x:v>
      </x:c>
      <x:c r="I49" s="80"/>
      <x:c r="J49" s="78"/>
      <x:c r="K49" s="81" t="str">
        <x:f t="shared" si="2"/>
        <x:v>ENP-00048|JLCPCB</x:v>
      </x:c>
      <x:c r="L49" s="81" t="str">
        <x:f t="shared" si="3"/>
        <x:v>ENP-00048|Ja</x:v>
      </x:c>
    </x:row>
    <x:row r="50" ht="20" customHeight="1">
      <x:c r="A50" s="78" t="s">
        <x:v>364</x:v>
      </x:c>
      <x:c r="B50" s="78" t="s">
        <x:v>833</x:v>
      </x:c>
      <x:c r="C50" s="78"/>
      <x:c r="D50" s="78"/>
      <x:c r="E50" s="79"/>
      <x:c r="F50" s="78" t="s">
        <x:v>847</x:v>
      </x:c>
      <x:c r="G50" s="78"/>
      <x:c r="H50" s="78" t="s">
        <x:v>799</x:v>
      </x:c>
      <x:c r="I50" s="80"/>
      <x:c r="J50" s="78"/>
      <x:c r="K50" s="81" t="str">
        <x:f t="shared" si="2"/>
        <x:v>ENP-00049|Noch festlegen</x:v>
      </x:c>
      <x:c r="L50" s="81" t="str">
        <x:f t="shared" si="3"/>
        <x:v>ENP-00049|Ja</x:v>
      </x:c>
    </x:row>
    <x:row r="51" ht="20" customHeight="1">
      <x:c r="A51" s="78" t="s">
        <x:v>369</x:v>
      </x:c>
      <x:c r="B51" s="78" t="s">
        <x:v>833</x:v>
      </x:c>
      <x:c r="C51" s="78"/>
      <x:c r="D51" s="78"/>
      <x:c r="E51" s="79"/>
      <x:c r="F51" s="78" t="s">
        <x:v>847</x:v>
      </x:c>
      <x:c r="G51" s="78"/>
      <x:c r="H51" s="78" t="s">
        <x:v>799</x:v>
      </x:c>
      <x:c r="I51" s="80"/>
      <x:c r="J51" s="78"/>
      <x:c r="K51" s="81" t="str">
        <x:f t="shared" si="2"/>
        <x:v>ENP-00050|Noch festlegen</x:v>
      </x:c>
      <x:c r="L51" s="81" t="str">
        <x:f t="shared" si="3"/>
        <x:v>ENP-00050|Ja</x:v>
      </x:c>
    </x:row>
    <x:row r="52" ht="20" customHeight="1">
      <x:c r="A52" s="78" t="s">
        <x:v>375</x:v>
      </x:c>
      <x:c r="B52" s="78" t="s">
        <x:v>833</x:v>
      </x:c>
      <x:c r="C52" s="78"/>
      <x:c r="D52" s="78"/>
      <x:c r="E52" s="79"/>
      <x:c r="F52" s="78" t="s">
        <x:v>847</x:v>
      </x:c>
      <x:c r="G52" s="78"/>
      <x:c r="H52" s="78" t="s">
        <x:v>799</x:v>
      </x:c>
      <x:c r="I52" s="80"/>
      <x:c r="J52" s="78"/>
      <x:c r="K52" s="81" t="str">
        <x:f t="shared" si="2"/>
        <x:v>ENP-00051|Noch festlegen</x:v>
      </x:c>
      <x:c r="L52" s="81" t="str">
        <x:f t="shared" si="3"/>
        <x:v>ENP-00051|Ja</x:v>
      </x:c>
    </x:row>
    <x:row r="53" ht="20" customHeight="1">
      <x:c r="A53" s="78" t="s">
        <x:v>381</x:v>
      </x:c>
      <x:c r="B53" s="78" t="s">
        <x:v>833</x:v>
      </x:c>
      <x:c r="C53" s="78"/>
      <x:c r="D53" s="78"/>
      <x:c r="E53" s="79"/>
      <x:c r="F53" s="78" t="s">
        <x:v>847</x:v>
      </x:c>
      <x:c r="G53" s="78"/>
      <x:c r="H53" s="78" t="s">
        <x:v>799</x:v>
      </x:c>
      <x:c r="I53" s="80"/>
      <x:c r="J53" s="78"/>
      <x:c r="K53" s="81" t="str">
        <x:f t="shared" si="2"/>
        <x:v>ENP-00052|Noch festlegen</x:v>
      </x:c>
      <x:c r="L53" s="81" t="str">
        <x:f t="shared" si="3"/>
        <x:v>ENP-00052|Ja</x:v>
      </x:c>
    </x:row>
    <x:row r="54" ht="20" customHeight="1">
      <x:c r="A54" s="78" t="s">
        <x:v>385</x:v>
      </x:c>
      <x:c r="B54" s="78" t="s">
        <x:v>833</x:v>
      </x:c>
      <x:c r="C54" s="78"/>
      <x:c r="D54" s="78"/>
      <x:c r="E54" s="79">
        <x:v>1.73</x:v>
      </x:c>
      <x:c r="F54" s="78" t="s">
        <x:v>847</x:v>
      </x:c>
      <x:c r="G54" s="78"/>
      <x:c r="H54" s="78" t="s">
        <x:v>799</x:v>
      </x:c>
      <x:c r="I54" s="80"/>
      <x:c r="J54" s="78"/>
      <x:c r="K54" s="81" t="str">
        <x:f t="shared" si="2"/>
        <x:v>ENP-00053|Noch festlegen</x:v>
      </x:c>
      <x:c r="L54" s="81" t="str">
        <x:f t="shared" si="3"/>
        <x:v>ENP-00053|Ja</x:v>
      </x:c>
    </x:row>
    <x:row r="55" ht="20" customHeight="1">
      <x:c r="A55" s="78" t="s">
        <x:v>390</x:v>
      </x:c>
      <x:c r="B55" s="78" t="s">
        <x:v>836</x:v>
      </x:c>
      <x:c r="C55" s="78" t="s">
        <x:v>914</x:v>
      </x:c>
      <x:c r="D55" s="78" t="s">
        <x:v>915</x:v>
      </x:c>
      <x:c r="E55" s="79">
        <x:v>0.56000000000000005</x:v>
      </x:c>
      <x:c r="F55" s="78" t="s">
        <x:v>847</x:v>
      </x:c>
      <x:c r="G55" s="78"/>
      <x:c r="H55" s="78" t="s">
        <x:v>799</x:v>
      </x:c>
      <x:c r="I55" s="80"/>
      <x:c r="J55" s="78"/>
      <x:c r="K55" s="81" t="str">
        <x:f t="shared" si="2"/>
        <x:v>ENP-00054|DigiKey</x:v>
      </x:c>
      <x:c r="L55" s="81" t="str">
        <x:f t="shared" si="3"/>
        <x:v>ENP-00054|Ja</x:v>
      </x:c>
    </x:row>
    <x:row r="56" ht="20" customHeight="1">
      <x:c r="A56" s="78" t="s">
        <x:v>401</x:v>
      </x:c>
      <x:c r="B56" s="78" t="s">
        <x:v>829</x:v>
      </x:c>
      <x:c r="C56" s="78" t="s">
        <x:v>916</x:v>
      </x:c>
      <x:c r="D56" s="78" t="s">
        <x:v>917</x:v>
      </x:c>
      <x:c r="E56" s="79">
        <x:v>0.18</x:v>
      </x:c>
      <x:c r="F56" s="78" t="s">
        <x:v>847</x:v>
      </x:c>
      <x:c r="G56" s="78"/>
      <x:c r="H56" s="78" t="s">
        <x:v>799</x:v>
      </x:c>
      <x:c r="I56" s="80"/>
      <x:c r="J56" s="78"/>
      <x:c r="K56" s="81" t="str">
        <x:f t="shared" si="2"/>
        <x:v>ENP-00055|Reichelt</x:v>
      </x:c>
      <x:c r="L56" s="81" t="str">
        <x:f t="shared" si="3"/>
        <x:v>ENP-00055|Ja</x:v>
      </x:c>
    </x:row>
    <x:row r="57" ht="20" customHeight="1">
      <x:c r="A57" s="78" t="s">
        <x:v>408</x:v>
      </x:c>
      <x:c r="B57" s="78" t="s">
        <x:v>829</x:v>
      </x:c>
      <x:c r="C57" s="78" t="s">
        <x:v>918</x:v>
      </x:c>
      <x:c r="D57" s="78" t="s">
        <x:v>919</x:v>
      </x:c>
      <x:c r="E57" s="79">
        <x:v>0.18</x:v>
      </x:c>
      <x:c r="F57" s="78" t="s">
        <x:v>847</x:v>
      </x:c>
      <x:c r="G57" s="78"/>
      <x:c r="H57" s="78" t="s">
        <x:v>799</x:v>
      </x:c>
      <x:c r="I57" s="80"/>
      <x:c r="J57" s="78"/>
      <x:c r="K57" s="81" t="str">
        <x:f t="shared" si="2"/>
        <x:v>ENP-00056|Reichelt</x:v>
      </x:c>
      <x:c r="L57" s="81" t="str">
        <x:f t="shared" si="3"/>
        <x:v>ENP-00056|Ja</x:v>
      </x:c>
    </x:row>
    <x:row r="58" ht="20" customHeight="1">
      <x:c r="A58" s="78" t="s">
        <x:v>416</x:v>
      </x:c>
      <x:c r="B58" s="78" t="s">
        <x:v>103</x:v>
      </x:c>
      <x:c r="C58" s="78"/>
      <x:c r="D58" s="78"/>
      <x:c r="E58" s="79"/>
      <x:c r="F58" s="78" t="s">
        <x:v>847</x:v>
      </x:c>
      <x:c r="G58" s="78">
        <x:v>5</x:v>
      </x:c>
      <x:c r="H58" s="78" t="s">
        <x:v>799</x:v>
      </x:c>
      <x:c r="I58" s="80"/>
      <x:c r="J58" s="78"/>
      <x:c r="K58" s="81" t="str">
        <x:f t="shared" si="2"/>
        <x:v>ENP-00057|JLCPCB</x:v>
      </x:c>
      <x:c r="L58" s="81" t="str">
        <x:f t="shared" si="3"/>
        <x:v>ENP-00057|Ja</x:v>
      </x:c>
    </x:row>
    <x:row r="59" ht="20" customHeight="1">
      <x:c r="A59" s="78" t="s">
        <x:v>420</x:v>
      </x:c>
      <x:c r="B59" s="78" t="s">
        <x:v>836</x:v>
      </x:c>
      <x:c r="C59" s="78" t="s">
        <x:v>920</x:v>
      </x:c>
      <x:c r="D59" s="78" t="s">
        <x:v>921</x:v>
      </x:c>
      <x:c r="E59" s="79">
        <x:v>2.31</x:v>
      </x:c>
      <x:c r="F59" s="78" t="s">
        <x:v>847</x:v>
      </x:c>
      <x:c r="G59" s="78"/>
      <x:c r="H59" s="78" t="s">
        <x:v>799</x:v>
      </x:c>
      <x:c r="I59" s="80"/>
      <x:c r="J59" s="78"/>
      <x:c r="K59" s="81" t="str">
        <x:f t="shared" si="2"/>
        <x:v>ENP-00058|DigiKey</x:v>
      </x:c>
      <x:c r="L59" s="81" t="str">
        <x:f t="shared" si="3"/>
        <x:v>ENP-00058|Ja</x:v>
      </x:c>
    </x:row>
    <x:row r="60" ht="20" customHeight="1">
      <x:c r="A60" s="78" t="s">
        <x:v>429</x:v>
      </x:c>
      <x:c r="B60" s="78" t="s">
        <x:v>829</x:v>
      </x:c>
      <x:c r="C60" s="78" t="s">
        <x:v>922</x:v>
      </x:c>
      <x:c r="D60" s="78" t="s">
        <x:v>923</x:v>
      </x:c>
      <x:c r="E60" s="79">
        <x:v>0.3</x:v>
      </x:c>
      <x:c r="F60" s="78" t="s">
        <x:v>847</x:v>
      </x:c>
      <x:c r="G60" s="78"/>
      <x:c r="H60" s="78" t="s">
        <x:v>799</x:v>
      </x:c>
      <x:c r="I60" s="80"/>
      <x:c r="J60" s="78"/>
      <x:c r="K60" s="81" t="str">
        <x:f t="shared" si="2"/>
        <x:v>ENP-00059|Reichelt</x:v>
      </x:c>
      <x:c r="L60" s="81" t="str">
        <x:f t="shared" si="3"/>
        <x:v>ENP-00059|Ja</x:v>
      </x:c>
    </x:row>
    <x:row r="61" ht="20" customHeight="1">
      <x:c r="A61" s="78" t="s">
        <x:v>440</x:v>
      </x:c>
      <x:c r="B61" s="78" t="s">
        <x:v>833</x:v>
      </x:c>
      <x:c r="C61" s="78"/>
      <x:c r="D61" s="78"/>
      <x:c r="E61" s="79"/>
      <x:c r="F61" s="78" t="s">
        <x:v>847</x:v>
      </x:c>
      <x:c r="G61" s="78"/>
      <x:c r="H61" s="78" t="s">
        <x:v>799</x:v>
      </x:c>
      <x:c r="I61" s="80"/>
      <x:c r="J61" s="78"/>
      <x:c r="K61" s="81" t="str">
        <x:f t="shared" si="2"/>
        <x:v>ENP-00060|Noch festlegen</x:v>
      </x:c>
      <x:c r="L61" s="81" t="str">
        <x:f t="shared" si="3"/>
        <x:v>ENP-00060|Ja</x:v>
      </x:c>
    </x:row>
    <x:row r="62" ht="20" customHeight="1">
      <x:c r="A62" s="78" t="s">
        <x:v>447</x:v>
      </x:c>
      <x:c r="B62" s="78" t="s">
        <x:v>833</x:v>
      </x:c>
      <x:c r="C62" s="78"/>
      <x:c r="D62" s="78"/>
      <x:c r="E62" s="79"/>
      <x:c r="F62" s="78" t="s">
        <x:v>847</x:v>
      </x:c>
      <x:c r="G62" s="78"/>
      <x:c r="H62" s="78" t="s">
        <x:v>799</x:v>
      </x:c>
      <x:c r="I62" s="80"/>
      <x:c r="J62" s="78"/>
      <x:c r="K62" s="81" t="str">
        <x:f t="shared" si="2"/>
        <x:v>ENP-00061|Noch festlegen</x:v>
      </x:c>
      <x:c r="L62" s="81" t="str">
        <x:f t="shared" si="3"/>
        <x:v>ENP-00061|Ja</x:v>
      </x:c>
    </x:row>
    <x:row r="63" ht="20" customHeight="1">
      <x:c r="A63" s="78" t="s">
        <x:v>452</x:v>
      </x:c>
      <x:c r="B63" s="78" t="s">
        <x:v>833</x:v>
      </x:c>
      <x:c r="C63" s="78"/>
      <x:c r="D63" s="78"/>
      <x:c r="E63" s="79"/>
      <x:c r="F63" s="78" t="s">
        <x:v>847</x:v>
      </x:c>
      <x:c r="G63" s="78"/>
      <x:c r="H63" s="78" t="s">
        <x:v>799</x:v>
      </x:c>
      <x:c r="I63" s="80"/>
      <x:c r="J63" s="78"/>
      <x:c r="K63" s="81" t="str">
        <x:f t="shared" si="2"/>
        <x:v>ENP-00062|Noch festlegen</x:v>
      </x:c>
      <x:c r="L63" s="81" t="str">
        <x:f t="shared" si="3"/>
        <x:v>ENP-00062|Ja</x:v>
      </x:c>
    </x:row>
    <x:row r="64" ht="20" customHeight="1">
      <x:c r="A64" s="78" t="s">
        <x:v>457</x:v>
      </x:c>
      <x:c r="B64" s="78" t="s">
        <x:v>833</x:v>
      </x:c>
      <x:c r="C64" s="78"/>
      <x:c r="D64" s="78"/>
      <x:c r="E64" s="79"/>
      <x:c r="F64" s="78" t="s">
        <x:v>847</x:v>
      </x:c>
      <x:c r="G64" s="78"/>
      <x:c r="H64" s="78" t="s">
        <x:v>799</x:v>
      </x:c>
      <x:c r="I64" s="80"/>
      <x:c r="J64" s="78"/>
      <x:c r="K64" s="81" t="str">
        <x:f t="shared" si="2"/>
        <x:v>ENP-00063|Noch festlegen</x:v>
      </x:c>
      <x:c r="L64" s="81" t="str">
        <x:f t="shared" si="3"/>
        <x:v>ENP-00063|Ja</x:v>
      </x:c>
    </x:row>
    <x:row r="65" ht="20" customHeight="1">
      <x:c r="A65" s="78" t="s">
        <x:v>462</x:v>
      </x:c>
      <x:c r="B65" s="78" t="s">
        <x:v>829</x:v>
      </x:c>
      <x:c r="C65" s="78" t="s">
        <x:v>924</x:v>
      </x:c>
      <x:c r="D65" s="78" t="s">
        <x:v>925</x:v>
      </x:c>
      <x:c r="E65" s="79">
        <x:v>0.11</x:v>
      </x:c>
      <x:c r="F65" s="78" t="s">
        <x:v>847</x:v>
      </x:c>
      <x:c r="G65" s="78"/>
      <x:c r="H65" s="78" t="s">
        <x:v>799</x:v>
      </x:c>
      <x:c r="I65" s="80"/>
      <x:c r="J65" s="78"/>
      <x:c r="K65" s="81" t="str">
        <x:f t="shared" si="2"/>
        <x:v>ENP-00064|Reichelt</x:v>
      </x:c>
      <x:c r="L65" s="81" t="str">
        <x:f t="shared" si="3"/>
        <x:v>ENP-00064|Ja</x:v>
      </x:c>
    </x:row>
    <x:row r="66" ht="20" customHeight="1">
      <x:c r="A66" s="78" t="s">
        <x:v>473</x:v>
      </x:c>
      <x:c r="B66" s="78" t="s">
        <x:v>829</x:v>
      </x:c>
      <x:c r="C66" s="78" t="s">
        <x:v>926</x:v>
      </x:c>
      <x:c r="D66" s="78" t="s">
        <x:v>927</x:v>
      </x:c>
      <x:c r="E66" s="79">
        <x:v>0.14000000000000001</x:v>
      </x:c>
      <x:c r="F66" s="78" t="s">
        <x:v>847</x:v>
      </x:c>
      <x:c r="G66" s="78"/>
      <x:c r="H66" s="78" t="s">
        <x:v>799</x:v>
      </x:c>
      <x:c r="I66" s="80"/>
      <x:c r="J66" s="78"/>
      <x:c r="K66" s="81" t="str">
        <x:f t="shared" ref="K66:K102" si="4">A66&amp;"|"&amp;B66</x:f>
        <x:v>ENP-00065|Reichelt</x:v>
      </x:c>
      <x:c r="L66" s="81" t="str">
        <x:f t="shared" ref="L66:L102" si="5">A66&amp;"|"&amp;H66</x:f>
        <x:v>ENP-00065|Ja</x:v>
      </x:c>
    </x:row>
    <x:row r="67" ht="20" customHeight="1">
      <x:c r="A67" s="78" t="s">
        <x:v>481</x:v>
      </x:c>
      <x:c r="B67" s="78" t="s">
        <x:v>103</x:v>
      </x:c>
      <x:c r="C67" s="78"/>
      <x:c r="D67" s="78"/>
      <x:c r="E67" s="79"/>
      <x:c r="F67" s="78" t="s">
        <x:v>847</x:v>
      </x:c>
      <x:c r="G67" s="78">
        <x:v>5</x:v>
      </x:c>
      <x:c r="H67" s="78" t="s">
        <x:v>799</x:v>
      </x:c>
      <x:c r="I67" s="80"/>
      <x:c r="J67" s="78"/>
      <x:c r="K67" s="81" t="str">
        <x:f t="shared" si="4"/>
        <x:v>ENP-00066|JLCPCB</x:v>
      </x:c>
      <x:c r="L67" s="81" t="str">
        <x:f t="shared" si="5"/>
        <x:v>ENP-00066|Ja</x:v>
      </x:c>
    </x:row>
    <x:row r="68" ht="20" customHeight="1">
      <x:c r="A68" s="78" t="s">
        <x:v>485</x:v>
      </x:c>
      <x:c r="B68" s="78" t="s">
        <x:v>829</x:v>
      </x:c>
      <x:c r="C68" s="78" t="s">
        <x:v>489</x:v>
      </x:c>
      <x:c r="D68" s="78" t="s">
        <x:v>928</x:v>
      </x:c>
      <x:c r="E68" s="79">
        <x:v>0.14000000000000001</x:v>
      </x:c>
      <x:c r="F68" s="78" t="s">
        <x:v>847</x:v>
      </x:c>
      <x:c r="G68" s="78"/>
      <x:c r="H68" s="78" t="s">
        <x:v>799</x:v>
      </x:c>
      <x:c r="I68" s="80"/>
      <x:c r="J68" s="78"/>
      <x:c r="K68" s="81" t="str">
        <x:f t="shared" si="4"/>
        <x:v>ENP-00067|Reichelt</x:v>
      </x:c>
      <x:c r="L68" s="81" t="str">
        <x:f t="shared" si="5"/>
        <x:v>ENP-00067|Ja</x:v>
      </x:c>
    </x:row>
    <x:row r="69" ht="20" customHeight="1">
      <x:c r="A69" s="78" t="s">
        <x:v>493</x:v>
      </x:c>
      <x:c r="B69" s="78" t="s">
        <x:v>829</x:v>
      </x:c>
      <x:c r="C69" s="78" t="s">
        <x:v>496</x:v>
      </x:c>
      <x:c r="D69" s="78" t="s">
        <x:v>929</x:v>
      </x:c>
      <x:c r="E69" s="79">
        <x:v>1.19</x:v>
      </x:c>
      <x:c r="F69" s="78" t="s">
        <x:v>847</x:v>
      </x:c>
      <x:c r="G69" s="78"/>
      <x:c r="H69" s="78" t="s">
        <x:v>799</x:v>
      </x:c>
      <x:c r="I69" s="80"/>
      <x:c r="J69" s="78"/>
      <x:c r="K69" s="81" t="str">
        <x:f t="shared" si="4"/>
        <x:v>ENP-00068|Reichelt</x:v>
      </x:c>
      <x:c r="L69" s="81" t="str">
        <x:f t="shared" si="5"/>
        <x:v>ENP-00068|Ja</x:v>
      </x:c>
    </x:row>
    <x:row r="70" ht="20" customHeight="1">
      <x:c r="A70" s="78" t="s">
        <x:v>500</x:v>
      </x:c>
      <x:c r="B70" s="78" t="s">
        <x:v>833</x:v>
      </x:c>
      <x:c r="C70" s="78"/>
      <x:c r="D70" s="78"/>
      <x:c r="E70" s="79"/>
      <x:c r="F70" s="78" t="s">
        <x:v>847</x:v>
      </x:c>
      <x:c r="G70" s="78"/>
      <x:c r="H70" s="78" t="s">
        <x:v>799</x:v>
      </x:c>
      <x:c r="I70" s="80"/>
      <x:c r="J70" s="78"/>
      <x:c r="K70" s="81" t="str">
        <x:f t="shared" si="4"/>
        <x:v>ENP-00069|Noch festlegen</x:v>
      </x:c>
      <x:c r="L70" s="81" t="str">
        <x:f t="shared" si="5"/>
        <x:v>ENP-00069|Ja</x:v>
      </x:c>
    </x:row>
    <x:row r="71" ht="20" customHeight="1">
      <x:c r="A71" s="78" t="s">
        <x:v>507</x:v>
      </x:c>
      <x:c r="B71" s="78" t="s">
        <x:v>838</x:v>
      </x:c>
      <x:c r="C71" s="78" t="s">
        <x:v>930</x:v>
      </x:c>
      <x:c r="D71" s="78" t="s">
        <x:v>931</x:v>
      </x:c>
      <x:c r="E71" s="79">
        <x:v>1.66</x:v>
      </x:c>
      <x:c r="F71" s="78" t="s">
        <x:v>847</x:v>
      </x:c>
      <x:c r="G71" s="78"/>
      <x:c r="H71" s="78" t="s">
        <x:v>799</x:v>
      </x:c>
      <x:c r="I71" s="80"/>
      <x:c r="J71" s="78"/>
      <x:c r="K71" s="81" t="str">
        <x:f t="shared" si="4"/>
        <x:v>ENP-00070|Mouser</x:v>
      </x:c>
      <x:c r="L71" s="81" t="str">
        <x:f t="shared" si="5"/>
        <x:v>ENP-00070|Ja</x:v>
      </x:c>
    </x:row>
    <x:row r="72" ht="20" customHeight="1">
      <x:c r="A72" s="78" t="s">
        <x:v>517</x:v>
      </x:c>
      <x:c r="B72" s="78" t="s">
        <x:v>829</x:v>
      </x:c>
      <x:c r="C72" s="78" t="s">
        <x:v>932</x:v>
      </x:c>
      <x:c r="D72" s="78" t="s">
        <x:v>933</x:v>
      </x:c>
      <x:c r="E72" s="79">
        <x:v>0.18</x:v>
      </x:c>
      <x:c r="F72" s="78" t="s">
        <x:v>847</x:v>
      </x:c>
      <x:c r="G72" s="78"/>
      <x:c r="H72" s="78" t="s">
        <x:v>799</x:v>
      </x:c>
      <x:c r="I72" s="80"/>
      <x:c r="J72" s="78"/>
      <x:c r="K72" s="81" t="str">
        <x:f t="shared" si="4"/>
        <x:v>ENP-00071|Reichelt</x:v>
      </x:c>
      <x:c r="L72" s="81" t="str">
        <x:f t="shared" si="5"/>
        <x:v>ENP-00071|Ja</x:v>
      </x:c>
    </x:row>
    <x:row r="73" ht="20" customHeight="1">
      <x:c r="A73" s="78" t="s">
        <x:v>524</x:v>
      </x:c>
      <x:c r="B73" s="78" t="s">
        <x:v>836</x:v>
      </x:c>
      <x:c r="C73" s="78"/>
      <x:c r="D73" s="78" t="s">
        <x:v>934</x:v>
      </x:c>
      <x:c r="E73" s="79">
        <x:v>0.09</x:v>
      </x:c>
      <x:c r="F73" s="78" t="s">
        <x:v>847</x:v>
      </x:c>
      <x:c r="G73" s="78"/>
      <x:c r="H73" s="78" t="s">
        <x:v>799</x:v>
      </x:c>
      <x:c r="I73" s="80"/>
      <x:c r="J73" s="78"/>
      <x:c r="K73" s="81" t="str">
        <x:f t="shared" si="4"/>
        <x:v>ENP-00072|DigiKey</x:v>
      </x:c>
      <x:c r="L73" s="81" t="str">
        <x:f t="shared" si="5"/>
        <x:v>ENP-00072|Ja</x:v>
      </x:c>
    </x:row>
    <x:row r="74" ht="20" customHeight="1">
      <x:c r="A74" s="78" t="s">
        <x:v>532</x:v>
      </x:c>
      <x:c r="B74" s="78" t="s">
        <x:v>839</x:v>
      </x:c>
      <x:c r="C74" s="78" t="s">
        <x:v>536</x:v>
      </x:c>
      <x:c r="D74" s="78" t="s">
        <x:v>935</x:v>
      </x:c>
      <x:c r="E74" s="79">
        <x:v>7.0000000000000007E-2</x:v>
      </x:c>
      <x:c r="F74" s="78" t="s">
        <x:v>847</x:v>
      </x:c>
      <x:c r="G74" s="78"/>
      <x:c r="H74" s="78" t="s">
        <x:v>799</x:v>
      </x:c>
      <x:c r="I74" s="80"/>
      <x:c r="J74" s="78"/>
      <x:c r="K74" s="81" t="str">
        <x:f t="shared" si="4"/>
        <x:v>ENP-00073|TME</x:v>
      </x:c>
      <x:c r="L74" s="81" t="str">
        <x:f t="shared" si="5"/>
        <x:v>ENP-00073|Ja</x:v>
      </x:c>
    </x:row>
    <x:row r="75" ht="20" customHeight="1">
      <x:c r="A75" s="78" t="s">
        <x:v>541</x:v>
      </x:c>
      <x:c r="B75" s="78" t="s">
        <x:v>838</x:v>
      </x:c>
      <x:c r="C75" s="78" t="s">
        <x:v>936</x:v>
      </x:c>
      <x:c r="D75" s="78" t="s">
        <x:v>937</x:v>
      </x:c>
      <x:c r="E75" s="79">
        <x:v>0.92</x:v>
      </x:c>
      <x:c r="F75" s="78" t="s">
        <x:v>847</x:v>
      </x:c>
      <x:c r="G75" s="78"/>
      <x:c r="H75" s="78" t="s">
        <x:v>799</x:v>
      </x:c>
      <x:c r="I75" s="80"/>
      <x:c r="J75" s="78"/>
      <x:c r="K75" s="81" t="str">
        <x:f t="shared" si="4"/>
        <x:v>ENP-00074|Mouser</x:v>
      </x:c>
      <x:c r="L75" s="81" t="str">
        <x:f t="shared" si="5"/>
        <x:v>ENP-00074|Ja</x:v>
      </x:c>
    </x:row>
    <x:row r="76" ht="20" customHeight="1">
      <x:c r="A76" s="78" t="s">
        <x:v>551</x:v>
      </x:c>
      <x:c r="B76" s="78" t="s">
        <x:v>838</x:v>
      </x:c>
      <x:c r="C76" s="78" t="s">
        <x:v>938</x:v>
      </x:c>
      <x:c r="D76" s="78" t="s">
        <x:v>939</x:v>
      </x:c>
      <x:c r="E76" s="79">
        <x:v>7.11</x:v>
      </x:c>
      <x:c r="F76" s="78" t="s">
        <x:v>847</x:v>
      </x:c>
      <x:c r="G76" s="78"/>
      <x:c r="H76" s="78" t="s">
        <x:v>799</x:v>
      </x:c>
      <x:c r="I76" s="80"/>
      <x:c r="J76" s="78"/>
      <x:c r="K76" s="81" t="str">
        <x:f t="shared" si="4"/>
        <x:v>ENP-00075|Mouser</x:v>
      </x:c>
      <x:c r="L76" s="81" t="str">
        <x:f t="shared" si="5"/>
        <x:v>ENP-00075|Ja</x:v>
      </x:c>
    </x:row>
    <x:row r="77" ht="20" customHeight="1">
      <x:c r="A77" s="78" t="s">
        <x:v>560</x:v>
      </x:c>
      <x:c r="B77" s="78" t="s">
        <x:v>103</x:v>
      </x:c>
      <x:c r="C77" s="78"/>
      <x:c r="D77" s="78"/>
      <x:c r="E77" s="79"/>
      <x:c r="F77" s="78" t="s">
        <x:v>847</x:v>
      </x:c>
      <x:c r="G77" s="78">
        <x:v>5</x:v>
      </x:c>
      <x:c r="H77" s="78" t="s">
        <x:v>799</x:v>
      </x:c>
      <x:c r="I77" s="80"/>
      <x:c r="J77" s="78"/>
      <x:c r="K77" s="81" t="str">
        <x:f t="shared" si="4"/>
        <x:v>ENP-00076|JLCPCB</x:v>
      </x:c>
      <x:c r="L77" s="81" t="str">
        <x:f t="shared" si="5"/>
        <x:v>ENP-00076|Ja</x:v>
      </x:c>
    </x:row>
    <x:row r="78" ht="20" customHeight="1">
      <x:c r="A78" s="78" t="s">
        <x:v>565</x:v>
      </x:c>
      <x:c r="B78" s="78" t="s">
        <x:v>829</x:v>
      </x:c>
      <x:c r="C78" s="78" t="s">
        <x:v>940</x:v>
      </x:c>
      <x:c r="D78" s="78" t="s">
        <x:v>941</x:v>
      </x:c>
      <x:c r="E78" s="79">
        <x:v>2.25</x:v>
      </x:c>
      <x:c r="F78" s="78" t="s">
        <x:v>847</x:v>
      </x:c>
      <x:c r="G78" s="78"/>
      <x:c r="H78" s="78" t="s">
        <x:v>799</x:v>
      </x:c>
      <x:c r="I78" s="80"/>
      <x:c r="J78" s="78"/>
      <x:c r="K78" s="81" t="str">
        <x:f t="shared" si="4"/>
        <x:v>ENP-00077|Reichelt</x:v>
      </x:c>
      <x:c r="L78" s="81" t="str">
        <x:f t="shared" si="5"/>
        <x:v>ENP-00077|Ja</x:v>
      </x:c>
    </x:row>
    <x:row r="79" ht="20" customHeight="1">
      <x:c r="A79" s="78" t="s">
        <x:v>574</x:v>
      </x:c>
      <x:c r="B79" s="78" t="s">
        <x:v>829</x:v>
      </x:c>
      <x:c r="C79" s="78" t="s">
        <x:v>942</x:v>
      </x:c>
      <x:c r="D79" s="78" t="s">
        <x:v>943</x:v>
      </x:c>
      <x:c r="E79" s="79">
        <x:v>0.17</x:v>
      </x:c>
      <x:c r="F79" s="78" t="s">
        <x:v>847</x:v>
      </x:c>
      <x:c r="G79" s="78"/>
      <x:c r="H79" s="78" t="s">
        <x:v>799</x:v>
      </x:c>
      <x:c r="I79" s="80"/>
      <x:c r="J79" s="78"/>
      <x:c r="K79" s="81" t="str">
        <x:f t="shared" si="4"/>
        <x:v>ENP-00078|Reichelt</x:v>
      </x:c>
      <x:c r="L79" s="81" t="str">
        <x:f t="shared" si="5"/>
        <x:v>ENP-00078|Ja</x:v>
      </x:c>
    </x:row>
    <x:row r="80" ht="20" customHeight="1">
      <x:c r="A80" s="78" t="s">
        <x:v>581</x:v>
      </x:c>
      <x:c r="B80" s="78" t="s">
        <x:v>829</x:v>
      </x:c>
      <x:c r="C80" s="78" t="s">
        <x:v>944</x:v>
      </x:c>
      <x:c r="D80" s="78" t="s">
        <x:v>945</x:v>
      </x:c>
      <x:c r="E80" s="79">
        <x:v>0.17</x:v>
      </x:c>
      <x:c r="F80" s="78" t="s">
        <x:v>847</x:v>
      </x:c>
      <x:c r="G80" s="78"/>
      <x:c r="H80" s="78" t="s">
        <x:v>799</x:v>
      </x:c>
      <x:c r="I80" s="80"/>
      <x:c r="J80" s="78"/>
      <x:c r="K80" s="81" t="str">
        <x:f t="shared" si="4"/>
        <x:v>ENP-00079|Reichelt</x:v>
      </x:c>
      <x:c r="L80" s="81" t="str">
        <x:f t="shared" si="5"/>
        <x:v>ENP-00079|Ja</x:v>
      </x:c>
    </x:row>
    <x:row r="81" ht="20" customHeight="1">
      <x:c r="A81" s="78" t="s">
        <x:v>585</x:v>
      </x:c>
      <x:c r="B81" s="78" t="s">
        <x:v>833</x:v>
      </x:c>
      <x:c r="C81" s="78"/>
      <x:c r="D81" s="78" t="s">
        <x:v>946</x:v>
      </x:c>
      <x:c r="E81" s="79"/>
      <x:c r="F81" s="78" t="s">
        <x:v>847</x:v>
      </x:c>
      <x:c r="G81" s="78"/>
      <x:c r="H81" s="78" t="s">
        <x:v>799</x:v>
      </x:c>
      <x:c r="I81" s="80"/>
      <x:c r="J81" s="78"/>
      <x:c r="K81" s="81" t="str">
        <x:f t="shared" si="4"/>
        <x:v>ENP-00080|Noch festlegen</x:v>
      </x:c>
      <x:c r="L81" s="81" t="str">
        <x:f t="shared" si="5"/>
        <x:v>ENP-00080|Ja</x:v>
      </x:c>
    </x:row>
    <x:row r="82" ht="20" customHeight="1">
      <x:c r="A82" s="78" t="s">
        <x:v>593</x:v>
      </x:c>
      <x:c r="B82" s="78" t="s">
        <x:v>833</x:v>
      </x:c>
      <x:c r="C82" s="78"/>
      <x:c r="D82" s="78" t="s">
        <x:v>946</x:v>
      </x:c>
      <x:c r="E82" s="79"/>
      <x:c r="F82" s="78" t="s">
        <x:v>847</x:v>
      </x:c>
      <x:c r="G82" s="78"/>
      <x:c r="H82" s="78" t="s">
        <x:v>799</x:v>
      </x:c>
      <x:c r="I82" s="80"/>
      <x:c r="J82" s="78"/>
      <x:c r="K82" s="81" t="str">
        <x:f t="shared" si="4"/>
        <x:v>ENP-00081|Noch festlegen</x:v>
      </x:c>
      <x:c r="L82" s="81" t="str">
        <x:f t="shared" si="5"/>
        <x:v>ENP-00081|Ja</x:v>
      </x:c>
    </x:row>
    <x:row r="83" ht="20" customHeight="1">
      <x:c r="A83" s="78" t="s">
        <x:v>598</x:v>
      </x:c>
      <x:c r="B83" s="78" t="s">
        <x:v>833</x:v>
      </x:c>
      <x:c r="C83" s="78"/>
      <x:c r="D83" s="78" t="s">
        <x:v>946</x:v>
      </x:c>
      <x:c r="E83" s="79"/>
      <x:c r="F83" s="78" t="s">
        <x:v>847</x:v>
      </x:c>
      <x:c r="G83" s="78"/>
      <x:c r="H83" s="78" t="s">
        <x:v>799</x:v>
      </x:c>
      <x:c r="I83" s="80"/>
      <x:c r="J83" s="78"/>
      <x:c r="K83" s="81" t="str">
        <x:f t="shared" si="4"/>
        <x:v>ENP-00082|Noch festlegen</x:v>
      </x:c>
      <x:c r="L83" s="81" t="str">
        <x:f t="shared" si="5"/>
        <x:v>ENP-00082|Ja</x:v>
      </x:c>
    </x:row>
    <x:row r="84" ht="20" customHeight="1">
      <x:c r="A84" s="78" t="s">
        <x:v>603</x:v>
      </x:c>
      <x:c r="B84" s="78" t="s">
        <x:v>833</x:v>
      </x:c>
      <x:c r="C84" s="78"/>
      <x:c r="D84" s="78" t="s">
        <x:v>946</x:v>
      </x:c>
      <x:c r="E84" s="79"/>
      <x:c r="F84" s="78" t="s">
        <x:v>847</x:v>
      </x:c>
      <x:c r="G84" s="78"/>
      <x:c r="H84" s="78" t="s">
        <x:v>799</x:v>
      </x:c>
      <x:c r="I84" s="80"/>
      <x:c r="J84" s="78"/>
      <x:c r="K84" s="81" t="str">
        <x:f t="shared" si="4"/>
        <x:v>ENP-00083|Noch festlegen</x:v>
      </x:c>
      <x:c r="L84" s="81" t="str">
        <x:f t="shared" si="5"/>
        <x:v>ENP-00083|Ja</x:v>
      </x:c>
    </x:row>
    <x:row r="85" ht="20" customHeight="1">
      <x:c r="A85" s="78" t="s">
        <x:v>608</x:v>
      </x:c>
      <x:c r="B85" s="78" t="s">
        <x:v>833</x:v>
      </x:c>
      <x:c r="C85" s="78"/>
      <x:c r="D85" s="78" t="s">
        <x:v>946</x:v>
      </x:c>
      <x:c r="E85" s="79"/>
      <x:c r="F85" s="78" t="s">
        <x:v>847</x:v>
      </x:c>
      <x:c r="G85" s="78"/>
      <x:c r="H85" s="78" t="s">
        <x:v>799</x:v>
      </x:c>
      <x:c r="I85" s="80"/>
      <x:c r="J85" s="78"/>
      <x:c r="K85" s="81" t="str">
        <x:f t="shared" si="4"/>
        <x:v>ENP-00084|Noch festlegen</x:v>
      </x:c>
      <x:c r="L85" s="81" t="str">
        <x:f t="shared" si="5"/>
        <x:v>ENP-00084|Ja</x:v>
      </x:c>
    </x:row>
    <x:row r="86" ht="20" customHeight="1">
      <x:c r="A86" s="78" t="s">
        <x:v>613</x:v>
      </x:c>
      <x:c r="B86" s="78" t="s">
        <x:v>833</x:v>
      </x:c>
      <x:c r="C86" s="78"/>
      <x:c r="D86" s="78" t="s">
        <x:v>946</x:v>
      </x:c>
      <x:c r="E86" s="79"/>
      <x:c r="F86" s="78" t="s">
        <x:v>847</x:v>
      </x:c>
      <x:c r="G86" s="78"/>
      <x:c r="H86" s="78" t="s">
        <x:v>799</x:v>
      </x:c>
      <x:c r="I86" s="80"/>
      <x:c r="J86" s="78"/>
      <x:c r="K86" s="81" t="str">
        <x:f t="shared" si="4"/>
        <x:v>ENP-00085|Noch festlegen</x:v>
      </x:c>
      <x:c r="L86" s="81" t="str">
        <x:f t="shared" si="5"/>
        <x:v>ENP-00085|Ja</x:v>
      </x:c>
    </x:row>
    <x:row r="87" ht="20" customHeight="1">
      <x:c r="A87" s="78" t="s">
        <x:v>618</x:v>
      </x:c>
      <x:c r="B87" s="78" t="s">
        <x:v>833</x:v>
      </x:c>
      <x:c r="C87" s="78"/>
      <x:c r="D87" s="78" t="s">
        <x:v>946</x:v>
      </x:c>
      <x:c r="E87" s="79"/>
      <x:c r="F87" s="78" t="s">
        <x:v>847</x:v>
      </x:c>
      <x:c r="G87" s="78"/>
      <x:c r="H87" s="78" t="s">
        <x:v>799</x:v>
      </x:c>
      <x:c r="I87" s="80"/>
      <x:c r="J87" s="78"/>
      <x:c r="K87" s="81" t="str">
        <x:f t="shared" si="4"/>
        <x:v>ENP-00086|Noch festlegen</x:v>
      </x:c>
      <x:c r="L87" s="81" t="str">
        <x:f t="shared" si="5"/>
        <x:v>ENP-00086|Ja</x:v>
      </x:c>
    </x:row>
    <x:row r="88" ht="20" customHeight="1">
      <x:c r="A88" s="78" t="s">
        <x:v>623</x:v>
      </x:c>
      <x:c r="B88" s="78" t="s">
        <x:v>833</x:v>
      </x:c>
      <x:c r="C88" s="78"/>
      <x:c r="D88" s="78" t="s">
        <x:v>946</x:v>
      </x:c>
      <x:c r="E88" s="79"/>
      <x:c r="F88" s="78" t="s">
        <x:v>847</x:v>
      </x:c>
      <x:c r="G88" s="78"/>
      <x:c r="H88" s="78" t="s">
        <x:v>799</x:v>
      </x:c>
      <x:c r="I88" s="80"/>
      <x:c r="J88" s="78"/>
      <x:c r="K88" s="81" t="str">
        <x:f t="shared" si="4"/>
        <x:v>ENP-00087|Noch festlegen</x:v>
      </x:c>
      <x:c r="L88" s="81" t="str">
        <x:f t="shared" si="5"/>
        <x:v>ENP-00087|Ja</x:v>
      </x:c>
    </x:row>
    <x:row r="89" ht="20" customHeight="1">
      <x:c r="A89" s="78" t="s">
        <x:v>628</x:v>
      </x:c>
      <x:c r="B89" s="78" t="s">
        <x:v>829</x:v>
      </x:c>
      <x:c r="C89" s="78" t="s">
        <x:v>947</x:v>
      </x:c>
      <x:c r="D89" s="78" t="s">
        <x:v>948</x:v>
      </x:c>
      <x:c r="E89" s="79">
        <x:v>5.75</x:v>
      </x:c>
      <x:c r="F89" s="78" t="s">
        <x:v>847</x:v>
      </x:c>
      <x:c r="G89" s="78"/>
      <x:c r="H89" s="78" t="s">
        <x:v>799</x:v>
      </x:c>
      <x:c r="I89" s="80"/>
      <x:c r="J89" s="78"/>
      <x:c r="K89" s="81" t="str">
        <x:f t="shared" si="4"/>
        <x:v>ENP-00088|Reichelt</x:v>
      </x:c>
      <x:c r="L89" s="81" t="str">
        <x:f t="shared" si="5"/>
        <x:v>ENP-00088|Ja</x:v>
      </x:c>
    </x:row>
    <x:row r="90" ht="20" customHeight="1">
      <x:c r="A90" s="78" t="s">
        <x:v>635</x:v>
      </x:c>
      <x:c r="B90" s="78" t="s">
        <x:v>836</x:v>
      </x:c>
      <x:c r="C90" s="78" t="s">
        <x:v>949</x:v>
      </x:c>
      <x:c r="D90" s="78" t="s">
        <x:v>950</x:v>
      </x:c>
      <x:c r="E90" s="79"/>
      <x:c r="F90" s="78" t="s">
        <x:v>847</x:v>
      </x:c>
      <x:c r="G90" s="78"/>
      <x:c r="H90" s="78" t="s">
        <x:v>799</x:v>
      </x:c>
      <x:c r="I90" s="80"/>
      <x:c r="J90" s="78"/>
      <x:c r="K90" s="81" t="str">
        <x:f t="shared" si="4"/>
        <x:v>ENP-00089|DigiKey</x:v>
      </x:c>
      <x:c r="L90" s="81" t="str">
        <x:f t="shared" si="5"/>
        <x:v>ENP-00089|Ja</x:v>
      </x:c>
    </x:row>
    <x:row r="91" ht="20" customHeight="1">
      <x:c r="A91" s="78" t="s">
        <x:v>645</x:v>
      </x:c>
      <x:c r="B91" s="78" t="s">
        <x:v>836</x:v>
      </x:c>
      <x:c r="C91" s="78" t="s">
        <x:v>951</x:v>
      </x:c>
      <x:c r="D91" s="78" t="s">
        <x:v>952</x:v>
      </x:c>
      <x:c r="E91" s="79">
        <x:v>0.09</x:v>
      </x:c>
      <x:c r="F91" s="78" t="s">
        <x:v>847</x:v>
      </x:c>
      <x:c r="G91" s="78"/>
      <x:c r="H91" s="78" t="s">
        <x:v>799</x:v>
      </x:c>
      <x:c r="I91" s="80"/>
      <x:c r="J91" s="78"/>
      <x:c r="K91" s="81" t="str">
        <x:f t="shared" si="4"/>
        <x:v>ENP-00090|DigiKey</x:v>
      </x:c>
      <x:c r="L91" s="81" t="str">
        <x:f t="shared" si="5"/>
        <x:v>ENP-00090|Ja</x:v>
      </x:c>
    </x:row>
    <x:row r="92" ht="20" customHeight="1">
      <x:c r="A92" s="78" t="s">
        <x:v>653</x:v>
      </x:c>
      <x:c r="B92" s="78" t="s">
        <x:v>829</x:v>
      </x:c>
      <x:c r="C92" s="78" t="s">
        <x:v>953</x:v>
      </x:c>
      <x:c r="D92" s="78" t="s">
        <x:v>954</x:v>
      </x:c>
      <x:c r="E92" s="79">
        <x:v>0.85</x:v>
      </x:c>
      <x:c r="F92" s="78" t="s">
        <x:v>847</x:v>
      </x:c>
      <x:c r="G92" s="78"/>
      <x:c r="H92" s="78" t="s">
        <x:v>799</x:v>
      </x:c>
      <x:c r="I92" s="80"/>
      <x:c r="J92" s="78"/>
      <x:c r="K92" s="81" t="str">
        <x:f t="shared" si="4"/>
        <x:v>ENP-00091|Reichelt</x:v>
      </x:c>
      <x:c r="L92" s="81" t="str">
        <x:f t="shared" si="5"/>
        <x:v>ENP-00091|Ja</x:v>
      </x:c>
    </x:row>
    <x:row r="93" ht="20" customHeight="1">
      <x:c r="A93" s="78" t="s">
        <x:v>661</x:v>
      </x:c>
      <x:c r="B93" s="78" t="s">
        <x:v>829</x:v>
      </x:c>
      <x:c r="C93" s="78" t="s">
        <x:v>955</x:v>
      </x:c>
      <x:c r="D93" s="78" t="s">
        <x:v>956</x:v>
      </x:c>
      <x:c r="E93" s="79">
        <x:v>0.52</x:v>
      </x:c>
      <x:c r="F93" s="78" t="s">
        <x:v>847</x:v>
      </x:c>
      <x:c r="G93" s="78"/>
      <x:c r="H93" s="78" t="s">
        <x:v>799</x:v>
      </x:c>
      <x:c r="I93" s="80"/>
      <x:c r="J93" s="78"/>
      <x:c r="K93" s="81" t="str">
        <x:f t="shared" si="4"/>
        <x:v>ENP-00092|Reichelt</x:v>
      </x:c>
      <x:c r="L93" s="81" t="str">
        <x:f t="shared" si="5"/>
        <x:v>ENP-00092|Ja</x:v>
      </x:c>
    </x:row>
    <x:row r="94" ht="20" customHeight="1">
      <x:c r="A94" s="78" t="s">
        <x:v>667</x:v>
      </x:c>
      <x:c r="B94" s="78" t="s">
        <x:v>829</x:v>
      </x:c>
      <x:c r="C94" s="78" t="s">
        <x:v>957</x:v>
      </x:c>
      <x:c r="D94" s="78" t="s">
        <x:v>958</x:v>
      </x:c>
      <x:c r="E94" s="79">
        <x:v>0.04</x:v>
      </x:c>
      <x:c r="F94" s="78" t="s">
        <x:v>847</x:v>
      </x:c>
      <x:c r="G94" s="78"/>
      <x:c r="H94" s="78" t="s">
        <x:v>799</x:v>
      </x:c>
      <x:c r="I94" s="80"/>
      <x:c r="J94" s="78"/>
      <x:c r="K94" s="81" t="str">
        <x:f t="shared" si="4"/>
        <x:v>ENP-00093|Reichelt</x:v>
      </x:c>
      <x:c r="L94" s="81" t="str">
        <x:f t="shared" si="5"/>
        <x:v>ENP-00093|Ja</x:v>
      </x:c>
    </x:row>
    <x:row r="95" ht="20" customHeight="1">
      <x:c r="A95" s="78" t="s">
        <x:v>672</x:v>
      </x:c>
      <x:c r="B95" s="78" t="s">
        <x:v>829</x:v>
      </x:c>
      <x:c r="C95" s="78" t="s">
        <x:v>959</x:v>
      </x:c>
      <x:c r="D95" s="78" t="s">
        <x:v>960</x:v>
      </x:c>
      <x:c r="E95" s="79">
        <x:v>0.09</x:v>
      </x:c>
      <x:c r="F95" s="78" t="s">
        <x:v>847</x:v>
      </x:c>
      <x:c r="G95" s="78"/>
      <x:c r="H95" s="78" t="s">
        <x:v>799</x:v>
      </x:c>
      <x:c r="I95" s="80"/>
      <x:c r="J95" s="78"/>
      <x:c r="K95" s="81" t="str">
        <x:f t="shared" si="4"/>
        <x:v>ENP-00094|Reichelt</x:v>
      </x:c>
      <x:c r="L95" s="81" t="str">
        <x:f t="shared" si="5"/>
        <x:v>ENP-00094|Ja</x:v>
      </x:c>
    </x:row>
    <x:row r="96" ht="20" customHeight="1">
      <x:c r="A96" s="78" t="s">
        <x:v>677</x:v>
      </x:c>
      <x:c r="B96" s="78" t="s">
        <x:v>829</x:v>
      </x:c>
      <x:c r="C96" s="78" t="s">
        <x:v>683</x:v>
      </x:c>
      <x:c r="D96" s="78" t="s">
        <x:v>961</x:v>
      </x:c>
      <x:c r="E96" s="79">
        <x:v>0.22</x:v>
      </x:c>
      <x:c r="F96" s="78" t="s">
        <x:v>847</x:v>
      </x:c>
      <x:c r="G96" s="78"/>
      <x:c r="H96" s="78" t="s">
        <x:v>799</x:v>
      </x:c>
      <x:c r="I96" s="80"/>
      <x:c r="J96" s="78"/>
      <x:c r="K96" s="81" t="str">
        <x:f t="shared" si="4"/>
        <x:v>ENP-00095|Reichelt</x:v>
      </x:c>
      <x:c r="L96" s="81" t="str">
        <x:f t="shared" si="5"/>
        <x:v>ENP-00095|Ja</x:v>
      </x:c>
    </x:row>
    <x:row r="97" ht="20" customHeight="1">
      <x:c r="A97" s="78" t="s">
        <x:v>684</x:v>
      </x:c>
      <x:c r="B97" s="78" t="s">
        <x:v>829</x:v>
      </x:c>
      <x:c r="C97" s="78" t="s">
        <x:v>962</x:v>
      </x:c>
      <x:c r="D97" s="78" t="s">
        <x:v>963</x:v>
      </x:c>
      <x:c r="E97" s="79">
        <x:v>0.22</x:v>
      </x:c>
      <x:c r="F97" s="78" t="s">
        <x:v>847</x:v>
      </x:c>
      <x:c r="G97" s="78"/>
      <x:c r="H97" s="78" t="s">
        <x:v>799</x:v>
      </x:c>
      <x:c r="I97" s="80"/>
      <x:c r="J97" s="78"/>
      <x:c r="K97" s="81" t="str">
        <x:f t="shared" si="4"/>
        <x:v>ENP-00096|Reichelt</x:v>
      </x:c>
      <x:c r="L97" s="81" t="str">
        <x:f t="shared" si="5"/>
        <x:v>ENP-00096|Ja</x:v>
      </x:c>
    </x:row>
    <x:row r="98" ht="20" customHeight="1">
      <x:c r="A98" s="78" t="s">
        <x:v>689</x:v>
      </x:c>
      <x:c r="B98" s="78" t="s">
        <x:v>829</x:v>
      </x:c>
      <x:c r="C98" s="78" t="s">
        <x:v>964</x:v>
      </x:c>
      <x:c r="D98" s="78" t="s">
        <x:v>965</x:v>
      </x:c>
      <x:c r="E98" s="79">
        <x:v>0.26</x:v>
      </x:c>
      <x:c r="F98" s="78" t="s">
        <x:v>847</x:v>
      </x:c>
      <x:c r="G98" s="78"/>
      <x:c r="H98" s="78" t="s">
        <x:v>799</x:v>
      </x:c>
      <x:c r="I98" s="80"/>
      <x:c r="J98" s="78"/>
      <x:c r="K98" s="81" t="str">
        <x:f t="shared" si="4"/>
        <x:v>ENP-00097|Reichelt</x:v>
      </x:c>
      <x:c r="L98" s="81" t="str">
        <x:f t="shared" si="5"/>
        <x:v>ENP-00097|Ja</x:v>
      </x:c>
    </x:row>
    <x:row r="99" ht="20" customHeight="1">
      <x:c r="A99" s="78" t="s">
        <x:v>696</x:v>
      </x:c>
      <x:c r="B99" s="78" t="s">
        <x:v>829</x:v>
      </x:c>
      <x:c r="C99" s="78" t="s">
        <x:v>966</x:v>
      </x:c>
      <x:c r="D99" s="78" t="s">
        <x:v>967</x:v>
      </x:c>
      <x:c r="E99" s="79">
        <x:v>0.23</x:v>
      </x:c>
      <x:c r="F99" s="78" t="s">
        <x:v>847</x:v>
      </x:c>
      <x:c r="G99" s="78"/>
      <x:c r="H99" s="78" t="s">
        <x:v>799</x:v>
      </x:c>
      <x:c r="I99" s="80"/>
      <x:c r="J99" s="78"/>
      <x:c r="K99" s="81" t="str">
        <x:f t="shared" si="4"/>
        <x:v>ENP-00098|Reichelt</x:v>
      </x:c>
      <x:c r="L99" s="81" t="str">
        <x:f t="shared" si="5"/>
        <x:v>ENP-00098|Ja</x:v>
      </x:c>
    </x:row>
    <x:row r="100" ht="20" customHeight="1">
      <x:c r="A100" s="78" t="s">
        <x:v>702</x:v>
      </x:c>
      <x:c r="B100" s="78" t="s">
        <x:v>829</x:v>
      </x:c>
      <x:c r="C100" s="78" t="s">
        <x:v>968</x:v>
      </x:c>
      <x:c r="D100" s="78" t="s">
        <x:v>969</x:v>
      </x:c>
      <x:c r="E100" s="79">
        <x:v>0.02</x:v>
      </x:c>
      <x:c r="F100" s="78" t="s">
        <x:v>847</x:v>
      </x:c>
      <x:c r="G100" s="78"/>
      <x:c r="H100" s="78" t="s">
        <x:v>799</x:v>
      </x:c>
      <x:c r="I100" s="80"/>
      <x:c r="J100" s="78"/>
      <x:c r="K100" s="81" t="str">
        <x:f t="shared" si="4"/>
        <x:v>ENP-00099|Reichelt</x:v>
      </x:c>
      <x:c r="L100" s="81" t="str">
        <x:f t="shared" si="5"/>
        <x:v>ENP-00099|Ja</x:v>
      </x:c>
    </x:row>
    <x:row r="101" ht="20" customHeight="1">
      <x:c r="A101" s="78" t="s">
        <x:v>707</x:v>
      </x:c>
      <x:c r="B101" s="78" t="s">
        <x:v>829</x:v>
      </x:c>
      <x:c r="C101" s="78" t="s">
        <x:v>970</x:v>
      </x:c>
      <x:c r="D101" s="78" t="s">
        <x:v>971</x:v>
      </x:c>
      <x:c r="E101" s="79">
        <x:v>7.0000000000000007E-2</x:v>
      </x:c>
      <x:c r="F101" s="78" t="s">
        <x:v>847</x:v>
      </x:c>
      <x:c r="G101" s="78"/>
      <x:c r="H101" s="78" t="s">
        <x:v>799</x:v>
      </x:c>
      <x:c r="I101" s="80"/>
      <x:c r="J101" s="78"/>
      <x:c r="K101" s="81" t="str">
        <x:f t="shared" si="4"/>
        <x:v>ENP-00100|Reichelt</x:v>
      </x:c>
      <x:c r="L101" s="81" t="str">
        <x:f t="shared" si="5"/>
        <x:v>ENP-00100|Ja</x:v>
      </x:c>
    </x:row>
    <x:row r="102" ht="20" customHeight="1">
      <x:c r="A102" s="78" t="s">
        <x:v>712</x:v>
      </x:c>
      <x:c r="B102" s="78" t="s">
        <x:v>829</x:v>
      </x:c>
      <x:c r="C102" s="78" t="s">
        <x:v>717</x:v>
      </x:c>
      <x:c r="D102" s="78" t="s">
        <x:v>972</x:v>
      </x:c>
      <x:c r="E102" s="79">
        <x:v>0.03</x:v>
      </x:c>
      <x:c r="F102" s="78" t="s">
        <x:v>847</x:v>
      </x:c>
      <x:c r="G102" s="78"/>
      <x:c r="H102" s="78" t="s">
        <x:v>799</x:v>
      </x:c>
      <x:c r="I102" s="80"/>
      <x:c r="J102" s="78"/>
      <x:c r="K102" s="81" t="str">
        <x:f t="shared" si="4"/>
        <x:v>ENP-00101|Reichelt</x:v>
      </x:c>
      <x:c r="L102" s="81" t="str">
        <x:f t="shared" si="5"/>
        <x:v>ENP-00101|Ja</x:v>
      </x:c>
    </x:row>
    <x:row r="103">
      <x:c r="A103" t="s">
        <x:v>718</x:v>
      </x:c>
      <x:c r="B103" t="str">
        <x:v>Reichelt</x:v>
      </x:c>
      <x:c r="C103" t="str">
        <x:v>24LC32A-I/SN</x:v>
      </x:c>
      <x:c r="D103" t="str">
        <x:v>https://www.reichelt.com/de/en/eeprom-serial-32kb-so-8-24lc32a-i-sn-p96551.html</x:v>
      </x:c>
      <x:c r="E103" t="n">
        <x:v>0.39</x:v>
      </x:c>
      <x:c r="F103" t="str">
        <x:v>Stk</x:v>
      </x:c>
      <x:c r="G103"/>
      <x:c r="H103" t="str">
        <x:v>Ja</x:v>
      </x:c>
      <x:c r="I103" s="84" t="n">
        <x:v>46271</x:v>
      </x:c>
      <x:c r="J103" t="str">
        <x:v>SOIC-8-Ausführung passend zum KiCad-Footprint; Einzelpreis und Verfügbarkeit vor Bestellung erneut prüfen.</x:v>
      </x:c>
      <x:c r="K103" t="str">
        <x:f>A103&amp;"|"&amp;B103</x:f>
        <x:v>ENP-00102|Reichelt</x:v>
      </x:c>
      <x:c r="L103" t="str">
        <x:f>A103&amp;"|"&amp;H103</x:f>
        <x:v>ENP-00102|Ja</x:v>
      </x:c>
    </x:row>
  </x:sheetData>
  <x:dataValidations count="1">
    <x:dataValidation type="list" sqref="H2:H102">
      <x:formula1>"Ja,Nein"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9a5c628bd58464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3"/>
  <x:cols>
    <x:col min="1" max="1" width="22" customWidth="1"/>
    <x:col min="2" max="2" width="12" customWidth="1"/>
    <x:col min="3" max="3" width="35" customWidth="1"/>
  </x:cols>
  <x:sheetData>
    <x:row r="1" ht="26" customHeight="1">
      <x:c r="A1" s="82" t="s">
        <x:v>802</x:v>
      </x:c>
      <x:c r="B1" s="82" t="s">
        <x:v>973</x:v>
      </x:c>
      <x:c r="C1" s="82" t="s">
        <x:v>11</x:v>
      </x:c>
    </x:row>
    <x:row r="2">
      <x:c r="A2" t="s">
        <x:v>974</x:v>
      </x:c>
      <x:c r="B2" s="83" t="s">
        <x:v>799</x:v>
      </x:c>
    </x:row>
    <x:row r="3">
      <x:c r="A3" t="s">
        <x:v>836</x:v>
      </x:c>
      <x:c r="B3" s="83" t="s">
        <x:v>799</x:v>
      </x:c>
    </x:row>
    <x:row r="4">
      <x:c r="A4" t="s">
        <x:v>824</x:v>
      </x:c>
      <x:c r="B4" s="83" t="s">
        <x:v>799</x:v>
      </x:c>
    </x:row>
    <x:row r="5">
      <x:c r="A5" t="s">
        <x:v>103</x:v>
      </x:c>
      <x:c r="B5" s="83" t="s">
        <x:v>799</x:v>
      </x:c>
    </x:row>
    <x:row r="6">
      <x:c r="A6" t="s">
        <x:v>838</x:v>
      </x:c>
      <x:c r="B6" s="83" t="s">
        <x:v>799</x:v>
      </x:c>
    </x:row>
    <x:row r="7">
      <x:c r="A7" t="s">
        <x:v>833</x:v>
      </x:c>
      <x:c r="B7" s="83" t="s">
        <x:v>799</x:v>
      </x:c>
      <x:c r="C7" t="s">
        <x:v>975</x:v>
      </x:c>
    </x:row>
    <x:row r="8">
      <x:c r="A8" t="s">
        <x:v>829</x:v>
      </x:c>
      <x:c r="B8" s="83" t="s">
        <x:v>799</x:v>
      </x:c>
    </x:row>
    <x:row r="9">
      <x:c r="A9" t="s">
        <x:v>837</x:v>
      </x:c>
      <x:c r="B9" s="83" t="s">
        <x:v>799</x:v>
      </x:c>
    </x:row>
    <x:row r="10">
      <x:c r="A10" t="s">
        <x:v>839</x:v>
      </x:c>
      <x:c r="B10" s="83" t="s">
        <x:v>799</x:v>
      </x:c>
    </x:row>
  </x:sheetData>
  <x:dataValidations count="1">
    <x:dataValidation type="list" sqref="B2:B10">
      <x:formula1>"Ja,Nein"</x:formula1>
      <x:formula2>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6c78b4155374b7b"/>
  </x:tableParts>
</x:worksheet>
</file>