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Volumes/Daten/Development/EnvNode/hardware/"/>
    </mc:Choice>
  </mc:AlternateContent>
  <xr:revisionPtr revIDLastSave="0" documentId="13_ncr:1_{FFC5F107-337F-B94F-A4FC-DE35B5939871}" xr6:coauthVersionLast="47" xr6:coauthVersionMax="47" xr10:uidLastSave="{00000000-0000-0000-0000-000000000000}"/>
  <bookViews>
    <workbookView xWindow="0" yWindow="500" windowWidth="38400" windowHeight="20100" activeTab="3" xr2:uid="{00000000-000D-0000-FFFF-FFFF00000000}"/>
  </bookViews>
  <sheets>
    <sheet name="Parts" sheetId="1" r:id="rId1"/>
    <sheet name="Kits" sheetId="2" r:id="rId2"/>
    <sheet name="Kit_BOM" sheetId="3" r:id="rId3"/>
    <sheet name="Order_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1" i="4" l="1"/>
  <c r="H51" i="4"/>
  <c r="F51" i="4"/>
  <c r="E51" i="4"/>
  <c r="J51" i="4" s="1"/>
  <c r="D51" i="4"/>
  <c r="C51" i="4"/>
  <c r="B51" i="4"/>
  <c r="K50" i="4"/>
  <c r="H50" i="4"/>
  <c r="F50" i="4"/>
  <c r="E50" i="4"/>
  <c r="J50" i="4" s="1"/>
  <c r="D50" i="4"/>
  <c r="C50" i="4"/>
  <c r="B50" i="4"/>
  <c r="K49" i="4"/>
  <c r="H49" i="4"/>
  <c r="F49" i="4"/>
  <c r="E49" i="4"/>
  <c r="J49" i="4" s="1"/>
  <c r="D49" i="4"/>
  <c r="C49" i="4"/>
  <c r="B49" i="4"/>
  <c r="K48" i="4"/>
  <c r="H48" i="4"/>
  <c r="F48" i="4"/>
  <c r="E48" i="4"/>
  <c r="G48" i="4" s="1"/>
  <c r="D48" i="4"/>
  <c r="C48" i="4"/>
  <c r="B48" i="4"/>
  <c r="K47" i="4"/>
  <c r="H47" i="4"/>
  <c r="F47" i="4"/>
  <c r="E47" i="4"/>
  <c r="J47" i="4" s="1"/>
  <c r="D47" i="4"/>
  <c r="C47" i="4"/>
  <c r="B47" i="4"/>
  <c r="K46" i="4"/>
  <c r="H46" i="4"/>
  <c r="F46" i="4"/>
  <c r="E46" i="4"/>
  <c r="J46" i="4" s="1"/>
  <c r="D46" i="4"/>
  <c r="C46" i="4"/>
  <c r="B46" i="4"/>
  <c r="K45" i="4"/>
  <c r="H45" i="4"/>
  <c r="F45" i="4"/>
  <c r="E45" i="4"/>
  <c r="J45" i="4" s="1"/>
  <c r="D45" i="4"/>
  <c r="C45" i="4"/>
  <c r="B45" i="4"/>
  <c r="K44" i="4"/>
  <c r="H44" i="4"/>
  <c r="F44" i="4"/>
  <c r="E44" i="4"/>
  <c r="G44" i="4" s="1"/>
  <c r="D44" i="4"/>
  <c r="C44" i="4"/>
  <c r="B44" i="4"/>
  <c r="K43" i="4"/>
  <c r="H43" i="4"/>
  <c r="F43" i="4"/>
  <c r="E43" i="4"/>
  <c r="J43" i="4" s="1"/>
  <c r="D43" i="4"/>
  <c r="C43" i="4"/>
  <c r="B43" i="4"/>
  <c r="K42" i="4"/>
  <c r="H42" i="4"/>
  <c r="F42" i="4"/>
  <c r="E42" i="4"/>
  <c r="J42" i="4" s="1"/>
  <c r="D42" i="4"/>
  <c r="C42" i="4"/>
  <c r="B42" i="4"/>
  <c r="K41" i="4"/>
  <c r="H41" i="4"/>
  <c r="F41" i="4"/>
  <c r="E41" i="4"/>
  <c r="D41" i="4"/>
  <c r="C41" i="4"/>
  <c r="B41" i="4"/>
  <c r="K40" i="4"/>
  <c r="H40" i="4"/>
  <c r="F40" i="4"/>
  <c r="E40" i="4"/>
  <c r="D40" i="4"/>
  <c r="C40" i="4"/>
  <c r="B40" i="4"/>
  <c r="K39" i="4"/>
  <c r="H39" i="4"/>
  <c r="F39" i="4"/>
  <c r="E39" i="4"/>
  <c r="D39" i="4"/>
  <c r="C39" i="4"/>
  <c r="B39" i="4"/>
  <c r="K38" i="4"/>
  <c r="H38" i="4"/>
  <c r="F38" i="4"/>
  <c r="E38" i="4"/>
  <c r="D38" i="4"/>
  <c r="C38" i="4"/>
  <c r="B38" i="4"/>
  <c r="K37" i="4"/>
  <c r="H37" i="4"/>
  <c r="F37" i="4"/>
  <c r="E37" i="4"/>
  <c r="D37" i="4"/>
  <c r="C37" i="4"/>
  <c r="B37" i="4"/>
  <c r="K36" i="4"/>
  <c r="H36" i="4"/>
  <c r="F36" i="4"/>
  <c r="E36" i="4"/>
  <c r="D36" i="4"/>
  <c r="C36" i="4"/>
  <c r="B36" i="4"/>
  <c r="K35" i="4"/>
  <c r="H35" i="4"/>
  <c r="F35" i="4"/>
  <c r="E35" i="4"/>
  <c r="D35" i="4"/>
  <c r="C35" i="4"/>
  <c r="B35" i="4"/>
  <c r="K34" i="4"/>
  <c r="H34" i="4"/>
  <c r="F34" i="4"/>
  <c r="E34" i="4"/>
  <c r="D34" i="4"/>
  <c r="C34" i="4"/>
  <c r="B34" i="4"/>
  <c r="K33" i="4"/>
  <c r="H33" i="4"/>
  <c r="F33" i="4"/>
  <c r="E33" i="4"/>
  <c r="D33" i="4"/>
  <c r="C33" i="4"/>
  <c r="B33" i="4"/>
  <c r="K32" i="4"/>
  <c r="H32" i="4"/>
  <c r="F32" i="4"/>
  <c r="E32" i="4"/>
  <c r="D32" i="4"/>
  <c r="C32" i="4"/>
  <c r="B32" i="4"/>
  <c r="K31" i="4"/>
  <c r="H31" i="4"/>
  <c r="F31" i="4"/>
  <c r="E31" i="4"/>
  <c r="D31" i="4"/>
  <c r="C31" i="4"/>
  <c r="B31" i="4"/>
  <c r="K30" i="4"/>
  <c r="H30" i="4"/>
  <c r="F30" i="4"/>
  <c r="E30" i="4"/>
  <c r="D30" i="4"/>
  <c r="C30" i="4"/>
  <c r="B30" i="4"/>
  <c r="K29" i="4"/>
  <c r="H29" i="4"/>
  <c r="F29" i="4"/>
  <c r="E29" i="4"/>
  <c r="J29" i="4" s="1"/>
  <c r="D29" i="4"/>
  <c r="C29" i="4"/>
  <c r="B29" i="4"/>
  <c r="K28" i="4"/>
  <c r="H28" i="4"/>
  <c r="F28" i="4"/>
  <c r="E28" i="4"/>
  <c r="J28" i="4" s="1"/>
  <c r="D28" i="4"/>
  <c r="C28" i="4"/>
  <c r="B28" i="4"/>
  <c r="K27" i="4"/>
  <c r="H27" i="4"/>
  <c r="F27" i="4"/>
  <c r="E27" i="4"/>
  <c r="J27" i="4" s="1"/>
  <c r="D27" i="4"/>
  <c r="C27" i="4"/>
  <c r="B27" i="4"/>
  <c r="K26" i="4"/>
  <c r="H26" i="4"/>
  <c r="F26" i="4"/>
  <c r="E26" i="4"/>
  <c r="J26" i="4" s="1"/>
  <c r="D26" i="4"/>
  <c r="C26" i="4"/>
  <c r="B26" i="4"/>
  <c r="K25" i="4"/>
  <c r="H25" i="4"/>
  <c r="F25" i="4"/>
  <c r="E25" i="4"/>
  <c r="J25" i="4" s="1"/>
  <c r="D25" i="4"/>
  <c r="C25" i="4"/>
  <c r="B25" i="4"/>
  <c r="K24" i="4"/>
  <c r="H24" i="4"/>
  <c r="F24" i="4"/>
  <c r="E24" i="4"/>
  <c r="D24" i="4"/>
  <c r="C24" i="4"/>
  <c r="B24" i="4"/>
  <c r="K23" i="4"/>
  <c r="H23" i="4"/>
  <c r="F23" i="4"/>
  <c r="E23" i="4"/>
  <c r="D23" i="4"/>
  <c r="C23" i="4"/>
  <c r="B23" i="4"/>
  <c r="K22" i="4"/>
  <c r="H22" i="4"/>
  <c r="F22" i="4"/>
  <c r="E22" i="4"/>
  <c r="D22" i="4"/>
  <c r="C22" i="4"/>
  <c r="B22" i="4"/>
  <c r="K21" i="4"/>
  <c r="H21" i="4"/>
  <c r="F21" i="4"/>
  <c r="E21" i="4"/>
  <c r="D21" i="4"/>
  <c r="C21" i="4"/>
  <c r="B21" i="4"/>
  <c r="K20" i="4"/>
  <c r="H20" i="4"/>
  <c r="F20" i="4"/>
  <c r="E20" i="4"/>
  <c r="D20" i="4"/>
  <c r="C20" i="4"/>
  <c r="B20" i="4"/>
  <c r="K19" i="4"/>
  <c r="H19" i="4"/>
  <c r="F19" i="4"/>
  <c r="E19" i="4"/>
  <c r="D19" i="4"/>
  <c r="C19" i="4"/>
  <c r="B19" i="4"/>
  <c r="K18" i="4"/>
  <c r="H18" i="4"/>
  <c r="F18" i="4"/>
  <c r="E18" i="4"/>
  <c r="D18" i="4"/>
  <c r="C18" i="4"/>
  <c r="B18" i="4"/>
  <c r="K17" i="4"/>
  <c r="H17" i="4"/>
  <c r="F17" i="4"/>
  <c r="E17" i="4"/>
  <c r="D17" i="4"/>
  <c r="C17" i="4"/>
  <c r="B17" i="4"/>
  <c r="K16" i="4"/>
  <c r="H16" i="4"/>
  <c r="F16" i="4"/>
  <c r="E16" i="4"/>
  <c r="D16" i="4"/>
  <c r="C16" i="4"/>
  <c r="B16" i="4"/>
  <c r="K15" i="4"/>
  <c r="H15" i="4"/>
  <c r="F15" i="4"/>
  <c r="E15" i="4"/>
  <c r="D15" i="4"/>
  <c r="C15" i="4"/>
  <c r="B15" i="4"/>
  <c r="K14" i="4"/>
  <c r="H14" i="4"/>
  <c r="F14" i="4"/>
  <c r="E14" i="4"/>
  <c r="D14" i="4"/>
  <c r="C14" i="4"/>
  <c r="B14" i="4"/>
  <c r="M65" i="3"/>
  <c r="K65" i="3"/>
  <c r="L65" i="3" s="1"/>
  <c r="J65" i="3"/>
  <c r="I65" i="3"/>
  <c r="M64" i="3"/>
  <c r="L64" i="3"/>
  <c r="K64" i="3"/>
  <c r="J64" i="3"/>
  <c r="I64" i="3"/>
  <c r="M63" i="3"/>
  <c r="K63" i="3"/>
  <c r="L63" i="3" s="1"/>
  <c r="J63" i="3"/>
  <c r="I63" i="3"/>
  <c r="M62" i="3"/>
  <c r="L62" i="3"/>
  <c r="K62" i="3"/>
  <c r="J62" i="3"/>
  <c r="I62" i="3"/>
  <c r="M61" i="3"/>
  <c r="L61" i="3"/>
  <c r="J61" i="3"/>
  <c r="I61" i="3"/>
  <c r="M60" i="3"/>
  <c r="L60" i="3"/>
  <c r="J60" i="3"/>
  <c r="I60" i="3"/>
  <c r="M59" i="3"/>
  <c r="L59" i="3"/>
  <c r="J59" i="3"/>
  <c r="I59" i="3"/>
  <c r="M58" i="3"/>
  <c r="L58" i="3"/>
  <c r="J58" i="3"/>
  <c r="I58" i="3"/>
  <c r="M57" i="3"/>
  <c r="L57" i="3"/>
  <c r="J57" i="3"/>
  <c r="I57" i="3"/>
  <c r="M56" i="3"/>
  <c r="L56" i="3"/>
  <c r="J56" i="3"/>
  <c r="I56" i="3"/>
  <c r="M55" i="3"/>
  <c r="L55" i="3"/>
  <c r="J55" i="3"/>
  <c r="I55" i="3"/>
  <c r="M54" i="3"/>
  <c r="L54" i="3"/>
  <c r="J54" i="3"/>
  <c r="I54" i="3"/>
  <c r="M53" i="3"/>
  <c r="L53" i="3"/>
  <c r="J53" i="3"/>
  <c r="I53" i="3"/>
  <c r="M52" i="3"/>
  <c r="L52" i="3"/>
  <c r="J52" i="3"/>
  <c r="I52" i="3"/>
  <c r="M51" i="3"/>
  <c r="L51" i="3"/>
  <c r="J51" i="3"/>
  <c r="I51" i="3"/>
  <c r="M50" i="3"/>
  <c r="L50" i="3"/>
  <c r="J50" i="3"/>
  <c r="I50" i="3"/>
  <c r="M49" i="3"/>
  <c r="L49" i="3"/>
  <c r="J49" i="3"/>
  <c r="I49" i="3"/>
  <c r="M48" i="3"/>
  <c r="L48" i="3"/>
  <c r="J48" i="3"/>
  <c r="I48" i="3"/>
  <c r="M47" i="3"/>
  <c r="L47" i="3"/>
  <c r="J47" i="3"/>
  <c r="I47" i="3"/>
  <c r="M46" i="3"/>
  <c r="L46" i="3"/>
  <c r="J46" i="3"/>
  <c r="I46" i="3"/>
  <c r="M45" i="3"/>
  <c r="L45" i="3"/>
  <c r="J45" i="3"/>
  <c r="I45" i="3"/>
  <c r="M44" i="3"/>
  <c r="L44" i="3"/>
  <c r="J44" i="3"/>
  <c r="I44" i="3"/>
  <c r="M43" i="3"/>
  <c r="L43" i="3"/>
  <c r="J43" i="3"/>
  <c r="I43" i="3"/>
  <c r="M42" i="3"/>
  <c r="L42" i="3"/>
  <c r="J42" i="3"/>
  <c r="I42" i="3"/>
  <c r="M41" i="3"/>
  <c r="L41" i="3"/>
  <c r="J41" i="3"/>
  <c r="I41" i="3"/>
  <c r="M40" i="3"/>
  <c r="L40" i="3"/>
  <c r="J40" i="3"/>
  <c r="I40" i="3"/>
  <c r="M39" i="3"/>
  <c r="L39" i="3"/>
  <c r="J39" i="3"/>
  <c r="I39" i="3"/>
  <c r="M38" i="3"/>
  <c r="L38" i="3"/>
  <c r="J38" i="3"/>
  <c r="I38" i="3"/>
  <c r="M37" i="3"/>
  <c r="L37" i="3"/>
  <c r="J37" i="3"/>
  <c r="I37" i="3"/>
  <c r="M36" i="3"/>
  <c r="L36" i="3"/>
  <c r="J36" i="3"/>
  <c r="I36" i="3"/>
  <c r="M35" i="3"/>
  <c r="L35" i="3"/>
  <c r="J35" i="3"/>
  <c r="I35" i="3"/>
  <c r="M34" i="3"/>
  <c r="L34" i="3"/>
  <c r="J34" i="3"/>
  <c r="I34" i="3"/>
  <c r="M33" i="3"/>
  <c r="L33" i="3"/>
  <c r="J33" i="3"/>
  <c r="I33" i="3"/>
  <c r="M32" i="3"/>
  <c r="L32" i="3"/>
  <c r="J32" i="3"/>
  <c r="I32" i="3"/>
  <c r="M31" i="3"/>
  <c r="L31" i="3"/>
  <c r="J31" i="3"/>
  <c r="I31" i="3"/>
  <c r="M30" i="3"/>
  <c r="L30" i="3"/>
  <c r="J30" i="3"/>
  <c r="I30" i="3"/>
  <c r="M29" i="3"/>
  <c r="L29" i="3"/>
  <c r="J29" i="3"/>
  <c r="I29" i="3"/>
  <c r="M28" i="3"/>
  <c r="L28" i="3"/>
  <c r="J28" i="3"/>
  <c r="I28" i="3"/>
  <c r="M27" i="3"/>
  <c r="L27" i="3"/>
  <c r="J27" i="3"/>
  <c r="I27" i="3"/>
  <c r="M26" i="3"/>
  <c r="L26" i="3"/>
  <c r="J26" i="3"/>
  <c r="I26" i="3"/>
  <c r="M25" i="3"/>
  <c r="L25" i="3"/>
  <c r="J25" i="3"/>
  <c r="I25" i="3"/>
  <c r="M24" i="3"/>
  <c r="L24" i="3"/>
  <c r="J24" i="3"/>
  <c r="I24" i="3"/>
  <c r="M23" i="3"/>
  <c r="L23" i="3"/>
  <c r="J23" i="3"/>
  <c r="I23" i="3"/>
  <c r="M22" i="3"/>
  <c r="L22" i="3"/>
  <c r="J22" i="3"/>
  <c r="I22" i="3"/>
  <c r="M21" i="3"/>
  <c r="L21" i="3"/>
  <c r="J21" i="3"/>
  <c r="I21" i="3"/>
  <c r="M20" i="3"/>
  <c r="L20" i="3"/>
  <c r="J20" i="3"/>
  <c r="I20" i="3"/>
  <c r="M19" i="3"/>
  <c r="L19" i="3"/>
  <c r="J19" i="3"/>
  <c r="I19" i="3"/>
  <c r="M18" i="3"/>
  <c r="L18" i="3"/>
  <c r="J18" i="3"/>
  <c r="I18" i="3"/>
  <c r="M17" i="3"/>
  <c r="L17" i="3"/>
  <c r="J17" i="3"/>
  <c r="I17" i="3"/>
  <c r="M16" i="3"/>
  <c r="L16" i="3"/>
  <c r="J16" i="3"/>
  <c r="I16" i="3"/>
  <c r="M15" i="3"/>
  <c r="L15" i="3"/>
  <c r="J15" i="3"/>
  <c r="I15" i="3"/>
  <c r="M14" i="3"/>
  <c r="L14" i="3"/>
  <c r="J14" i="3"/>
  <c r="I14" i="3"/>
  <c r="M13" i="3"/>
  <c r="L13" i="3"/>
  <c r="J13" i="3"/>
  <c r="I13" i="3"/>
  <c r="M12" i="3"/>
  <c r="L12" i="3"/>
  <c r="J12" i="3"/>
  <c r="I12" i="3"/>
  <c r="M11" i="3"/>
  <c r="L11" i="3"/>
  <c r="J11" i="3"/>
  <c r="I11" i="3"/>
  <c r="M10" i="3"/>
  <c r="L10" i="3"/>
  <c r="J10" i="3"/>
  <c r="I10" i="3"/>
  <c r="M9" i="3"/>
  <c r="L9" i="3"/>
  <c r="J9" i="3"/>
  <c r="I9" i="3"/>
  <c r="M8" i="3"/>
  <c r="L8" i="3"/>
  <c r="J8" i="3"/>
  <c r="I8" i="3"/>
  <c r="M7" i="3"/>
  <c r="L7" i="3"/>
  <c r="J7" i="3"/>
  <c r="I7" i="3"/>
  <c r="M6" i="3"/>
  <c r="L6" i="3"/>
  <c r="J6" i="3"/>
  <c r="I6" i="3"/>
  <c r="M5" i="3"/>
  <c r="L5" i="3"/>
  <c r="J5" i="3"/>
  <c r="I5" i="3"/>
  <c r="M4" i="3"/>
  <c r="L4" i="3"/>
  <c r="J4" i="3"/>
  <c r="I4" i="3"/>
  <c r="M3" i="3"/>
  <c r="L3" i="3"/>
  <c r="J3" i="3"/>
  <c r="I3" i="3"/>
  <c r="M2" i="3"/>
  <c r="L2" i="3"/>
  <c r="J2" i="3"/>
  <c r="I2" i="3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G41" i="4" l="1"/>
  <c r="M66" i="3"/>
  <c r="K52" i="4"/>
  <c r="J17" i="4"/>
  <c r="J33" i="4"/>
  <c r="I41" i="4"/>
  <c r="J37" i="4"/>
  <c r="J14" i="4"/>
  <c r="J22" i="4"/>
  <c r="J30" i="4"/>
  <c r="J38" i="4"/>
  <c r="G36" i="4"/>
  <c r="I36" i="4" s="1"/>
  <c r="I44" i="4"/>
  <c r="J19" i="4"/>
  <c r="J35" i="4"/>
  <c r="J21" i="4"/>
  <c r="J20" i="4"/>
  <c r="J18" i="4"/>
  <c r="J34" i="4"/>
  <c r="J24" i="4"/>
  <c r="J32" i="4"/>
  <c r="J40" i="4"/>
  <c r="I48" i="4"/>
  <c r="J16" i="4"/>
  <c r="J15" i="4"/>
  <c r="J23" i="4"/>
  <c r="J31" i="4"/>
  <c r="J39" i="4"/>
  <c r="G16" i="4"/>
  <c r="I16" i="4" s="1"/>
  <c r="G17" i="4"/>
  <c r="I17" i="4" s="1"/>
  <c r="G37" i="4"/>
  <c r="I37" i="4" s="1"/>
  <c r="G25" i="4"/>
  <c r="I25" i="4" s="1"/>
  <c r="G45" i="4"/>
  <c r="I45" i="4" s="1"/>
  <c r="G28" i="4"/>
  <c r="I28" i="4" s="1"/>
  <c r="G33" i="4"/>
  <c r="I33" i="4" s="1"/>
  <c r="G32" i="4"/>
  <c r="I32" i="4" s="1"/>
  <c r="G24" i="4"/>
  <c r="I24" i="4" s="1"/>
  <c r="G29" i="4"/>
  <c r="I29" i="4" s="1"/>
  <c r="G20" i="4"/>
  <c r="I20" i="4" s="1"/>
  <c r="G40" i="4"/>
  <c r="I40" i="4" s="1"/>
  <c r="L66" i="3"/>
  <c r="G21" i="4"/>
  <c r="I21" i="4" s="1"/>
  <c r="G49" i="4"/>
  <c r="I49" i="4" s="1"/>
  <c r="J36" i="4"/>
  <c r="J44" i="4"/>
  <c r="J48" i="4"/>
  <c r="G26" i="4"/>
  <c r="I26" i="4" s="1"/>
  <c r="G34" i="4"/>
  <c r="I34" i="4" s="1"/>
  <c r="G46" i="4"/>
  <c r="I46" i="4" s="1"/>
  <c r="G50" i="4"/>
  <c r="I50" i="4" s="1"/>
  <c r="G22" i="4"/>
  <c r="I22" i="4" s="1"/>
  <c r="G30" i="4"/>
  <c r="I30" i="4" s="1"/>
  <c r="G38" i="4"/>
  <c r="I38" i="4" s="1"/>
  <c r="G42" i="4"/>
  <c r="I42" i="4" s="1"/>
  <c r="J41" i="4"/>
  <c r="G14" i="4"/>
  <c r="I14" i="4" s="1"/>
  <c r="I52" i="4" s="1"/>
  <c r="G15" i="4"/>
  <c r="I15" i="4" s="1"/>
  <c r="G39" i="4"/>
  <c r="I39" i="4" s="1"/>
  <c r="G47" i="4"/>
  <c r="I47" i="4" s="1"/>
  <c r="G51" i="4"/>
  <c r="I51" i="4" s="1"/>
  <c r="G18" i="4"/>
  <c r="I18" i="4" s="1"/>
  <c r="G19" i="4"/>
  <c r="I19" i="4" s="1"/>
  <c r="G23" i="4"/>
  <c r="I23" i="4" s="1"/>
  <c r="G27" i="4"/>
  <c r="I27" i="4" s="1"/>
  <c r="G31" i="4"/>
  <c r="I31" i="4" s="1"/>
  <c r="G35" i="4"/>
  <c r="I35" i="4" s="1"/>
  <c r="G43" i="4"/>
  <c r="I43" i="4" s="1"/>
</calcChain>
</file>

<file path=xl/sharedStrings.xml><?xml version="1.0" encoding="utf-8"?>
<sst xmlns="http://schemas.openxmlformats.org/spreadsheetml/2006/main" count="1586" uniqueCount="720">
  <si>
    <t>Part_ID</t>
  </si>
  <si>
    <t>Category</t>
  </si>
  <si>
    <t>Description</t>
  </si>
  <si>
    <t>Value_Rating</t>
  </si>
  <si>
    <t>Package_Footprint</t>
  </si>
  <si>
    <t>Manufacturer</t>
  </si>
  <si>
    <t>MPN</t>
  </si>
  <si>
    <t>Supplier</t>
  </si>
  <si>
    <t>Supplier_PN</t>
  </si>
  <si>
    <t>URL</t>
  </si>
  <si>
    <t>Unit_Price_EUR</t>
  </si>
  <si>
    <t>Purchase_Unit</t>
  </si>
  <si>
    <t>Packaging_Unit</t>
  </si>
  <si>
    <t>Found_In</t>
  </si>
  <si>
    <t>KiCad_References</t>
  </si>
  <si>
    <t>Source</t>
  </si>
  <si>
    <t>Review_Status</t>
  </si>
  <si>
    <t>Notes</t>
  </si>
  <si>
    <t>Duplicate_Check_Key</t>
  </si>
  <si>
    <t>ENP-00001</t>
  </si>
  <si>
    <t>Kabelsatz</t>
  </si>
  <si>
    <t>Set, SET JST-PH 4-polig 2.00mm vertikaler PCB-Stecker, Buchse THT</t>
  </si>
  <si>
    <t>JST-PH, 4-polig, Set</t>
  </si>
  <si>
    <t>JST</t>
  </si>
  <si>
    <t>eBay</t>
  </si>
  <si>
    <t>https://www.ebay.de/itm/175537690511?_skw=jst+ph+set&amp;itmmeta=01M0AMR98NFGJV2FS30RR17BQ3&amp;hash=item28dedc978f:g:A3kAAOSw229j0YAt&amp;itmprp=enc%3AAQALAAAA0GfYFPkwiKCW4ZNSs2u11xAqJnJgTdJ%2FIJ1I2fxZKRMDiu6X0YrWY5D3w4DQOc5o%2FaOXGmcjIgTnzr6ZSr5vXhmBWytsd%2BVqmj0wzTE8DG%2BTs8RqbjdKpejAkG5A8BZqR0CHVQRoh5S5YInpcAcul6x8Wctn1VQHQBXPR%2FXsSs9oWck2%2BQ7koAWk9BEZEN9dagXH6v3Mmz5PHheo1V3%2ByPo1rz9Au%2BRLA4rvEIjR474lCC3Jyl3mD3occXmLZjl7i6IY9cBlKcCfkbIa4zkXYnk%3D%7Ctkp%3ABk9SR9aU4dSCaA</t>
  </si>
  <si>
    <t>Stk</t>
  </si>
  <si>
    <t>EnvNode</t>
  </si>
  <si>
    <t>GPIO's</t>
  </si>
  <si>
    <t>BOM_Mainboard.xlsx</t>
  </si>
  <si>
    <t>OK</t>
  </si>
  <si>
    <t>GPIO-Anschlüsse; exakte Herstellerartikelnummer vor Bestellung gegen Footprint und Orientierung prüfen Set-Inhalt gegenüber dem separat aus KiCad abgeleiteten PCB-Header prüfen.</t>
  </si>
  <si>
    <t>ENP-00002</t>
  </si>
  <si>
    <t>Qwiic/JST-SH, 4-poliges Pigtail JST</t>
  </si>
  <si>
    <t>JST-SH/Qwiic, 4-polig</t>
  </si>
  <si>
    <t>https://www.ebay.de/itm/173373182853?var=472082388514&amp;mkevt=1&amp;mkcid=1&amp;mkrid=707-53477-19255-0&amp;campid=5338900900&amp;toolid=20006&amp;_ul=DE&amp;customid=56357.a3ed6a6e290d515ebd3c2719dda804fc89ac0aba&amp;gclid=Cj0KCQjwkOvTBhDgARIsAKUNyRushMKf0tSoocu00ZtebiM-JK-GbXhf7yKDhPSZVdsZL-EEyywLbIcaAndsEALw_wcB&amp;gbraid=0AAAAAqbaHat7Q_3DRZ3ZEIWwp68U1IjOi&amp;adtype=pla&amp;loc_physical_ms=9041684</t>
  </si>
  <si>
    <t>I2CA0 1-3 I2C1 1-3</t>
  </si>
  <si>
    <t>Qwiic-Konvention: GND=schwarz, 3V3=rot, SDA=blau, SCL=gelb; Kabelbelegung vor Anschluss prüfen Pigtail ist ein Beschaffungsartikel und nicht der PCB-Steckverbinder.</t>
  </si>
  <si>
    <t>ENP-00003</t>
  </si>
  <si>
    <t>Steckverbinder</t>
  </si>
  <si>
    <t>PinSocket 1x4, 2.54 mm</t>
  </si>
  <si>
    <t>1x4, 2,54 mm</t>
  </si>
  <si>
    <t>PinSocket_1x04_P2.54mm_Vertical</t>
  </si>
  <si>
    <t>fischer Elektronik</t>
  </si>
  <si>
    <t>reichelt</t>
  </si>
  <si>
    <t>BKL 10120946</t>
  </si>
  <si>
    <t>https://www.reichelt.de/de/de/shop/produkt/buchsenleiste_2_54mm_1x4_gerade-266671</t>
  </si>
  <si>
    <t>EnvNode; RainDetector</t>
  </si>
  <si>
    <t>EnvNode I2C0_4,I2C1_4; RainDetector J3,J4</t>
  </si>
  <si>
    <t>Für interne Qwiic-Breakouts; Bauhöhe und Ausführung passend zur Mechanik wählen</t>
  </si>
  <si>
    <t>ENP-00004</t>
  </si>
  <si>
    <t>PinSocket 1x20, 2.54mm, cut to 19 Pins</t>
  </si>
  <si>
    <t>1x20, 2,54 mm, trennbar</t>
  </si>
  <si>
    <t>BL1.20 G</t>
  </si>
  <si>
    <t>FIS BL1 20 G</t>
  </si>
  <si>
    <t>https://www.reichelt.de/de/de/shop/produkt/buchsenleiste_2_54mm_1x20_trennbar_vergoldet-283787</t>
  </si>
  <si>
    <t>ESP32</t>
  </si>
  <si>
    <t>Für ESP32-DevKitC mit 38 Pins; alternativ eine geeignete 38-Pin-ESP32-Fassung verwenden</t>
  </si>
  <si>
    <t>ENP-00005</t>
  </si>
  <si>
    <t>Widerstand</t>
  </si>
  <si>
    <t>4.7 kOhm 1% SMD 1206</t>
  </si>
  <si>
    <t>4,7 kΩ, 1 %, 250 mW</t>
  </si>
  <si>
    <t>Resistor_SMD:R_1206_3216Metric_Pad1.30x1.75mm_HandSolder</t>
  </si>
  <si>
    <t>Vishay</t>
  </si>
  <si>
    <t>CRCW12064K70FKEA</t>
  </si>
  <si>
    <t>VIS CRCW12064K7</t>
  </si>
  <si>
    <t>https://www.reichelt.de/de/de/shop/produkt/smd-widerstand_1206_4_7_kohm_250_mw_1_-238119</t>
  </si>
  <si>
    <t>EnvNode; EnvNodeMini Rev 0.2; AnalogInput Rev 0.1; AnalogHydroPressure</t>
  </si>
  <si>
    <t>EnvNode R1-R4; EnvNodeMini Rev 0.2 R1-R4; AnalogInput Rev 0.1 R2; AnalogHydroPressure R2</t>
  </si>
  <si>
    <t>I2C-Pull-ups für die beiden I2C-Busse</t>
  </si>
  <si>
    <t>ENP-00006</t>
  </si>
  <si>
    <t>Kondensator</t>
  </si>
  <si>
    <t>100 nF Keramik SMD</t>
  </si>
  <si>
    <t>100 nF, 10 %, X7R, 100 V</t>
  </si>
  <si>
    <t>Capacitor_SMD:C_1206_3216Metric_Pad1.33x1.80mm_HandSolder</t>
  </si>
  <si>
    <t>Kyocera</t>
  </si>
  <si>
    <t>C1206F104K1RACTU</t>
  </si>
  <si>
    <t>KEM X7R1206A100N</t>
  </si>
  <si>
    <t>https://www.reichelt.de/de/de/shop/produkt/vielschicht_kerko_1206_100_nf_10_x7r_100_v_125_c-207151</t>
  </si>
  <si>
    <t>EnvNode; EnvNodeMini Rev 0.2; AnalogHydroPressure; RainDetector; SolarRadiation; Empty FullSize/HalfSize SMD/THT; DuoRelay Rev 0.2</t>
  </si>
  <si>
    <t>EnvNode C3,C4; EnvNodeMini Rev 0.2 C1,C4,C5; AnalogHydroPressure C1,C3,C8; RainDetector C1; SolarRadiation C1; Empty-Boards C1; DuoRelay Rev 0.2 C1</t>
  </si>
  <si>
    <t>Spannungsfestigkeit, Dielektrikum und Bauform vor Bestellung gegen Schaltplan und Footprint prüfen; C1 ist in allen vier aktuellen Empty-Schemata derzeit DNP; C1 ist im aktuellen DuoRelay-Schema derzeit DNP</t>
  </si>
  <si>
    <t>ENP-00007</t>
  </si>
  <si>
    <t>10 uF Keramik SMD</t>
  </si>
  <si>
    <t>10 µF, 25 V, X7R</t>
  </si>
  <si>
    <t>Kyocera AVX</t>
  </si>
  <si>
    <t>12063C106KAT2A</t>
  </si>
  <si>
    <t>https://www.reichelt.de/de/de/shop/produkt/mlcc_1206_10_f_25_v_-10_x7r-409262</t>
  </si>
  <si>
    <t>EnvNode; EnvNodeMini Rev 0.2</t>
  </si>
  <si>
    <t>EnvNode C1; EnvNodeMini Rev 0.2 C2</t>
  </si>
  <si>
    <t>Spannungsfestigkeit, Dielektrikum und Bauform vor Bestellung gegen Schaltplan und Footprint prüfen</t>
  </si>
  <si>
    <t>ENP-00008</t>
  </si>
  <si>
    <t>47 uF 10V Tantal</t>
  </si>
  <si>
    <t>47 µF, 10 V</t>
  </si>
  <si>
    <t>Capacitor_Tantalum_SMD:CP_EIA-3528-21_Kemet-B</t>
  </si>
  <si>
    <t>TAJB476K010RNJ</t>
  </si>
  <si>
    <t>TAJ 3528 47/10</t>
  </si>
  <si>
    <t>https://www.reichelt.de/de/de/shop/produkt/smd-tantal_kondensator_47_f_10_v-167014</t>
  </si>
  <si>
    <t>EnvNode C2; EnvNodeMini Rev 0.2 C3</t>
  </si>
  <si>
    <t>Polarisiert; Bauform B</t>
  </si>
  <si>
    <t>ENP-00009</t>
  </si>
  <si>
    <t>Spannungsregler</t>
  </si>
  <si>
    <t>LDO 3.3V SOT-223</t>
  </si>
  <si>
    <t>3,3 V, 1 A</t>
  </si>
  <si>
    <t>Package_TO_SOT_SMD:SOT-223-3_TabPin2</t>
  </si>
  <si>
    <t>Texas Instruments</t>
  </si>
  <si>
    <t>LM3940IMP-3.3/NOPB</t>
  </si>
  <si>
    <t>LM 3940 IMP-3</t>
  </si>
  <si>
    <t>https://www.reichelt.de/de/de/shop/produkt/ldo-spannungsregler_fix_3_3_vout_1_a_sot-223-109407?search=LM3940%2520&amp;</t>
  </si>
  <si>
    <t>EnvNode U1; EnvNodeMini Rev 0.2 U3</t>
  </si>
  <si>
    <t>Footprint und thermische Auslegung vor Bestückung prüfen</t>
  </si>
  <si>
    <t>ENP-00010</t>
  </si>
  <si>
    <t>Entwicklungsmodul</t>
  </si>
  <si>
    <t>ESP32-DevKitC</t>
  </si>
  <si>
    <t>38 Pin</t>
  </si>
  <si>
    <t>PCM_Espressif:ESP32-DevKitC</t>
  </si>
  <si>
    <t>Espressif Systems</t>
  </si>
  <si>
    <t>EnvNode U2; EnvNodeMini Rev 0.2 U1</t>
  </si>
  <si>
    <t>Exakte Modulvariante und Pinout vor Bestückung prüfen Hersteller/MPN aus verschobenen Altdaten korrigiert; genaue DevKitC-Variante fehlt.</t>
  </si>
  <si>
    <t>ENP-00011</t>
  </si>
  <si>
    <t>PCB</t>
  </si>
  <si>
    <t>EnvNode Mainboard Rev 0.1</t>
  </si>
  <si>
    <t>Revision 0.1</t>
  </si>
  <si>
    <t>JLCPCB</t>
  </si>
  <si>
    <t>https://jlcpcb.com/file/download?uuid=eef69d2d694441c8ab71168d8447cb4c&amp;businessType=example</t>
  </si>
  <si>
    <t>Unbestückte Leiterplatte; SMD-Lötjumper sind PCB-Strukturen und keine Kaufteile Historische PCB-Revision; aktueller KiCad-Stand ist Revision 0.2.</t>
  </si>
  <si>
    <t>ENP-00012</t>
  </si>
  <si>
    <t>JST - Stiftleiste, gerade, 1x2-polig - PH</t>
  </si>
  <si>
    <t>JST-PH, 2-polig, 2,00 mm</t>
  </si>
  <si>
    <t>Connector_JST:JST_PH_B2B-PH-K_1x02_P2.00mm_Vertical</t>
  </si>
  <si>
    <t>B2B-PH-K-S</t>
  </si>
  <si>
    <t>JST PH2P ST</t>
  </si>
  <si>
    <t>https://www.reichelt.de/de/de/shop/produkt/jst_-_stiftleiste_gerade_1x2-polig_-_ph-185049</t>
  </si>
  <si>
    <t>EnvNode J1; EnvNodeMini Rev 0.2 J1</t>
  </si>
  <si>
    <t>ENP-00013</t>
  </si>
  <si>
    <t>MOSFET</t>
  </si>
  <si>
    <t>MOSFET, N-Ch 30V 5,7A 0,018R, SOT-23</t>
  </si>
  <si>
    <t>N-Kanal, 30 V, 5,7 A</t>
  </si>
  <si>
    <t>Package_TO_SOT_SMD:SOT-23</t>
  </si>
  <si>
    <t>Alpha&amp;Omega Semiconductor</t>
  </si>
  <si>
    <t>AO3400A</t>
  </si>
  <si>
    <t>https://www.reichelt.de/de/de/shop/produkt/mosfet_n-ch_30v_5_7a_0_018r_sot-23-166490</t>
  </si>
  <si>
    <t>RainDetector</t>
  </si>
  <si>
    <t>Q1</t>
  </si>
  <si>
    <t>ENP-00014</t>
  </si>
  <si>
    <t>Sensormodul</t>
  </si>
  <si>
    <t>Arduino - Temperatur- &amp; Feuchtigkeitssensor, SHTC3</t>
  </si>
  <si>
    <t>SHTC3 Breakout</t>
  </si>
  <si>
    <t>Soldered</t>
  </si>
  <si>
    <t>DEBO SENS SHTC3</t>
  </si>
  <si>
    <t>https://www.reichelt.de/de/de/shop/produkt/arduino_-_temperatur-_feuchtigkeitssensor_shtc3-375947</t>
  </si>
  <si>
    <t>Sensor</t>
  </si>
  <si>
    <t>ENP-00015</t>
  </si>
  <si>
    <t>Entwicklerboards - ADC, 4 Kanal, 16-Bit, ADS1115</t>
  </si>
  <si>
    <t>ADS1115 Breakout, 4 Kanal, 16 Bit</t>
  </si>
  <si>
    <t>DEBO ADC 16BIT</t>
  </si>
  <si>
    <t>https://www.reichelt.de/de/de/shop/produkt/entwicklerboards_-_adc_4_kanal_16-bit_ads1115-372499?search=ADS1115&amp;#open-modal-image-big-slider</t>
  </si>
  <si>
    <t>A/D Wandler</t>
  </si>
  <si>
    <t>ENP-00016</t>
  </si>
  <si>
    <t>SMD-Widerstand, 1206, 100 kOhm, 250 mW, 0,1%</t>
  </si>
  <si>
    <t>100 kΩ, 0,1 %, 250 mW</t>
  </si>
  <si>
    <t>Panasonic</t>
  </si>
  <si>
    <t>ERA8AEB104V</t>
  </si>
  <si>
    <t>PAN ERA8AEB104V</t>
  </si>
  <si>
    <t>https://www.reichelt.de/de/de/shop/produkt/smd-widerstand_1206_100_kohm_250_mw_0_1_-238081</t>
  </si>
  <si>
    <t>RainDetector; DuoRelay; AnalogHydroPressure</t>
  </si>
  <si>
    <t>RainDetector R2,R4; DuoRelay R3,R4; AnalogHydroPressure R7</t>
  </si>
  <si>
    <t>Lieferanten-Bestellnummer in der Altdatei enthält vermischte Angaben.</t>
  </si>
  <si>
    <t>ENP-00017</t>
  </si>
  <si>
    <t>SMD-Widerstand, 1206, 100 Ohm, 250 mW, 5%</t>
  </si>
  <si>
    <t>100 Ω, 5 %, 250 mW</t>
  </si>
  <si>
    <t>YAGEO</t>
  </si>
  <si>
    <t>RC1206JR-07100RL</t>
  </si>
  <si>
    <t>SMD 1/4W 100</t>
  </si>
  <si>
    <t>https://www.reichelt.de/de/de/shop/produkt/smd-widerstand_1206_100_ohm_250_mw_5_-18242</t>
  </si>
  <si>
    <t>RainDetector; SolarRadiation</t>
  </si>
  <si>
    <t>RainDetector R1; SolarRadiation R2</t>
  </si>
  <si>
    <t>ENP-00018</t>
  </si>
  <si>
    <t>SMD-Widerstand, 1206, 10 kOhm, 250 mW, 0,1%</t>
  </si>
  <si>
    <t>10 kΩ, 0,1 %, 250 mW</t>
  </si>
  <si>
    <t>ERA8AEB103V</t>
  </si>
  <si>
    <t>PAN ERA8AEB103V</t>
  </si>
  <si>
    <t>https://www.reichelt.de/de/de/shop/produkt/smd-widerstand_1206_10_kohm_250_mw_0_1_-238080</t>
  </si>
  <si>
    <t>R3</t>
  </si>
  <si>
    <t>Offensichtlich zusammengesetzte MPN aus Altdaten normalisiert.</t>
  </si>
  <si>
    <t>ENP-00019</t>
  </si>
  <si>
    <t>Stiftleiste, 8-polig, Raster 2,54mm</t>
  </si>
  <si>
    <t>1x8, 2,54 mm</t>
  </si>
  <si>
    <t>Connector_PinHeader_2.54mm:PinHeader_1x08_P2.54mm_Vertical</t>
  </si>
  <si>
    <t>BKL Electronic</t>
  </si>
  <si>
    <t>BKL 10120505</t>
  </si>
  <si>
    <t>https://www.reichelt.de/de/de/shop/produkt/stiftleiste_8-polig_raster_2_54mm-235656</t>
  </si>
  <si>
    <t>J1,J2</t>
  </si>
  <si>
    <t>ENP-00020</t>
  </si>
  <si>
    <t>IC</t>
  </si>
  <si>
    <t>Timer-IC, Typ 555, SO-8</t>
  </si>
  <si>
    <t>CMOS 555</t>
  </si>
  <si>
    <t>Package_SO:SOIC-8_3.9x4.9mm_P1.27mm</t>
  </si>
  <si>
    <t>Renesas</t>
  </si>
  <si>
    <t>ICM7555IBAZ</t>
  </si>
  <si>
    <t>ICM 7555 IBAZ</t>
  </si>
  <si>
    <t>https://www.reichelt.de/de/de/shop/produkt/timer-ic_typ_555_so-8-188889</t>
  </si>
  <si>
    <t>U1</t>
  </si>
  <si>
    <t>ENP-00021</t>
  </si>
  <si>
    <t>PinSocket 1x8, 2,54mm SMD</t>
  </si>
  <si>
    <t>1x8, 2,54 mm, SMD</t>
  </si>
  <si>
    <t>BL 3 8 G</t>
  </si>
  <si>
    <t>FIS BL 3 8G</t>
  </si>
  <si>
    <t>https://www.reichelt.de/de/de/shop/produkt/buchsenleiste_1-reihig_1_x_8_-_2_54_mm-407106#open-modal-image-big-slider</t>
  </si>
  <si>
    <t>Detector</t>
  </si>
  <si>
    <t>ENP-00022</t>
  </si>
  <si>
    <t>SMD-Widerstand, 1206, 47 Ohm, 250 mW, 5%</t>
  </si>
  <si>
    <t>47 Ω</t>
  </si>
  <si>
    <t>RND components</t>
  </si>
  <si>
    <t>RND 1551206S4J0470T5E</t>
  </si>
  <si>
    <t>RND 1551206 AF</t>
  </si>
  <si>
    <t>https://www.reichelt.de/de/de/shop/produkt/smd-widerstand_1206_47_ohm_250_mw_5_-250359</t>
  </si>
  <si>
    <t>ENP-00023</t>
  </si>
  <si>
    <t>Relais</t>
  </si>
  <si>
    <t>Steck-Printrelais, 1 CO, 6 A, 5 V DC sensitiv</t>
  </si>
  <si>
    <t>5 V, 1 Wechsler, 6 A</t>
  </si>
  <si>
    <t>Relay_THT:Relay_SPDT_Finder_34.51_Vertical</t>
  </si>
  <si>
    <t>finder</t>
  </si>
  <si>
    <t>34.51.7.005.0010</t>
  </si>
  <si>
    <t>FIN 34.51.7 5V</t>
  </si>
  <si>
    <t>https://www.reichelt.de/de/de/shop/produkt/steck-printrelais_1_co_6_a_5_v_dc_sensitiv-259179?PROVID=2788&amp;gad_source=1&amp;gad_campaignid=21154720511&amp;gbraid=0AAAAADwnxtb50MtqKwtKae8MAeGQARqWX&amp;gclid=CjwKCAjw7p_UBhBlEiwAhpIs72D6cK8XQyuxcrvb0uftoYY3618BT3lTyYSWWSou1J99G9udBcpsbhoCJbcQAvD_BwE</t>
  </si>
  <si>
    <t>DuoRelay</t>
  </si>
  <si>
    <t>K1,K2</t>
  </si>
  <si>
    <t>ENP-00024</t>
  </si>
  <si>
    <t>I²C-EEPROM 2 Kbit mit vorprogrammierter EUI-64 und zwei Adresspins</t>
  </si>
  <si>
    <t>2 Kbit, I²C, EUI-64, A0/A1, 1,7–5,5 V</t>
  </si>
  <si>
    <t>Package_TO_SOT_SMD:SOT-23-6</t>
  </si>
  <si>
    <t>Microchip Technology</t>
  </si>
  <si>
    <t>24AA025E64T-I/OT</t>
  </si>
  <si>
    <t>EnvNode; EnvNodeMini Rev 0.2; Empty FullSize/HalfSize SMD/THT; DuoRelay; AnalogHydroPressure</t>
  </si>
  <si>
    <t>EnvNode U3; EnvNodeMini Rev 0.2 U2; Empty-Boards U1; DuoRelay U1; AnalogHydroPressure U1</t>
  </si>
  <si>
    <t>KiCad; Microchip datasheet DS20002124G</t>
  </si>
  <si>
    <t>Gemeinsamer Identifikations-EEPROM für alle Boards. Frühere Lieferantendaten gehörten zur falschen SPI-Version 25AA02E64T-I/OT und wurden entfernt; Bezugsquelle, Bestellnummer und Preis neu ergänzen. Auf Modulboards derzeit DNP.; In allen vier aktuellen Empty-Schemata derzeit DNP; A1 liegt an +3V3_SYS, A0 wird über J1 herausgeführt; U1 ist in den aktuellen DuoRelay- und AnalogHydroPressure-Schemata derzeit DNP</t>
  </si>
  <si>
    <t>ENP-00025</t>
  </si>
  <si>
    <t>JST-PH Stiftleiste, 4-polig, vertikal</t>
  </si>
  <si>
    <t>4-polig, 2,00 mm</t>
  </si>
  <si>
    <t>Connector_JST:JST_PH_B4B-PH-K_1x04_P2.00mm_Vertical</t>
  </si>
  <si>
    <t>B4B-PH-K-S</t>
  </si>
  <si>
    <t>JST PH4P ST</t>
  </si>
  <si>
    <t>https://www.reichelt.de/de/de/shop/produkt/jst_-_stiftleiste_gerade_1x4-polig_-_ph-185051?PROVID=2788&amp;gad_source=1&amp;gad_campaignid=21154720511&amp;gbraid=0AAAAADwnxtY1nWJSSrFeiIcYv9xLkqyFk&amp;gclid=Cj0KCQjwnbrUBhDOARIsAKKhPpe2Az4gP1hQm4ZAaF5_8h_A8xPRV2yb28WCjCf626YJKTgCMxHQlnYaAjcNEALw_wcB</t>
  </si>
  <si>
    <t>GPIO4, GPIO13-19, GPIO23, GPIO32-36, GPIO39</t>
  </si>
  <si>
    <t>KiCad</t>
  </si>
  <si>
    <t>Mögliche Überschneidung mit dem vorhandenen JST-PH-Set prüfen.</t>
  </si>
  <si>
    <t>ENP-00026</t>
  </si>
  <si>
    <t>JST-SH Stiftleiste, 4-polig, horizontal</t>
  </si>
  <si>
    <t>4-polig, 1,00 mm</t>
  </si>
  <si>
    <t>Connector_JST:JST_SH_SM04B-SRSS-TB_1x04-1MP_P1.00mm_Horizontal</t>
  </si>
  <si>
    <t>SM04B-SRSS-TB</t>
  </si>
  <si>
    <t>rs-online</t>
  </si>
  <si>
    <t>515-1513</t>
  </si>
  <si>
    <t>https://de.rs-online.com/web/p/leiterplatten-header/5151513?cm_mmc=DE-PLA-DS3A-_-google-_-CSS_DE_DE_PMAX_Catch+All-_--_-5151513&amp;matchtype=&amp;&amp;gclsrc=aw.ds&amp;gad_source=1&amp;gad_campaignid=20579356490&amp;gbraid=0AAAAADkeWNMTclazDyI9zcjcIGwAjXoW9&amp;gclid=Cj0KCQjwnbrUBhDOARIsAKKhPpdLcMySAoEWll9Yd6dc_BCjxUsLFQOO7peTYM0DUy9ctvB7N_5s3bUaAoLZEALw_wcB</t>
  </si>
  <si>
    <t>EnvNode; EnvNodeMini Rev 0.2; SolarRadiation</t>
  </si>
  <si>
    <t>EnvNode I2C0_1-3,I2C1_1-3; EnvNodeMini Rev 0.2 J4,J5; SolarRadiation I2C1</t>
  </si>
  <si>
    <t>MPN-Suffix und Verpackungsform festlegen; nicht mit Qwiic-Pigtail zusammenführen.</t>
  </si>
  <si>
    <t>ENP-00027</t>
  </si>
  <si>
    <t>16-Bit ADC mit I²C</t>
  </si>
  <si>
    <t>ADS1115IDGS</t>
  </si>
  <si>
    <t>Package_SO:TSSOP-10_3x3mm_P0.5mm</t>
  </si>
  <si>
    <t>AnalogInput; SolarRadiation; AnalogHydroPressure</t>
  </si>
  <si>
    <t>jeweils U1; AnalogHydroPressure U2</t>
  </si>
  <si>
    <t>Nicht mit dem vorhandenen ADS1115-Entwicklungsboard zusammenführen.</t>
  </si>
  <si>
    <t>ENP-00028</t>
  </si>
  <si>
    <t>Keramikkondensator 1 µF SMD</t>
  </si>
  <si>
    <t>1 µF</t>
  </si>
  <si>
    <t>12065C105JAT2A</t>
  </si>
  <si>
    <t>https://www.reichelt.de/de/de/shop/produkt/mlcc_1206_1_f_50_v_-5_x7r-409277</t>
  </si>
  <si>
    <t>AnalogInput; AnalogHydroPressure</t>
  </si>
  <si>
    <t>C1; AnalogHydroPressure C4,C7</t>
  </si>
  <si>
    <t>ENP-00029</t>
  </si>
  <si>
    <t>Diode</t>
  </si>
  <si>
    <t>Dual-Schottky-Diode BAT54S</t>
  </si>
  <si>
    <t>BAT54S</t>
  </si>
  <si>
    <t>Diotec</t>
  </si>
  <si>
    <t>BAT 54S DIO</t>
  </si>
  <si>
    <t>https://www.reichelt.de/de/de/shop/produkt/schottkydiode_30_v_0_2_a_sot-23-219176</t>
  </si>
  <si>
    <t>D1; AnalogHydroPressure D1</t>
  </si>
  <si>
    <t>Aktuelles AnalogHydroPressure verwendet SOT-23 und stimmt damit mit dem Artikel-Footprint überein; Gehäuse der bestellten Variante dennoch prüfen.</t>
  </si>
  <si>
    <t>ENP-00030</t>
  </si>
  <si>
    <t>Buchsenleiste 2x4, vertikal</t>
  </si>
  <si>
    <t>2x4, 2,54 mm</t>
  </si>
  <si>
    <t>PinSocket_2x04_P2.54mm_Vertical / EnvNode Bottom-Variante</t>
  </si>
  <si>
    <t>Legacy Rev 0.1: EnvNodeMini; AnalogInput; DuoRelay</t>
  </si>
  <si>
    <t>AnalogInput J1,J2; DuoRelay J1,J2; EnvNodeMini J1,J2,J4,J5</t>
  </si>
  <si>
    <t>Legacy</t>
  </si>
  <si>
    <t>Legacy-Artikel für die Modulsteckverbindung Rev 0.1; nicht für die aktuellen 2x7-Steckplätze verwenden.</t>
  </si>
  <si>
    <t>ENP-00031</t>
  </si>
  <si>
    <t>Buchsenleiste 1x2, vertikal</t>
  </si>
  <si>
    <t>1x2, 2,54 mm</t>
  </si>
  <si>
    <t>Connector_PinSocket_2.54mm:PinSocket_1x02_P2.54mm_Vertical</t>
  </si>
  <si>
    <t>J3; AnalogHydroPressure J3</t>
  </si>
  <si>
    <t>ENP-00032</t>
  </si>
  <si>
    <t>Widerstand, Metallschicht, 150 Ohm, 0207, 250 mW, 0,1%</t>
  </si>
  <si>
    <t>150 Ω, 0,1 %, ≤25 ppm/K, &gt;0,125 W</t>
  </si>
  <si>
    <t>Resistor_THT:R_Axial_DIN0207_L6.3mm_D2.5mm_P7.62mm_Horizontal</t>
  </si>
  <si>
    <t>Arcol</t>
  </si>
  <si>
    <t>MRA0207 150R B 15PPM TA</t>
  </si>
  <si>
    <t>ARC MRA0207 150R</t>
  </si>
  <si>
    <t>https://www.reichelt.de/de/de/shop/produkt/widerstand_metallschicht_150_ohm_0207_250_mw_0_1_-237515</t>
  </si>
  <si>
    <t>R1; AnalogHydroPressure R3</t>
  </si>
  <si>
    <t>ENP-00033</t>
  </si>
  <si>
    <t>Schnelle Schaltdiode 1N4148W</t>
  </si>
  <si>
    <t>1N4148W</t>
  </si>
  <si>
    <t>Diode_SMD:D_SOD-123</t>
  </si>
  <si>
    <t>1N 4148W DIO</t>
  </si>
  <si>
    <t>https://www.reichelt.de/de/de/shop/produkt/kleinsignal-schalt-diode_100_v_150_ma_sod-123-219382</t>
  </si>
  <si>
    <t>D1,D2</t>
  </si>
  <si>
    <t>ENP-00034</t>
  </si>
  <si>
    <t>Schraubklemme 1x3, horizontal</t>
  </si>
  <si>
    <t>3-polig, 5,08 mm</t>
  </si>
  <si>
    <t>TerminalBlock_Phoenix:TerminalBlock_Phoenix_MKDS-3-3-5.08_1x03_P5.08mm_Horizontal</t>
  </si>
  <si>
    <t>Phoenix Contact</t>
  </si>
  <si>
    <t>J3,J4</t>
  </si>
  <si>
    <t>Exakte Hersteller-MPN ergänzen.</t>
  </si>
  <si>
    <t>ENP-00035</t>
  </si>
  <si>
    <t>Transistor</t>
  </si>
  <si>
    <t>NPN-Transistor BC817</t>
  </si>
  <si>
    <t>BC817</t>
  </si>
  <si>
    <t>Package_TO_SOT_SMD:SOT-23_Handsoldering</t>
  </si>
  <si>
    <t>BC 817-25 DIO</t>
  </si>
  <si>
    <t>https://www.reichelt.de/de/de/shop/produkt/bipolartransistor_npn_45v_0_5a_0_25w_sot-23-219186</t>
  </si>
  <si>
    <t>Q1,Q2</t>
  </si>
  <si>
    <t>ENP-00036</t>
  </si>
  <si>
    <t>Widerstand 1 kΩ SMD</t>
  </si>
  <si>
    <t>1 kΩ</t>
  </si>
  <si>
    <t>CRCW12061K00FKEA</t>
  </si>
  <si>
    <t>VIS CRCW12061K0</t>
  </si>
  <si>
    <t>https://www.reichelt.de/de/de/shop/produkt/smd-widerstand_1206_1_0_kohm_250_mw_1_-238107?PROVID=2788&amp;gad_source=1&amp;gad_campaignid=1622074784&amp;gbraid=0AAAAADwnxtbRDWe6ThqPkANhw_ak4jWBw&amp;gclid=Cj0KCQjwnbrUBhDOARIsAKKhPpdctdiA6tqULvTn2sTUS6FqmJC1_J6HoVQmYOjjMGhSPlfi9dK4bSQaAmesEALw_wcB</t>
  </si>
  <si>
    <t>R1,R2</t>
  </si>
  <si>
    <t>ENP-00037</t>
  </si>
  <si>
    <t>Elektrolytkondensator 47 µF radial</t>
  </si>
  <si>
    <t>47 µF, 50 V</t>
  </si>
  <si>
    <t>Capacitor_SMD:CP_Elec_6.3x7.7</t>
  </si>
  <si>
    <t>Europe ChemiCon</t>
  </si>
  <si>
    <t>HHXC500ARA470MHA0G</t>
  </si>
  <si>
    <t>ECC HXC500ARA470</t>
  </si>
  <si>
    <t>https://www.reichelt.de/de/de/shop/produkt/elko_smd_47_f_50v_105_c_4000h_aec-q200-289252</t>
  </si>
  <si>
    <t>EnvNodeMini Rev 0.1</t>
  </si>
  <si>
    <t>EnvNodeMini Rev 0.1 C1</t>
  </si>
  <si>
    <t>ENP-00038</t>
  </si>
  <si>
    <t>Schottky-Diode STPS3L60S</t>
  </si>
  <si>
    <t>B360B-13-F</t>
  </si>
  <si>
    <t>Diode_SMD:D_SMB_Handsoldering</t>
  </si>
  <si>
    <t>Diodes</t>
  </si>
  <si>
    <t>STPS3L60S</t>
  </si>
  <si>
    <t>B360B-13-F DII</t>
  </si>
  <si>
    <t>https://www.reichelt.de/de/de/shop/produkt/gleichrichterdiode_60_v_3_a_smb-216725</t>
  </si>
  <si>
    <t>EnvNodeMini Rev 0.1 D1</t>
  </si>
  <si>
    <t>ENP-00039</t>
  </si>
  <si>
    <t>Schutzdiode</t>
  </si>
  <si>
    <t>TVS-Diode SMBJ24A</t>
  </si>
  <si>
    <t>24 V</t>
  </si>
  <si>
    <t>Littelfuse</t>
  </si>
  <si>
    <t>SMBJ24A</t>
  </si>
  <si>
    <t>P6SMB 24A SMD</t>
  </si>
  <si>
    <t>https://www.reichelt.de/de/de/shop/produkt/tvs-diode_unidirectional_24_v_600_w_do-214aa_smb-204320</t>
  </si>
  <si>
    <t>EnvNodeMini Rev 0.1 D2</t>
  </si>
  <si>
    <t>ENP-00040</t>
  </si>
  <si>
    <t>Sicherung</t>
  </si>
  <si>
    <t>Sicherung 2 A</t>
  </si>
  <si>
    <t>2 A</t>
  </si>
  <si>
    <t>Fuse:Fuse_Littelfuse-NANO2-451_453</t>
  </si>
  <si>
    <t>EnvNodeMini Rev 0.1 F1</t>
  </si>
  <si>
    <t>Exakte Serie/MPN und Auslösecharakteristik ergänzen.</t>
  </si>
  <si>
    <t>ENP-00041</t>
  </si>
  <si>
    <t>Schraubklemme 1x2, horizontal</t>
  </si>
  <si>
    <t>2-polig, 5,00 mm</t>
  </si>
  <si>
    <t>TerminalBlock_RND:TerminalBlock_RND_205-00001_1x02_P5.00mm_Horizontal</t>
  </si>
  <si>
    <t>RND</t>
  </si>
  <si>
    <t>205-00001</t>
  </si>
  <si>
    <t>EnvNodeMini Rev 0.1 J3</t>
  </si>
  <si>
    <t>ENP-00042</t>
  </si>
  <si>
    <t>DC/DC-Wandler</t>
  </si>
  <si>
    <t>Schaltreglermodul 5 V</t>
  </si>
  <si>
    <t>TSR 1-2450</t>
  </si>
  <si>
    <t>Converter_DCDC:Converter_DCDC_TRACO_TSR-1_THT</t>
  </si>
  <si>
    <t>Traco Power</t>
  </si>
  <si>
    <t>https://www.reichelt.de/de/de/shop/produkt/dc_dc-wandler_tsr-1_1_w_5_v_1000_ma_sil_to-220-116850</t>
  </si>
  <si>
    <t>EnvNodeMini Rev 0.1 U3</t>
  </si>
  <si>
    <t>ENP-00043</t>
  </si>
  <si>
    <t>Schaltreglermodul 3,3 V</t>
  </si>
  <si>
    <t>TSR 1-2433</t>
  </si>
  <si>
    <t>https://www.reichelt.de/de/de/shop/produkt/dc_dc-wandler_tsr-1_1_w_3_3_v_1000_ma_sil_to-220-116849?search=TSR-1-2433&amp;</t>
  </si>
  <si>
    <t>EnvNodeMini Rev 0.1 U4</t>
  </si>
  <si>
    <t>KiCad-Library-ID basiert auf TSR_1-2450; Wert und tatsächliches Teil prüfen.</t>
  </si>
  <si>
    <t>ENP-00044</t>
  </si>
  <si>
    <t>Keramikkondensator 10 nF SMD</t>
  </si>
  <si>
    <t>10 nF</t>
  </si>
  <si>
    <t>12061C103JAT2A</t>
  </si>
  <si>
    <t>https://www.reichelt.de/de/de/shop/produkt/mlcc_1206_10_nf_100_v_-5_x7r-409237</t>
  </si>
  <si>
    <t>SolarRadiation</t>
  </si>
  <si>
    <t>C2</t>
  </si>
  <si>
    <t>ENP-00045</t>
  </si>
  <si>
    <t>Widerstand, Metallschicht, 2 Ohm, 0207, 600 mW, 0,1%</t>
  </si>
  <si>
    <t>2 Ω</t>
  </si>
  <si>
    <t>Yageo</t>
  </si>
  <si>
    <t>MF0207FTE52-2R</t>
  </si>
  <si>
    <t>METALL 2,00</t>
  </si>
  <si>
    <t>https://www.reichelt.de/de/de/shop/produkt/widerstand_metallschicht_2_0_ohm_0207_0_6_w_1_-11577</t>
  </si>
  <si>
    <t>R1</t>
  </si>
  <si>
    <t>ENP-00046</t>
  </si>
  <si>
    <t>Solarzelle</t>
  </si>
  <si>
    <t>Solarzelle KXOB25-14X1F-TB</t>
  </si>
  <si>
    <t>KXOB25-14X1F-TB</t>
  </si>
  <si>
    <t>EnvNode-Footprints:KXOB25-14X1F</t>
  </si>
  <si>
    <t>SC1</t>
  </si>
  <si>
    <t>Prüfen</t>
  </si>
  <si>
    <t>ENP-00047</t>
  </si>
  <si>
    <t>Sensor-IC</t>
  </si>
  <si>
    <t>Temperatursensor TMP100</t>
  </si>
  <si>
    <t>TMP100</t>
  </si>
  <si>
    <t>U2</t>
  </si>
  <si>
    <t>Vollständige bestellbare MPN einschließlich Genauigkeits-/Gehäusevariante ergänzen.</t>
  </si>
  <si>
    <t>ENP-00048</t>
  </si>
  <si>
    <t>EnvNode Mainboard PCB</t>
  </si>
  <si>
    <t>Revision 0.2</t>
  </si>
  <si>
    <t>PCB: EnvNode.kicad_pcb</t>
  </si>
  <si>
    <t>Aktueller KiCad-Stand; Fertiger und konkrete Fertigungsvariante festlegen.</t>
  </si>
  <si>
    <t>ENP-00049</t>
  </si>
  <si>
    <t>EnvNode Mini PCB</t>
  </si>
  <si>
    <t>PCB: EnvNodeMini.kicad_pcb</t>
  </si>
  <si>
    <t>Legacy-Leiterplatte Revision 0.1; für Revision 0.2 existiert ein eigener Artikel.</t>
  </si>
  <si>
    <t>ENP-00050</t>
  </si>
  <si>
    <t>AnalogInput HalfSize PCB</t>
  </si>
  <si>
    <t>PCB: AnalogInput.kicad_pcb</t>
  </si>
  <si>
    <t>AnalogInput</t>
  </si>
  <si>
    <t>Fertiger und konkrete Fertigungsvariante festlegen.</t>
  </si>
  <si>
    <t>ENP-00051</t>
  </si>
  <si>
    <t>DuoRelay FullSize PCB Rev 0.1</t>
  </si>
  <si>
    <t>PCB: DuoRelay.kicad_pcb</t>
  </si>
  <si>
    <t>DuoRelay Rev 0.1</t>
  </si>
  <si>
    <t>Legacy-Leiterplatte Revision 0.1; der aktuelle KiCad-Stand ist Revision 0.2 und besitzt einen eigenen Artikel.</t>
  </si>
  <si>
    <t>ENP-00052</t>
  </si>
  <si>
    <t>SolarRadiation PCB</t>
  </si>
  <si>
    <t>PCB: SolarRadiation.kicad_pcb</t>
  </si>
  <si>
    <t>ENP-00053</t>
  </si>
  <si>
    <t>RainDetector PCB</t>
  </si>
  <si>
    <t>Revision 1.0</t>
  </si>
  <si>
    <t>PCB: Raindetector.kicad_pcb</t>
  </si>
  <si>
    <t>ENP-00054</t>
  </si>
  <si>
    <t>Buchsenleiste 2x7, 2,54 mm, vertikal</t>
  </si>
  <si>
    <t>2x7, 2,54 mm, THT, vertikal, vergoldet, Bauhöhe 8,4 mm</t>
  </si>
  <si>
    <t>Connector_PinSocket_2.54mm:PinSocket_2x07_P2.54mm_Vertical</t>
  </si>
  <si>
    <t>Würth Elektronik</t>
  </si>
  <si>
    <t>61301421821</t>
  </si>
  <si>
    <t>DigiKey</t>
  </si>
  <si>
    <t>732-61301421821-ND</t>
  </si>
  <si>
    <t>https://www.digikey.de/de/products/detail/w%C3%BCrth-elektronik/61301421821/16608590</t>
  </si>
  <si>
    <t>EnvNodeMini Rev 0.2</t>
  </si>
  <si>
    <t>J2,J3</t>
  </si>
  <si>
    <t>KiCad; Würth Produktkatalog; DigiKey, abgerufen 2026-09-01</t>
  </si>
  <si>
    <t>Würth WR-PHD Dual Socket Header, 14 Kontakte, 2,54 mm, THT, vergoldet, 3 A/250 V AC. Der generische KiCad-Footprint bildet Raster und THT-Anordnung ab; Gehäusekontur/Courtyard sind nicht herstellerspezifisch.</t>
  </si>
  <si>
    <t>BUCHSENLEISTE 2X7 2,54 MM VERTIKAL|CONNECTOR_PINSOCKET_2.54MM:PINSOCKET_2X07_P2.54MM_VERTICAL</t>
  </si>
  <si>
    <t>ENP-00055</t>
  </si>
  <si>
    <t>Schottky-Diode SS14, SMA</t>
  </si>
  <si>
    <t>SS14, 1 A, 40 V, UF max. 0,5 V, IFSM 40 A</t>
  </si>
  <si>
    <t>Diode_SMD:D_SMA</t>
  </si>
  <si>
    <t>SS14-E3/61T</t>
  </si>
  <si>
    <t>SS 14 VIS</t>
  </si>
  <si>
    <t>https://www.reichelt.de/de/de/shop/produkt/schottkydiode_40_v_1_a_do-214ac-219612</t>
  </si>
  <si>
    <t>KiCad; Vishay; Reichelt, abgerufen 2026-09-01</t>
  </si>
  <si>
    <t>Vishay Schottky-Gleichrichter im DO-214AC-/SMA-Gehäuse, 40 V Sperrspannung, 1 A Dauerstrom, 40 A Stoßstrom und Temperaturbereich −65 bis +150 °C. D1 entkoppelt +3V3_EXT, D2 entkoppelt +3V3_DEVKIT; beide speisen mit der Kathode +3V3_SYS. Zwei Stück je EnvNode Mini Rev 0.2.</t>
  </si>
  <si>
    <t>ENP-00056</t>
  </si>
  <si>
    <t>Elektrolytkondensator 10 µF SMD</t>
  </si>
  <si>
    <t>10 µF, ±20 %, 25 V, 85 °C, 2000 h</t>
  </si>
  <si>
    <t>Capacitor_SMD:CP_Elec_5x5.4</t>
  </si>
  <si>
    <t>EEE1EA100SR</t>
  </si>
  <si>
    <t>S-V 10U 25</t>
  </si>
  <si>
    <t>https://www.reichelt.de/de/de/shop/produkt/smd-elko_10_f_-20_25_v_85_5_x_5_4_mm-228459</t>
  </si>
  <si>
    <t>C6</t>
  </si>
  <si>
    <t>KiCad; Panasonic; Reichelt, abgerufen 2026-09-01</t>
  </si>
  <si>
    <t>Panasonic SMD-Aluminium-Elektrolytkondensator, 10 µF ±20 %, 25 V, 85 °C, 2000 h. Abmessungen Ø 5,0 × 5,4 mm passen exakt zum zugewiesenen KiCad-Footprint. C6 liegt zwischen +3V3_SYS und GND; 25 V bieten deutliche Spannungsreserve. Polarität beachten.</t>
  </si>
  <si>
    <t>ENP-00057</t>
  </si>
  <si>
    <t>EnvNode Mini PCB Rev 0.2</t>
  </si>
  <si>
    <t>PCB: MainBoards/EnvNode Mini/EnvNode Mini.kicad_pcb</t>
  </si>
  <si>
    <t>ENVNODE MINI PCB REV 0.2|PCB: MAINBOARDS/ENVNODE MINI/ENVNODE MINI.KICAD_PCB</t>
  </si>
  <si>
    <t>ENP-00058</t>
  </si>
  <si>
    <t>Stiftleiste 2x7, 2,54 mm, SMD</t>
  </si>
  <si>
    <t>2x7, 2,54 mm, SMD, vertikal, vergoldet, 6,0 mm Stecklänge</t>
  </si>
  <si>
    <t>EnvNode-Footprints:J_Wurth_WR-PHD_61031421121</t>
  </si>
  <si>
    <t>61031421121</t>
  </si>
  <si>
    <t>732-61031421121CT-ND</t>
  </si>
  <si>
    <t>https://www.digikey.de/de/products/detail/w%C3%BCrth-elektronik/61031421121/4846903</t>
  </si>
  <si>
    <t>Empty FullSize/HalfSize SMD</t>
  </si>
  <si>
    <t>J1</t>
  </si>
  <si>
    <t>KiCad; Würth Datenblatt; DigiKey, abgerufen 2026-09-01</t>
  </si>
  <si>
    <t>Würth WR-PHD SMD-Stiftleiste, 14 Kontakte, 2,54 mm, vergoldet, 3 A/250 V. Exakter Artikel für den Projekt-Footprint J_Wurth_WR-PHD_61031421121. Einzelpreis Gurtabschnitt, Stand 2026-09-01; Preis und Verfügbarkeit vor Bestellung prüfen.</t>
  </si>
  <si>
    <t>ENP-00059</t>
  </si>
  <si>
    <t>Stiftleiste 2x7, 2,54 mm, vertikal, Bottom-Mount</t>
  </si>
  <si>
    <t>2x7, 2,54 mm, THT, vertikal, vergoldet, 6,1 mm Stecklänge, 3,0 mm Lötstift</t>
  </si>
  <si>
    <t>EnvNode-Footprints:PinHeader_2x07_P2.54mm_Vertical_Bottom</t>
  </si>
  <si>
    <t>ECON Connect</t>
  </si>
  <si>
    <t>SL14G2</t>
  </si>
  <si>
    <t>Reichelt</t>
  </si>
  <si>
    <t>ECON SL14G2</t>
  </si>
  <si>
    <t>https://www.reichelt.de/de/de/shop/produkt/stiftleiste_2_x_7_polig_gerade_rastermass_2_54_mm-404299</t>
  </si>
  <si>
    <t>Empty FullSize/HalfSize THT; DuoRelay Rev 0.2; AnalogHydroPressure</t>
  </si>
  <si>
    <t>J1; DuoRelay Rev 0.2 J1; AnalogHydroPressure J1</t>
  </si>
  <si>
    <t>KiCad; ECON Connect Datenblatt; Reichelt, abgerufen 2026-09-01</t>
  </si>
  <si>
    <t>Standard-THT-Stiftleiste mit 11,6 mm Gesamtlänge, vergoldeten Kontakten und 3 A Nennstrom. Die Bestückung von der Modulunterseite und die dafür passende Pinorientierung werden durch den Projekt-Footprint PinHeader_2x07_P2.54mm_Vertical_Bottom festgelegt. Einzelpreis inkl. MwSt., Stand 2026-09-01; Preis und Verfügbarkeit vor Bestellung prüfen.</t>
  </si>
  <si>
    <t>STIFTLEISTE 2X7 2,54 MM THT BOTTOM|ENVNODE-FOOTPRINTS:PINHEADER_2X07_P2.54MM_VERTICAL_BOTTOM</t>
  </si>
  <si>
    <t>ENP-00060</t>
  </si>
  <si>
    <t>Empty FullSize SMD PCB</t>
  </si>
  <si>
    <t>Revision offen</t>
  </si>
  <si>
    <t>PCB: Modules/FullSize/Empty-SMD/Empty-SMD.kicad_pcb</t>
  </si>
  <si>
    <t>Empty FullSize SMD</t>
  </si>
  <si>
    <t>Aktueller KiCad-Stand; Revision, Fertiger und konkrete Fertigungsvariante festlegen.</t>
  </si>
  <si>
    <t>EMPTY FULLSIZE SMD PCB|PCB: MODULES/FULLSIZE/EMPTY-SMD/EMPTY-SMD.KICAD_PCB</t>
  </si>
  <si>
    <t>ENP-00061</t>
  </si>
  <si>
    <t>Empty FullSize THT PCB</t>
  </si>
  <si>
    <t>PCB: Modules/FullSize/Empty-THT/Empty-THT.kicad_pcb</t>
  </si>
  <si>
    <t>Empty FullSize THT</t>
  </si>
  <si>
    <t>EMPTY FULLSIZE THT PCB|PCB: MODULES/FULLSIZE/EMPTY-THT/EMPTY-THT.KICAD_PCB</t>
  </si>
  <si>
    <t>ENP-00062</t>
  </si>
  <si>
    <t>Empty HalfSize SMD PCB</t>
  </si>
  <si>
    <t>PCB: Modules/HalfSize/Empty-SMD/Empty-SMD.kicad_pcb</t>
  </si>
  <si>
    <t>Empty HalfSize SMD</t>
  </si>
  <si>
    <t>EMPTY HALFSIZE SMD PCB|PCB: MODULES/HALFSIZE/EMPTY-SMD/EMPTY-SMD.KICAD_PCB</t>
  </si>
  <si>
    <t>ENP-00063</t>
  </si>
  <si>
    <t>Empty HalfSize THT PCB</t>
  </si>
  <si>
    <t>PCB: Modules/HalfSize/Empty-THT/Empty-THT.kicad_pcb</t>
  </si>
  <si>
    <t>Empty HalfSize THT</t>
  </si>
  <si>
    <t>EMPTY HALFSIZE THT PCB|PCB: MODULES/HALFSIZE/EMPTY-THT/EMPTY-THT.KICAD_PCB</t>
  </si>
  <si>
    <t>ENP-00064</t>
  </si>
  <si>
    <t>LED</t>
  </si>
  <si>
    <t>LED SMD 1206, rot</t>
  </si>
  <si>
    <t>Hyperrot, 645 nm, 250 mcd, 140°, Vf 2,0–2,5 V, IF max. 30 mA</t>
  </si>
  <si>
    <t>LED_SMD:LED_1206_3216Metric_Pad1.42x1.75mm_HandSolder</t>
  </si>
  <si>
    <t>Kingbright</t>
  </si>
  <si>
    <t>KP-3216SURC</t>
  </si>
  <si>
    <t>KBT KP-3216SURC</t>
  </si>
  <si>
    <t>https://www.reichelt.de/de/de/shop/produkt/smd-led_1206_hyper-rot_250_mcd_645_nm_140_-231713</t>
  </si>
  <si>
    <t>DuoRelay Rev 0.2</t>
  </si>
  <si>
    <t>D3,D4</t>
  </si>
  <si>
    <t>KiCad; Kingbright; Reichelt, abgerufen 2026-09-01</t>
  </si>
  <si>
    <t>Kingbright SMD-LED im 1206-/3216-Gehäuse, hyperrot, 250 mcd, 140° Abstrahlwinkel, Bauhöhe 1,1 mm. Im DuoRelay liegen D3/D4 über je 1,5 kΩ an +5 V; bei etwa 2 V Vorwärtsspannung fließen rund 2 mA.</t>
  </si>
  <si>
    <t>ENP-00065</t>
  </si>
  <si>
    <t>Widerstand 1,5 kΩ SMD</t>
  </si>
  <si>
    <t>1,5 kΩ, 1 %, 0,25 W, 1206</t>
  </si>
  <si>
    <t>CRCW12061K50FKEA</t>
  </si>
  <si>
    <t>VIS CRCW12061K5</t>
  </si>
  <si>
    <t>https://www.reichelt.de/de/de/shop/produkt/smd-widerstand_1206_1_5_kohm_250_mw_1_-238108</t>
  </si>
  <si>
    <t>R5,R6</t>
  </si>
  <si>
    <t>KiCad; Reichelt, abgerufen 2026-09-01</t>
  </si>
  <si>
    <t>Exakt passend als Vorwiderstand der Relais-LEDs. Einzelpreis, Stand 2026-09-01; Preis und Verfügbarkeit vor Bestellung prüfen.</t>
  </si>
  <si>
    <t>1,5 KOHM|RESISTOR_SMD:R_1206_3216METRIC_PAD1.30X1.75MM_HANDSOLDER</t>
  </si>
  <si>
    <t>ENP-00066</t>
  </si>
  <si>
    <t>DuoRelay FullSize PCB Rev 0.2</t>
  </si>
  <si>
    <t>PCB: Modules/FullSize/DuoRelay/DuoRelay.kicad_pcb</t>
  </si>
  <si>
    <t>DUORELAY FULLSIZE PCB REV 0.2|PCB: MODULES/FULLSIZE/DUORELAY/DUORELAY.KICAD_PCB</t>
  </si>
  <si>
    <t>ENP-00067</t>
  </si>
  <si>
    <t>Keramikkondensator 4,7 µF SMD</t>
  </si>
  <si>
    <t>4,7 µF, 25 V, X7R, ±10 %, 1206</t>
  </si>
  <si>
    <t>Samsung Electro-Mechanics</t>
  </si>
  <si>
    <t>CL31B475KAHNNNE</t>
  </si>
  <si>
    <t>https://www.reichelt.de/de/de/shop/produkt/mlcc_1206_4_7uf_25v_x7r_-10_h1_6_mm-429143</t>
  </si>
  <si>
    <t>AnalogHydroPressure</t>
  </si>
  <si>
    <t>25-V-Ausführung übertrifft die geforderten mindestens 10 V. Einzelpreis, Stand 2026-09-01; Preis und Verfügbarkeit vor Bestellung prüfen.</t>
  </si>
  <si>
    <t>4,7 UF 10 V|CAPACITOR_SMD:C_1206_3216METRIC_PAD1.33X1.80MM_HANDSOLDER</t>
  </si>
  <si>
    <t>ENP-00068</t>
  </si>
  <si>
    <t>4,7 µF, 50 V, X7R, ±10 %, 1210</t>
  </si>
  <si>
    <t>Capacitor_SMD:C_1210_3225Metric_Pad1.33x2.70mm_HandSolder</t>
  </si>
  <si>
    <t>CL32B475KBJVPNE</t>
  </si>
  <si>
    <t>https://www.reichelt.de/de/de/shop/produkt/mlcc_1210_4_7_f_50v_x7r_-10_-438066</t>
  </si>
  <si>
    <t>C9</t>
  </si>
  <si>
    <t>Passende 50-V-/1210-Ausführung für den Ausgang des 24-V-Boosters. Einzelpreis, Stand 2026-09-01; Preis und Verfügbarkeit vor Bestellung prüfen.</t>
  </si>
  <si>
    <t>4,7 UF 50 V|CAPACITOR_SMD:C_1210_3225METRIC_PAD1.33X2.70MM_HANDSOLDER</t>
  </si>
  <si>
    <t>ENP-00069</t>
  </si>
  <si>
    <t>Schottky-Diode SMD</t>
  </si>
  <si>
    <t>Typ und elektrische Daten offen</t>
  </si>
  <si>
    <t>Diode_SMD:D_SOD-323F</t>
  </si>
  <si>
    <t>D3</t>
  </si>
  <si>
    <t>Schema enthält nur den generischen Wert D_Schottky; Sperrspannung, Strom, Hersteller und MPN festlegen. Einkaufsdaten bleiben offen, bis Sperrspannung und Strombelastbarkeit festgelegt sind.</t>
  </si>
  <si>
    <t>SCHOTTKY|DIODE_SMD:D_SOD-323F</t>
  </si>
  <si>
    <t>ENP-00070</t>
  </si>
  <si>
    <t>Induktivität</t>
  </si>
  <si>
    <t>Leistungsinduktivität 0,68 µH</t>
  </si>
  <si>
    <t>0,68 µH, 8,2 A, DCR 9 mΩ, WE-MAPI 3012</t>
  </si>
  <si>
    <t>Inductor_SMD:L_Wuerth_MAPI-3012</t>
  </si>
  <si>
    <t>744383560068</t>
  </si>
  <si>
    <t>Mouser</t>
  </si>
  <si>
    <t>710-744383560068</t>
  </si>
  <si>
    <t>https://eu.mouser.com/en/ProductDetail/Wurth-Elektronik/744383560068</t>
  </si>
  <si>
    <t>L1</t>
  </si>
  <si>
    <t>KiCad; Würth Datenblatt; Mouser, abgerufen 2026-09-01</t>
  </si>
  <si>
    <t>Exakte MAPI-3012-Ausführung: 680 nH, 8,2 A, DCR 9 mΩ, AEC-Q200. Einzelpreis, Stand 2026-09-01; Preis und Verfügbarkeit vor Bestellung prüfen.</t>
  </si>
  <si>
    <t>0,68 UH|INDUCTOR_SMD:L_WUERTH_MAPI-3012</t>
  </si>
  <si>
    <t>ENP-00071</t>
  </si>
  <si>
    <t>Widerstand 1 MΩ SMD</t>
  </si>
  <si>
    <t>1 MΩ, 1 %, 0,25 W, 1206</t>
  </si>
  <si>
    <t>CRCW12061M00FKEA</t>
  </si>
  <si>
    <t>VIS CRCW12061M0</t>
  </si>
  <si>
    <t>https://www.reichelt.de/de/de/shop/produkt/smd-widerstand_1206_1_0_mohm_250_mw_1_-238109</t>
  </si>
  <si>
    <t>R5</t>
  </si>
  <si>
    <t>Elektrisch und mechanisch passend. Einzelpreis, Stand 2026-09-01; Preis und Verfügbarkeit vor Bestellung prüfen.</t>
  </si>
  <si>
    <t>1 MOHM 1%|RESISTOR_SMD:R_1206_3216METRIC_PAD1.30X1.75MM_HANDSOLDER</t>
  </si>
  <si>
    <t>ENP-00072</t>
  </si>
  <si>
    <t>Widerstand 71,5 kΩ SMD</t>
  </si>
  <si>
    <t>71,5 kΩ, 1 %, 0,25 W, 1206</t>
  </si>
  <si>
    <t>RC1206FR-0771K5L</t>
  </si>
  <si>
    <t>https://www.digikey.de/de/products/filter/chipwiderstand-oberfl%C3%A4chenmontage/71-5-kohms/52</t>
  </si>
  <si>
    <t>R6</t>
  </si>
  <si>
    <t>KiCad; DigiKey, abgerufen 2026-09-01</t>
  </si>
  <si>
    <t>Exakter Wert für den Feedback-Widerstand; DigiKey-Bestellnummer auf der Produktseite vor Bestellung ergänzen. Einzelpreis, Stand 2026-09-01; Preis und Verfügbarkeit vor Bestellung prüfen.</t>
  </si>
  <si>
    <t>71,5 KOHM 1%|RESISTOR_SMD:R_1206_3216METRIC_PAD1.30X1.75MM_HANDSOLDER</t>
  </si>
  <si>
    <t>ENP-00073</t>
  </si>
  <si>
    <t>Widerstand 220 kΩ SMD</t>
  </si>
  <si>
    <t>220 kΩ, 1 %, 0,25 W, 1206</t>
  </si>
  <si>
    <t>Walsin</t>
  </si>
  <si>
    <t>WR12X2203FTL</t>
  </si>
  <si>
    <t>TME</t>
  </si>
  <si>
    <t>https://www.tme.eu/de/details/wr12x2203ftl/smd-widerstaende/walsin/</t>
  </si>
  <si>
    <t>R8</t>
  </si>
  <si>
    <t>KiCad; TME, abgerufen 2026-09-01</t>
  </si>
  <si>
    <t>Exakte 1-%-Ausführung; der gefundene Reichelt-Typ mit 5 % wurde nicht übernommen. Einzelpreis, Stand 2026-09-01; Preis und Verfügbarkeit vor Bestellung prüfen.</t>
  </si>
  <si>
    <t>220 KOHM 1%|RESISTOR_SMD:R_1206_3216METRIC_PAD1.30X1.75MM_HANDSOLDER</t>
  </si>
  <si>
    <t>ENP-00074</t>
  </si>
  <si>
    <t>Schalter</t>
  </si>
  <si>
    <t>Schiebeschalter DPDT</t>
  </si>
  <si>
    <t>DPDT</t>
  </si>
  <si>
    <t>EnvNode-Footprints:SW_Slide_CK_OS202011MS2QS1</t>
  </si>
  <si>
    <t>C&amp;K</t>
  </si>
  <si>
    <t>OS202011MS2QS1</t>
  </si>
  <si>
    <t>611-OS202011MS2QS1</t>
  </si>
  <si>
    <t>https://www.mouser.de/de/c/electromechanical/switches/slide-switches/?q=OS202011MS2QS1</t>
  </si>
  <si>
    <t>SW1</t>
  </si>
  <si>
    <t>KiCad; C&amp;K Datenblatt; Mouser, abgerufen 2026-09-01</t>
  </si>
  <si>
    <t>Exakt der dem Projekt-Footprint zugrunde liegende DPDT-On-On-Schalter. Einzelpreis, Stand 2026-09-01; Preis und Verfügbarkeit vor Bestellung prüfen.</t>
  </si>
  <si>
    <t>ENP-00075</t>
  </si>
  <si>
    <t>Boost-Regler LT8330</t>
  </si>
  <si>
    <t>LT8330, 3…40 V Eingang, 60 V/1 A Schalter, TSOT-23-6</t>
  </si>
  <si>
    <t>Analog Devices</t>
  </si>
  <si>
    <t>LT8330ES6#TRMPBF</t>
  </si>
  <si>
    <t>584-LT8330ES6#TRMPBF</t>
  </si>
  <si>
    <t>https://www.mouser.de/ProductDetail/Analog-Devices/LT8330ES6TRMPBF</t>
  </si>
  <si>
    <t>U4</t>
  </si>
  <si>
    <t>KiCad; Analog Devices Datenblatt; Mouser, abgerufen 2026-09-01</t>
  </si>
  <si>
    <t>Bestellbare E-Temperaturvariante im geforderten TSOT-23-6, Cut Tape. Einzelpreis, Stand 2026-09-01; Preis und Verfügbarkeit vor Bestellung prüfen.</t>
  </si>
  <si>
    <t>LT8330|PACKAGE_TO_SOT_SMD:SOT-23-6</t>
  </si>
  <si>
    <t>ENP-00076</t>
  </si>
  <si>
    <t>AnalogHydroPressure FullSize PCB Rev 0.2</t>
  </si>
  <si>
    <t>PCB: Modules/FullSize/AnalogHydroPressure/AnalogHydroPressure.kicad_pcb</t>
  </si>
  <si>
    <t>Aktueller KiCad-Stand einschließlich Busumschaltung auf Modulseite und F.Cu-Backfill; Fertiger und Fertigungsvariante festlegen.</t>
  </si>
  <si>
    <t>ANALOGHYDROPRESSURE FULLSIZE PCB REV 0.2|PCB: MODULES/FULLSIZE/ANALOGHYDROPRESSURE/ANALOGHYDROPRESSURE.KICAD_PCB</t>
  </si>
  <si>
    <t>Kit_ID</t>
  </si>
  <si>
    <t>Kit_Name</t>
  </si>
  <si>
    <t>Revision</t>
  </si>
  <si>
    <t>Status</t>
  </si>
  <si>
    <t>KiCad_Schematic</t>
  </si>
  <si>
    <t>KiCad_PCB</t>
  </si>
  <si>
    <t>ENK-00001</t>
  </si>
  <si>
    <t>EnvNode Mini Bausatz</t>
  </si>
  <si>
    <t>0.2</t>
  </si>
  <si>
    <t>Entwurf</t>
  </si>
  <si>
    <t>hardware/kicad/MainBoards/EnvNode Mini/EnvNode Mini.kicad_sch</t>
  </si>
  <si>
    <t>hardware/kicad/MainBoards/EnvNode Mini/EnvNode Mini.kicad_pcb</t>
  </si>
  <si>
    <t>Elektronischer Grundumfang vollständig aus aktuellem KiCad-Stand übernommen. Externe 5-V-Zuführung, Pigtail und weitere Montagekomponenten werden anschließend ergänzt.</t>
  </si>
  <si>
    <t>ENK-00002</t>
  </si>
  <si>
    <t>DuoRelay FullSize Bausatz</t>
  </si>
  <si>
    <t>hardware/kicad/Modules/FullSize/DuoRelay/DuoRelay.kicad_sch</t>
  </si>
  <si>
    <t>hardware/kicad/Modules/FullSize/DuoRelay/DuoRelay.kicad_pcb</t>
  </si>
  <si>
    <t>Aktueller bestückter KiCad-Umfang plus PCB; DNP-Positionen enthalten und als DNP gekennzeichnet. Mechanische Zusatzteile können anschließend ergänzt werden.</t>
  </si>
  <si>
    <t>ENK-00003</t>
  </si>
  <si>
    <t>AnalogHydroPressure FullSize Bausatz</t>
  </si>
  <si>
    <t>hardware/kicad/Modules/FullSize/AnalogHydroPressure/AnalogHydroPressure.kicad_sch</t>
  </si>
  <si>
    <t>hardware/kicad/Modules/FullSize/AnalogHydroPressure/AnalogHydroPressure.kicad_pcb</t>
  </si>
  <si>
    <t>Aktueller bestückter KiCad-Umfang einschließlich Busumschaltung plus PCB; DNP-Positionen enthalten und als DNP gekennzeichnet. Mechanische Zusatzteile können anschließend ergänzt werden.</t>
  </si>
  <si>
    <t>Kit_Revision</t>
  </si>
  <si>
    <t>Position</t>
  </si>
  <si>
    <t>RefDes</t>
  </si>
  <si>
    <t>Part_Number</t>
  </si>
  <si>
    <t>Quantity</t>
  </si>
  <si>
    <t>Build_Status</t>
  </si>
  <si>
    <t>Source_Type</t>
  </si>
  <si>
    <t>Value</t>
  </si>
  <si>
    <t>Footprint</t>
  </si>
  <si>
    <t>Position_Price_EUR</t>
  </si>
  <si>
    <t>C1</t>
  </si>
  <si>
    <t>Bestücken</t>
  </si>
  <si>
    <t>C3</t>
  </si>
  <si>
    <t>C4</t>
  </si>
  <si>
    <t>C5</t>
  </si>
  <si>
    <t>D1</t>
  </si>
  <si>
    <t>D2</t>
  </si>
  <si>
    <t>J2</t>
  </si>
  <si>
    <t>J3</t>
  </si>
  <si>
    <t>J4</t>
  </si>
  <si>
    <t>J5</t>
  </si>
  <si>
    <t>R2</t>
  </si>
  <si>
    <t>R4</t>
  </si>
  <si>
    <t>U3</t>
  </si>
  <si>
    <t>DNP</t>
  </si>
  <si>
    <t>D4</t>
  </si>
  <si>
    <t>K1</t>
  </si>
  <si>
    <t>K2</t>
  </si>
  <si>
    <t>Q2</t>
  </si>
  <si>
    <t>C7</t>
  </si>
  <si>
    <t>C8</t>
  </si>
  <si>
    <t>R7</t>
  </si>
  <si>
    <t>Ergebnis</t>
  </si>
  <si>
    <t>Bestellliste für EnvNode-Bausätze</t>
  </si>
  <si>
    <t>Stückzahlen wählen; die Liste aggregiert gleiche Parts über alle Kits. DNP ist standardmäßig ausgeschlossen.</t>
  </si>
  <si>
    <t>Bausatz</t>
  </si>
  <si>
    <t>Stückzahl</t>
  </si>
  <si>
    <t>Option</t>
  </si>
  <si>
    <t>Auswahl</t>
  </si>
  <si>
    <t>Optional bestellen</t>
  </si>
  <si>
    <t>Nein</t>
  </si>
  <si>
    <t>DNP bestellen</t>
  </si>
  <si>
    <t>Hinweis</t>
  </si>
  <si>
    <t>Bestellmenge wird bei hinterlegter Verpackungseinheit auf das nächste Vielfache aufgerundet.</t>
  </si>
  <si>
    <t>Bedarf</t>
  </si>
  <si>
    <t>Bestellmenge</t>
  </si>
  <si>
    <t>Bestellwert_EUR</t>
  </si>
  <si>
    <t>Import_Status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</si>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</sst>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€#,##0.00"/>
    <numFmt numFmtId="165" formatCode="0.00\ &quot;€&quot;"/>
    <numFmt numFmtId="166" formatCode="\€0.00"/>
  </numFmts>
  <fonts count="12">
    <font>
      <sz val="11"/>
      <name val="Carlito"/>
    </font>
    <font>
      <sz val="11"/>
      <name val="Carlito"/>
    </font>
    <font>
      <sz val="11"/>
      <name val="Abadi ExtraLight"/>
    </font>
    <font>
      <sz val="11"/>
      <name val="Calibri"/>
      <family val="2"/>
    </font>
    <font>
      <b/>
      <sz val="11"/>
      <color rgb="FFFFFFFF"/>
      <name val="Calibri Light"/>
      <family val="2"/>
    </font>
    <font>
      <sz val="11"/>
      <name val="Calibri Light"/>
      <family val="2"/>
    </font>
    <font>
      <sz val="11"/>
      <color theme="10"/>
      <name val="Carlito"/>
    </font>
    <font>
      <b/>
      <sz val="11"/>
      <color rgb="FFFFFFFF"/>
      <name val="Carlito"/>
    </font>
    <font>
      <i/>
      <sz val="11"/>
      <color rgb="FF1F1F1F"/>
      <name val="Carlito"/>
    </font>
    <font>
      <b/>
      <sz val="11"/>
      <name val="Carlito"/>
    </font>
    <font>
      <sz val="11"/>
      <color rgb="FF375623"/>
      <name val="Carlito"/>
    </font>
    <font>
      <b/>
      <sz val="11"/>
      <color rgb="FF375623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49" fontId="2" fillId="0" borderId="2" xfId="1" applyNumberFormat="1" applyFont="1" applyBorder="1" applyAlignment="1">
      <alignment vertical="top"/>
    </xf>
    <xf numFmtId="0" fontId="2" fillId="0" borderId="2" xfId="1" applyFont="1" applyBorder="1" applyAlignment="1">
      <alignment vertical="top"/>
    </xf>
    <xf numFmtId="0" fontId="2" fillId="0" borderId="2" xfId="1" applyFont="1" applyBorder="1" applyAlignment="1">
      <alignment vertical="top" wrapText="1"/>
    </xf>
    <xf numFmtId="49" fontId="2" fillId="0" borderId="2" xfId="1" applyNumberFormat="1" applyFont="1" applyBorder="1" applyAlignment="1">
      <alignment vertical="top" wrapText="1"/>
    </xf>
    <xf numFmtId="164" fontId="2" fillId="0" borderId="2" xfId="1" applyNumberFormat="1" applyFont="1" applyBorder="1" applyAlignment="1">
      <alignment vertical="top"/>
    </xf>
    <xf numFmtId="1" fontId="2" fillId="0" borderId="2" xfId="1" applyNumberFormat="1" applyFont="1" applyBorder="1" applyAlignment="1">
      <alignment vertical="top"/>
    </xf>
    <xf numFmtId="49" fontId="2" fillId="0" borderId="3" xfId="1" applyNumberFormat="1" applyFont="1" applyBorder="1" applyAlignment="1">
      <alignment vertical="top"/>
    </xf>
    <xf numFmtId="0" fontId="2" fillId="0" borderId="3" xfId="1" applyFont="1" applyBorder="1" applyAlignment="1">
      <alignment vertical="top"/>
    </xf>
    <xf numFmtId="0" fontId="2" fillId="0" borderId="3" xfId="1" applyFont="1" applyBorder="1" applyAlignment="1">
      <alignment vertical="top" wrapText="1"/>
    </xf>
    <xf numFmtId="49" fontId="2" fillId="0" borderId="3" xfId="1" applyNumberFormat="1" applyFont="1" applyBorder="1" applyAlignment="1">
      <alignment vertical="top" wrapText="1"/>
    </xf>
    <xf numFmtId="164" fontId="2" fillId="0" borderId="3" xfId="1" applyNumberFormat="1" applyFont="1" applyBorder="1" applyAlignment="1">
      <alignment vertical="top"/>
    </xf>
    <xf numFmtId="1" fontId="2" fillId="0" borderId="3" xfId="1" applyNumberFormat="1" applyFont="1" applyBorder="1" applyAlignment="1">
      <alignment vertical="top"/>
    </xf>
    <xf numFmtId="0" fontId="3" fillId="0" borderId="2" xfId="1" applyFont="1" applyBorder="1" applyAlignment="1">
      <alignment vertical="top" wrapText="1"/>
    </xf>
    <xf numFmtId="0" fontId="4" fillId="2" borderId="1" xfId="1" applyFont="1" applyFill="1" applyBorder="1" applyAlignment="1">
      <alignment vertical="center" wrapText="1"/>
    </xf>
    <xf numFmtId="0" fontId="5" fillId="0" borderId="0" xfId="0" applyFont="1"/>
    <xf numFmtId="0" fontId="6" fillId="0" borderId="0" xfId="2"/>
    <xf numFmtId="0" fontId="6" fillId="0" borderId="2" xfId="2" applyBorder="1" applyAlignment="1">
      <alignment vertical="top" wrapText="1"/>
    </xf>
    <xf numFmtId="165" fontId="0" fillId="0" borderId="0" xfId="0" applyNumberFormat="1"/>
    <xf numFmtId="0" fontId="7" fillId="3" borderId="0" xfId="0" applyFont="1" applyFill="1" applyAlignment="1">
      <alignment vertical="center"/>
    </xf>
    <xf numFmtId="1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vertical="center" wrapText="1"/>
    </xf>
    <xf numFmtId="0" fontId="7" fillId="7" borderId="0" xfId="0" applyFont="1" applyFill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1" fontId="9" fillId="8" borderId="6" xfId="0" applyNumberFormat="1" applyFont="1" applyFill="1" applyBorder="1" applyAlignment="1">
      <alignment horizontal="center"/>
    </xf>
    <xf numFmtId="1" fontId="9" fillId="8" borderId="9" xfId="0" applyNumberFormat="1" applyFont="1" applyFill="1" applyBorder="1" applyAlignment="1">
      <alignment horizontal="center"/>
    </xf>
    <xf numFmtId="1" fontId="9" fillId="8" borderId="12" xfId="0" applyNumberFormat="1" applyFont="1" applyFill="1" applyBorder="1" applyAlignment="1">
      <alignment horizontal="center"/>
    </xf>
    <xf numFmtId="0" fontId="9" fillId="8" borderId="6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10" fillId="9" borderId="0" xfId="0" applyFont="1" applyFill="1" applyAlignment="1">
      <alignment vertical="center" wrapText="1"/>
    </xf>
    <xf numFmtId="0" fontId="11" fillId="9" borderId="0" xfId="0" applyFont="1" applyFill="1" applyAlignment="1">
      <alignment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7" fillId="5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10" fillId="9" borderId="0" xfId="0" applyFont="1" applyFill="1" applyAlignment="1">
      <alignment vertical="center" wrapText="1"/>
    </xf>
  </cellXfs>
  <cellStyles count="3">
    <cellStyle name="Link" xfId="2" xr:uid="{00000000-0005-0000-0000-000000000000}"/>
    <cellStyle name="Normal" xfId="1" xr:uid="{00000000-0005-0000-0000-000001000000}"/>
    <cellStyle name="Standard" xfId="0" builtinId="0"/>
  </cellStyles>
  <dxfs count="10">
    <dxf>
      <font>
        <b/>
        <color rgb="FFC00000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A6A6A6"/>
      </font>
    </dxf>
    <dxf>
      <font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u val="none"/>
        <sz val="11"/>
        <name val="Abadi ExtraLigh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sTable" displayName="PartsTable" ref="A1:S77" totalsRowShown="0" dataDxfId="9">
  <autoFilter ref="A1:S77" xr:uid="{00000000-0009-0000-0100-000001000000}"/>
  <tableColumns count="19">
    <tableColumn id="1" xr3:uid="{00000000-0010-0000-0000-000001000000}" name="Part_ID"/>
    <tableColumn id="2" xr3:uid="{00000000-0010-0000-0000-000002000000}" name="Category"/>
    <tableColumn id="3" xr3:uid="{00000000-0010-0000-0000-000003000000}" name="Description"/>
    <tableColumn id="4" xr3:uid="{00000000-0010-0000-0000-000004000000}" name="Value_Rating"/>
    <tableColumn id="5" xr3:uid="{00000000-0010-0000-0000-000005000000}" name="Package_Footprint"/>
    <tableColumn id="6" xr3:uid="{00000000-0010-0000-0000-000006000000}" name="Manufacturer"/>
    <tableColumn id="7" xr3:uid="{00000000-0010-0000-0000-000007000000}" name="MPN"/>
    <tableColumn id="8" xr3:uid="{00000000-0010-0000-0000-000008000000}" name="Supplier"/>
    <tableColumn id="9" xr3:uid="{00000000-0010-0000-0000-000009000000}" name="Supplier_PN"/>
    <tableColumn id="10" xr3:uid="{00000000-0010-0000-0000-00000A000000}" name="URL"/>
    <tableColumn id="11" xr3:uid="{00000000-0010-0000-0000-00000B000000}" name="Unit_Price_EUR"/>
    <tableColumn id="12" xr3:uid="{00000000-0010-0000-0000-00000C000000}" name="Purchase_Unit"/>
    <tableColumn id="13" xr3:uid="{00000000-0010-0000-0000-00000D000000}" name="Packaging_Unit"/>
    <tableColumn id="14" xr3:uid="{00000000-0010-0000-0000-00000E000000}" name="Found_In"/>
    <tableColumn id="15" xr3:uid="{00000000-0010-0000-0000-00000F000000}" name="KiCad_References"/>
    <tableColumn id="16" xr3:uid="{00000000-0010-0000-0000-000010000000}" name="Source"/>
    <tableColumn id="17" xr3:uid="{00000000-0010-0000-0000-000011000000}" name="Review_Status"/>
    <tableColumn id="18" xr3:uid="{00000000-0010-0000-0000-000012000000}" name="Notes"/>
    <tableColumn id="19" xr3:uid="{00000000-0010-0000-0000-000013000000}" name="Duplicate_Check_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KitsTable" displayName="KitsTable" ref="A1:G4" totalsRowShown="0">
  <tableColumns count="7">
    <tableColumn id="1" xr3:uid="{00000000-0010-0000-0100-000001000000}" name="Kit_ID"/>
    <tableColumn id="2" xr3:uid="{00000000-0010-0000-0100-000002000000}" name="Kit_Name"/>
    <tableColumn id="3" xr3:uid="{00000000-0010-0000-0100-000003000000}" name="Revision"/>
    <tableColumn id="4" xr3:uid="{00000000-0010-0000-0100-000004000000}" name="Status"/>
    <tableColumn id="5" xr3:uid="{00000000-0010-0000-0100-000005000000}" name="KiCad_Schematic"/>
    <tableColumn id="6" xr3:uid="{00000000-0010-0000-0100-000006000000}" name="KiCad_PCB"/>
    <tableColumn id="7" xr3:uid="{00000000-0010-0000-0100-000007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itBomTable" displayName="KitBomTable" ref="A1:M65">
  <tableColumns count="13">
    <tableColumn id="1" xr3:uid="{00000000-0010-0000-0200-000001000000}" name="Kit_ID" totalsRowLabel="ENK-00003"/>
    <tableColumn id="2" xr3:uid="{00000000-0010-0000-0200-000002000000}" name="Kit_Revision" totalsRowLabel="0.2"/>
    <tableColumn id="3" xr3:uid="{00000000-0010-0000-0200-000003000000}" name="Position"/>
    <tableColumn id="4" xr3:uid="{00000000-0010-0000-0200-000004000000}" name="RefDes"/>
    <tableColumn id="5" xr3:uid="{00000000-0010-0000-0200-000005000000}" name="Part_Number"/>
    <tableColumn id="6" xr3:uid="{00000000-0010-0000-0200-000006000000}" name="Quantity"/>
    <tableColumn id="7" xr3:uid="{00000000-0010-0000-0200-000007000000}" name="Build_Status"/>
    <tableColumn id="8" xr3:uid="{00000000-0010-0000-0200-000008000000}" name="Source_Type"/>
    <tableColumn id="9" xr3:uid="{00000000-0010-0000-0200-000009000000}" name="Value"/>
    <tableColumn id="10" xr3:uid="{00000000-0010-0000-0200-00000A000000}" name="Footprint"/>
    <tableColumn id="11" xr3:uid="{00000000-0010-0000-0200-00000B000000}" name="Unit_Price_EUR"/>
    <tableColumn id="12" xr3:uid="{00000000-0010-0000-0200-00000C000000}" name="Position_Price_EUR"/>
    <tableColumn id="13" xr3:uid="{00000000-0010-0000-0200-00000D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derListTable" displayName="OrderListTable" ref="A13:K52" totalsRowCount="1">
  <autoFilter ref="A13:K51" xr:uid="{00000000-0009-0000-0100-000004000000}"/>
  <tableColumns count="11">
    <tableColumn id="1" xr3:uid="{00000000-0010-0000-0300-000001000000}" name="Part_ID" totalsRowLabel="Ergebnis"/>
    <tableColumn id="2" xr3:uid="{00000000-0010-0000-0300-000002000000}" name="Description"/>
    <tableColumn id="3" xr3:uid="{00000000-0010-0000-0300-000003000000}" name="Supplier"/>
    <tableColumn id="4" xr3:uid="{00000000-0010-0000-0300-000004000000}" name="Supplier_PN"/>
    <tableColumn id="5" xr3:uid="{00000000-0010-0000-0300-000005000000}" name="Bedarf"/>
    <tableColumn id="6" xr3:uid="{00000000-0010-0000-0300-000006000000}" name="Packaging_Unit"/>
    <tableColumn id="7" xr3:uid="{00000000-0010-0000-0300-000007000000}" name="Bestellmenge"/>
    <tableColumn id="8" xr3:uid="{00000000-0010-0000-0300-000008000000}" name="Unit_Price_EUR"/>
    <tableColumn id="9" xr3:uid="{00000000-0010-0000-0300-000009000000}" name="Bestellwert_EUR" totalsRowFunction="sum"/>
    <tableColumn id="10" xr3:uid="{00000000-0010-0000-0300-00000A000000}" name="Import_Status"/>
    <tableColumn id="11" xr3:uid="{00000000-0010-0000-0300-00000B000000}" name="URL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reichelt.de/de/de/shop/produkt/smd-widerstand_1206_47_ohm_250_mw_5_-25035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7"/>
  <sheetViews>
    <sheetView showGridLines="0" topLeftCell="A3" workbookViewId="0">
      <selection activeCell="C35" sqref="C35"/>
    </sheetView>
  </sheetViews>
  <sheetFormatPr baseColWidth="10" defaultColWidth="8.83203125" defaultRowHeight="12"/>
  <cols>
    <col min="1" max="1" width="14" style="1" customWidth="1"/>
    <col min="2" max="2" width="18" style="1" customWidth="1"/>
    <col min="3" max="3" width="38" style="1" customWidth="1"/>
    <col min="4" max="4" width="26" style="1" customWidth="1"/>
    <col min="5" max="5" width="55" style="1" customWidth="1"/>
    <col min="6" max="6" width="24" style="1" customWidth="1"/>
    <col min="7" max="7" width="25" style="1" customWidth="1"/>
    <col min="8" max="8" width="16" style="1" customWidth="1"/>
    <col min="9" max="9" width="25" style="1" customWidth="1"/>
    <col min="10" max="10" width="45" style="1" customWidth="1"/>
    <col min="11" max="11" width="15" style="1" customWidth="1"/>
    <col min="12" max="12" width="14" style="1" customWidth="1"/>
    <col min="13" max="13" width="16" style="1" customWidth="1"/>
    <col min="14" max="14" width="30" style="1" customWidth="1"/>
    <col min="15" max="15" width="42" style="1" customWidth="1"/>
    <col min="16" max="16" width="55.83203125" style="1" customWidth="1"/>
    <col min="17" max="17" width="15" style="1" customWidth="1"/>
    <col min="18" max="18" width="174.33203125" style="1" customWidth="1"/>
    <col min="19" max="19" width="42" style="1" customWidth="1"/>
    <col min="20" max="16384" width="8.83203125" style="1"/>
  </cols>
  <sheetData>
    <row r="1" spans="1:19" s="16" customFormat="1" ht="34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</row>
    <row r="2" spans="1:19" ht="32">
      <c r="A2" s="2" t="s">
        <v>19</v>
      </c>
      <c r="B2" s="3" t="s">
        <v>20</v>
      </c>
      <c r="C2" s="14" t="s">
        <v>21</v>
      </c>
      <c r="D2" s="4" t="s">
        <v>22</v>
      </c>
      <c r="E2" s="4"/>
      <c r="F2" s="4" t="s">
        <v>23</v>
      </c>
      <c r="G2" s="5"/>
      <c r="H2" s="5" t="s">
        <v>24</v>
      </c>
      <c r="I2" s="5"/>
      <c r="J2" s="3" t="s">
        <v>25</v>
      </c>
      <c r="K2" s="6">
        <v>15.3</v>
      </c>
      <c r="L2" s="3" t="s">
        <v>26</v>
      </c>
      <c r="M2" s="7">
        <v>10</v>
      </c>
      <c r="N2" s="4" t="s">
        <v>27</v>
      </c>
      <c r="O2" s="4" t="s">
        <v>28</v>
      </c>
      <c r="P2" s="4" t="s">
        <v>29</v>
      </c>
      <c r="Q2" s="4" t="s">
        <v>30</v>
      </c>
      <c r="R2" s="4" t="s">
        <v>31</v>
      </c>
      <c r="S2" s="4" t="str">
        <f t="shared" ref="S2:S33" si="0">IF(G2&lt;&gt;"",UPPER(TRIM(G2)),UPPER(TRIM(C2&amp;"|"&amp;E2)))</f>
        <v>SET, SET JST-PH 4-POLIG 2.00MM VERTIKALER PCB-STECKER, BUCHSE THT|</v>
      </c>
    </row>
    <row r="3" spans="1:19" ht="13">
      <c r="A3" s="2" t="s">
        <v>32</v>
      </c>
      <c r="B3" s="3" t="s">
        <v>20</v>
      </c>
      <c r="C3" s="4" t="s">
        <v>33</v>
      </c>
      <c r="D3" s="4" t="s">
        <v>34</v>
      </c>
      <c r="E3" s="4"/>
      <c r="F3" s="4" t="s">
        <v>23</v>
      </c>
      <c r="G3" s="5"/>
      <c r="H3" s="5" t="s">
        <v>24</v>
      </c>
      <c r="I3" s="5"/>
      <c r="J3" s="3" t="s">
        <v>35</v>
      </c>
      <c r="K3" s="6">
        <v>6.69</v>
      </c>
      <c r="L3" s="3" t="s">
        <v>26</v>
      </c>
      <c r="M3" s="7">
        <v>10</v>
      </c>
      <c r="N3" s="4" t="s">
        <v>27</v>
      </c>
      <c r="O3" s="4" t="s">
        <v>36</v>
      </c>
      <c r="P3" s="4" t="s">
        <v>29</v>
      </c>
      <c r="Q3" s="4" t="s">
        <v>30</v>
      </c>
      <c r="R3" s="4" t="s">
        <v>37</v>
      </c>
      <c r="S3" s="4" t="str">
        <f t="shared" si="0"/>
        <v>QWIIC/JST-SH, 4-POLIGES PIGTAIL JST|</v>
      </c>
    </row>
    <row r="4" spans="1:19" ht="13">
      <c r="A4" s="2" t="s">
        <v>38</v>
      </c>
      <c r="B4" s="3" t="s">
        <v>39</v>
      </c>
      <c r="C4" s="4" t="s">
        <v>40</v>
      </c>
      <c r="D4" s="4" t="s">
        <v>41</v>
      </c>
      <c r="E4" s="4" t="s">
        <v>42</v>
      </c>
      <c r="F4" s="4" t="s">
        <v>43</v>
      </c>
      <c r="G4" s="5">
        <v>10120946</v>
      </c>
      <c r="H4" s="5" t="s">
        <v>44</v>
      </c>
      <c r="I4" s="5" t="s">
        <v>45</v>
      </c>
      <c r="J4" s="3" t="s">
        <v>46</v>
      </c>
      <c r="K4" s="6">
        <v>0.81</v>
      </c>
      <c r="L4" s="3" t="s">
        <v>26</v>
      </c>
      <c r="M4" s="7"/>
      <c r="N4" s="4" t="s">
        <v>47</v>
      </c>
      <c r="O4" s="4" t="s">
        <v>48</v>
      </c>
      <c r="P4" s="4" t="s">
        <v>29</v>
      </c>
      <c r="Q4" s="4" t="s">
        <v>30</v>
      </c>
      <c r="R4" s="4" t="s">
        <v>49</v>
      </c>
      <c r="S4" s="4" t="str">
        <f t="shared" si="0"/>
        <v>10120946</v>
      </c>
    </row>
    <row r="5" spans="1:19" ht="13">
      <c r="A5" s="2" t="s">
        <v>50</v>
      </c>
      <c r="B5" s="3" t="s">
        <v>39</v>
      </c>
      <c r="C5" s="4" t="s">
        <v>51</v>
      </c>
      <c r="D5" s="4" t="s">
        <v>52</v>
      </c>
      <c r="E5" s="4"/>
      <c r="F5" s="4" t="s">
        <v>43</v>
      </c>
      <c r="G5" s="5" t="s">
        <v>53</v>
      </c>
      <c r="H5" s="5" t="s">
        <v>44</v>
      </c>
      <c r="I5" s="5" t="s">
        <v>54</v>
      </c>
      <c r="J5" s="3" t="s">
        <v>55</v>
      </c>
      <c r="K5" s="6">
        <v>2.5499999999999998</v>
      </c>
      <c r="L5" s="3" t="s">
        <v>26</v>
      </c>
      <c r="M5" s="7"/>
      <c r="N5" s="4" t="s">
        <v>27</v>
      </c>
      <c r="O5" s="4" t="s">
        <v>56</v>
      </c>
      <c r="P5" s="4" t="s">
        <v>29</v>
      </c>
      <c r="Q5" s="4" t="s">
        <v>30</v>
      </c>
      <c r="R5" s="4" t="s">
        <v>57</v>
      </c>
      <c r="S5" s="4" t="str">
        <f t="shared" si="0"/>
        <v>BL1.20 G</v>
      </c>
    </row>
    <row r="6" spans="1:19" ht="39">
      <c r="A6" s="2" t="s">
        <v>58</v>
      </c>
      <c r="B6" s="3" t="s">
        <v>59</v>
      </c>
      <c r="C6" s="4" t="s">
        <v>60</v>
      </c>
      <c r="D6" s="4" t="s">
        <v>61</v>
      </c>
      <c r="E6" s="4" t="s">
        <v>62</v>
      </c>
      <c r="F6" s="4" t="s">
        <v>63</v>
      </c>
      <c r="G6" s="5" t="s">
        <v>64</v>
      </c>
      <c r="H6" s="5" t="s">
        <v>44</v>
      </c>
      <c r="I6" s="5" t="s">
        <v>65</v>
      </c>
      <c r="J6" s="3" t="s">
        <v>66</v>
      </c>
      <c r="K6" s="6">
        <v>0.15</v>
      </c>
      <c r="L6" s="3" t="s">
        <v>26</v>
      </c>
      <c r="M6" s="7"/>
      <c r="N6" s="4" t="s">
        <v>67</v>
      </c>
      <c r="O6" s="4" t="s">
        <v>68</v>
      </c>
      <c r="P6" s="4" t="s">
        <v>29</v>
      </c>
      <c r="Q6" s="4" t="s">
        <v>30</v>
      </c>
      <c r="R6" s="4" t="s">
        <v>69</v>
      </c>
      <c r="S6" s="4" t="str">
        <f t="shared" si="0"/>
        <v>CRCW12064K70FKEA</v>
      </c>
    </row>
    <row r="7" spans="1:19" ht="52">
      <c r="A7" s="2" t="s">
        <v>70</v>
      </c>
      <c r="B7" s="3" t="s">
        <v>71</v>
      </c>
      <c r="C7" s="4" t="s">
        <v>72</v>
      </c>
      <c r="D7" s="4" t="s">
        <v>73</v>
      </c>
      <c r="E7" s="4" t="s">
        <v>74</v>
      </c>
      <c r="F7" s="4" t="s">
        <v>75</v>
      </c>
      <c r="G7" s="5" t="s">
        <v>76</v>
      </c>
      <c r="H7" s="5" t="s">
        <v>44</v>
      </c>
      <c r="I7" s="5" t="s">
        <v>77</v>
      </c>
      <c r="J7" s="3" t="s">
        <v>78</v>
      </c>
      <c r="K7" s="6">
        <v>0.24</v>
      </c>
      <c r="L7" s="3" t="s">
        <v>26</v>
      </c>
      <c r="M7" s="7">
        <v>10</v>
      </c>
      <c r="N7" s="4" t="s">
        <v>79</v>
      </c>
      <c r="O7" s="4" t="s">
        <v>80</v>
      </c>
      <c r="P7" s="4" t="s">
        <v>29</v>
      </c>
      <c r="Q7" s="4" t="s">
        <v>30</v>
      </c>
      <c r="R7" s="4" t="s">
        <v>81</v>
      </c>
      <c r="S7" s="4" t="str">
        <f t="shared" si="0"/>
        <v>C1206F104K1RACTU</v>
      </c>
    </row>
    <row r="8" spans="1:19" ht="13">
      <c r="A8" s="2" t="s">
        <v>82</v>
      </c>
      <c r="B8" s="3" t="s">
        <v>71</v>
      </c>
      <c r="C8" s="4" t="s">
        <v>83</v>
      </c>
      <c r="D8" s="4" t="s">
        <v>84</v>
      </c>
      <c r="E8" s="4" t="s">
        <v>74</v>
      </c>
      <c r="F8" s="4" t="s">
        <v>85</v>
      </c>
      <c r="G8" s="5" t="s">
        <v>86</v>
      </c>
      <c r="H8" s="5" t="s">
        <v>44</v>
      </c>
      <c r="I8" s="5" t="s">
        <v>86</v>
      </c>
      <c r="J8" s="3" t="s">
        <v>87</v>
      </c>
      <c r="K8" s="6">
        <v>0.11</v>
      </c>
      <c r="L8" s="3" t="s">
        <v>26</v>
      </c>
      <c r="M8" s="7">
        <v>10</v>
      </c>
      <c r="N8" s="4" t="s">
        <v>88</v>
      </c>
      <c r="O8" s="4" t="s">
        <v>89</v>
      </c>
      <c r="P8" s="4" t="s">
        <v>29</v>
      </c>
      <c r="Q8" s="4" t="s">
        <v>30</v>
      </c>
      <c r="R8" s="4" t="s">
        <v>90</v>
      </c>
      <c r="S8" s="4" t="str">
        <f t="shared" si="0"/>
        <v>12063C106KAT2A</v>
      </c>
    </row>
    <row r="9" spans="1:19" ht="13">
      <c r="A9" s="2" t="s">
        <v>91</v>
      </c>
      <c r="B9" s="3" t="s">
        <v>71</v>
      </c>
      <c r="C9" s="4" t="s">
        <v>92</v>
      </c>
      <c r="D9" s="4" t="s">
        <v>93</v>
      </c>
      <c r="E9" s="4" t="s">
        <v>94</v>
      </c>
      <c r="F9" s="4" t="s">
        <v>85</v>
      </c>
      <c r="G9" s="5" t="s">
        <v>95</v>
      </c>
      <c r="H9" s="5" t="s">
        <v>44</v>
      </c>
      <c r="I9" s="5" t="s">
        <v>96</v>
      </c>
      <c r="J9" s="3" t="s">
        <v>97</v>
      </c>
      <c r="K9" s="6">
        <v>0.28999999999999998</v>
      </c>
      <c r="L9" s="3" t="s">
        <v>26</v>
      </c>
      <c r="M9" s="7"/>
      <c r="N9" s="4" t="s">
        <v>88</v>
      </c>
      <c r="O9" s="4" t="s">
        <v>98</v>
      </c>
      <c r="P9" s="4" t="s">
        <v>29</v>
      </c>
      <c r="Q9" s="4" t="s">
        <v>30</v>
      </c>
      <c r="R9" s="4" t="s">
        <v>99</v>
      </c>
      <c r="S9" s="4" t="str">
        <f t="shared" si="0"/>
        <v>TAJB476K010RNJ</v>
      </c>
    </row>
    <row r="10" spans="1:19" ht="13">
      <c r="A10" s="2" t="s">
        <v>100</v>
      </c>
      <c r="B10" s="3" t="s">
        <v>101</v>
      </c>
      <c r="C10" s="4" t="s">
        <v>102</v>
      </c>
      <c r="D10" s="4" t="s">
        <v>103</v>
      </c>
      <c r="E10" s="4" t="s">
        <v>104</v>
      </c>
      <c r="F10" s="4" t="s">
        <v>105</v>
      </c>
      <c r="G10" s="5" t="s">
        <v>106</v>
      </c>
      <c r="H10" s="5" t="s">
        <v>44</v>
      </c>
      <c r="I10" s="5" t="s">
        <v>107</v>
      </c>
      <c r="J10" s="3" t="s">
        <v>108</v>
      </c>
      <c r="K10" s="6">
        <v>1</v>
      </c>
      <c r="L10" s="3" t="s">
        <v>26</v>
      </c>
      <c r="M10" s="7">
        <v>3</v>
      </c>
      <c r="N10" s="4" t="s">
        <v>88</v>
      </c>
      <c r="O10" s="4" t="s">
        <v>109</v>
      </c>
      <c r="P10" s="4" t="s">
        <v>29</v>
      </c>
      <c r="Q10" s="4" t="s">
        <v>30</v>
      </c>
      <c r="R10" s="4" t="s">
        <v>110</v>
      </c>
      <c r="S10" s="4" t="str">
        <f t="shared" si="0"/>
        <v>LM3940IMP-3.3/NOPB</v>
      </c>
    </row>
    <row r="11" spans="1:19" ht="13">
      <c r="A11" s="2" t="s">
        <v>111</v>
      </c>
      <c r="B11" s="3" t="s">
        <v>112</v>
      </c>
      <c r="C11" s="4" t="s">
        <v>113</v>
      </c>
      <c r="D11" s="4" t="s">
        <v>114</v>
      </c>
      <c r="E11" s="4" t="s">
        <v>115</v>
      </c>
      <c r="F11" s="4" t="s">
        <v>116</v>
      </c>
      <c r="G11" s="5"/>
      <c r="H11" s="5"/>
      <c r="I11" s="5"/>
      <c r="J11" s="3"/>
      <c r="K11" s="6">
        <v>5</v>
      </c>
      <c r="L11" s="3" t="s">
        <v>26</v>
      </c>
      <c r="M11" s="7">
        <v>3</v>
      </c>
      <c r="N11" s="4" t="s">
        <v>88</v>
      </c>
      <c r="O11" s="4" t="s">
        <v>117</v>
      </c>
      <c r="P11" s="4" t="s">
        <v>29</v>
      </c>
      <c r="Q11" s="4" t="s">
        <v>30</v>
      </c>
      <c r="R11" s="4" t="s">
        <v>118</v>
      </c>
      <c r="S11" s="4" t="str">
        <f t="shared" si="0"/>
        <v>ESP32-DEVKITC|PCM_ESPRESSIF:ESP32-DEVKITC</v>
      </c>
    </row>
    <row r="12" spans="1:19" ht="13">
      <c r="A12" s="2" t="s">
        <v>119</v>
      </c>
      <c r="B12" s="3" t="s">
        <v>120</v>
      </c>
      <c r="C12" s="4" t="s">
        <v>121</v>
      </c>
      <c r="D12" s="4" t="s">
        <v>122</v>
      </c>
      <c r="E12" s="4"/>
      <c r="F12" s="4" t="s">
        <v>123</v>
      </c>
      <c r="G12" s="5"/>
      <c r="H12" s="5" t="s">
        <v>123</v>
      </c>
      <c r="I12" s="5"/>
      <c r="J12" s="3" t="s">
        <v>124</v>
      </c>
      <c r="K12" s="6">
        <v>7.85</v>
      </c>
      <c r="L12" s="3" t="s">
        <v>26</v>
      </c>
      <c r="M12" s="7"/>
      <c r="N12" s="4" t="s">
        <v>27</v>
      </c>
      <c r="O12" s="4"/>
      <c r="P12" s="4" t="s">
        <v>29</v>
      </c>
      <c r="Q12" s="4" t="s">
        <v>30</v>
      </c>
      <c r="R12" s="4" t="s">
        <v>125</v>
      </c>
      <c r="S12" s="4" t="str">
        <f t="shared" si="0"/>
        <v>ENVNODE MAINBOARD REV 0.1|</v>
      </c>
    </row>
    <row r="13" spans="1:19" ht="13">
      <c r="A13" s="2" t="s">
        <v>126</v>
      </c>
      <c r="B13" s="3" t="s">
        <v>39</v>
      </c>
      <c r="C13" s="4" t="s">
        <v>127</v>
      </c>
      <c r="D13" s="4" t="s">
        <v>128</v>
      </c>
      <c r="E13" s="4" t="s">
        <v>129</v>
      </c>
      <c r="F13" s="4" t="s">
        <v>23</v>
      </c>
      <c r="G13" s="5" t="s">
        <v>130</v>
      </c>
      <c r="H13" s="5" t="s">
        <v>44</v>
      </c>
      <c r="I13" s="5" t="s">
        <v>131</v>
      </c>
      <c r="J13" s="3" t="s">
        <v>132</v>
      </c>
      <c r="K13" s="6">
        <v>1.3</v>
      </c>
      <c r="L13" s="3" t="s">
        <v>26</v>
      </c>
      <c r="M13" s="7"/>
      <c r="N13" s="4" t="s">
        <v>88</v>
      </c>
      <c r="O13" s="4" t="s">
        <v>133</v>
      </c>
      <c r="P13" s="4" t="s">
        <v>29</v>
      </c>
      <c r="Q13" s="4" t="s">
        <v>30</v>
      </c>
      <c r="R13" s="4"/>
      <c r="S13" s="4" t="str">
        <f t="shared" si="0"/>
        <v>B2B-PH-K-S</v>
      </c>
    </row>
    <row r="14" spans="1:19" ht="13">
      <c r="A14" s="2" t="s">
        <v>134</v>
      </c>
      <c r="B14" s="3" t="s">
        <v>135</v>
      </c>
      <c r="C14" s="4" t="s">
        <v>136</v>
      </c>
      <c r="D14" s="4" t="s">
        <v>137</v>
      </c>
      <c r="E14" s="4" t="s">
        <v>138</v>
      </c>
      <c r="F14" s="4" t="s">
        <v>139</v>
      </c>
      <c r="G14" s="5" t="s">
        <v>140</v>
      </c>
      <c r="H14" s="5" t="s">
        <v>44</v>
      </c>
      <c r="I14" s="5" t="s">
        <v>140</v>
      </c>
      <c r="J14" s="3" t="s">
        <v>141</v>
      </c>
      <c r="K14" s="6">
        <v>0.18</v>
      </c>
      <c r="L14" s="3" t="s">
        <v>26</v>
      </c>
      <c r="M14" s="7"/>
      <c r="N14" s="4" t="s">
        <v>142</v>
      </c>
      <c r="O14" s="4" t="s">
        <v>143</v>
      </c>
      <c r="P14" s="4" t="s">
        <v>29</v>
      </c>
      <c r="Q14" s="4" t="s">
        <v>30</v>
      </c>
      <c r="R14" s="4"/>
      <c r="S14" s="4" t="str">
        <f t="shared" si="0"/>
        <v>AO3400A</v>
      </c>
    </row>
    <row r="15" spans="1:19" ht="26">
      <c r="A15" s="2" t="s">
        <v>144</v>
      </c>
      <c r="B15" s="3" t="s">
        <v>145</v>
      </c>
      <c r="C15" s="4" t="s">
        <v>146</v>
      </c>
      <c r="D15" s="4" t="s">
        <v>147</v>
      </c>
      <c r="E15" s="4"/>
      <c r="F15" s="4" t="s">
        <v>148</v>
      </c>
      <c r="G15" s="5">
        <v>333032</v>
      </c>
      <c r="H15" s="5" t="s">
        <v>44</v>
      </c>
      <c r="I15" s="5" t="s">
        <v>149</v>
      </c>
      <c r="J15" s="3" t="s">
        <v>150</v>
      </c>
      <c r="K15" s="6">
        <v>5.3</v>
      </c>
      <c r="L15" s="3" t="s">
        <v>26</v>
      </c>
      <c r="M15" s="7"/>
      <c r="N15" s="4" t="s">
        <v>151</v>
      </c>
      <c r="O15" s="4"/>
      <c r="P15" s="4" t="s">
        <v>29</v>
      </c>
      <c r="Q15" s="4" t="s">
        <v>30</v>
      </c>
      <c r="R15" s="4"/>
      <c r="S15" s="4" t="str">
        <f t="shared" si="0"/>
        <v>333032</v>
      </c>
    </row>
    <row r="16" spans="1:19" ht="26">
      <c r="A16" s="2" t="s">
        <v>152</v>
      </c>
      <c r="B16" s="3" t="s">
        <v>112</v>
      </c>
      <c r="C16" s="4" t="s">
        <v>153</v>
      </c>
      <c r="D16" s="4" t="s">
        <v>154</v>
      </c>
      <c r="E16" s="4"/>
      <c r="F16" s="4" t="s">
        <v>148</v>
      </c>
      <c r="G16" s="5">
        <v>333095</v>
      </c>
      <c r="H16" s="5" t="s">
        <v>44</v>
      </c>
      <c r="I16" s="5" t="s">
        <v>155</v>
      </c>
      <c r="J16" s="3" t="s">
        <v>156</v>
      </c>
      <c r="K16" s="6">
        <v>8.85</v>
      </c>
      <c r="L16" s="3" t="s">
        <v>26</v>
      </c>
      <c r="M16" s="7"/>
      <c r="N16" s="4" t="s">
        <v>157</v>
      </c>
      <c r="O16" s="4"/>
      <c r="P16" s="4" t="s">
        <v>29</v>
      </c>
      <c r="Q16" s="4" t="s">
        <v>30</v>
      </c>
      <c r="R16" s="4"/>
      <c r="S16" s="4" t="str">
        <f t="shared" si="0"/>
        <v>333095</v>
      </c>
    </row>
    <row r="17" spans="1:19" ht="26">
      <c r="A17" s="2" t="s">
        <v>158</v>
      </c>
      <c r="B17" s="3" t="s">
        <v>59</v>
      </c>
      <c r="C17" s="4" t="s">
        <v>159</v>
      </c>
      <c r="D17" s="4" t="s">
        <v>160</v>
      </c>
      <c r="E17" s="4" t="s">
        <v>62</v>
      </c>
      <c r="F17" s="4" t="s">
        <v>161</v>
      </c>
      <c r="G17" s="5" t="s">
        <v>162</v>
      </c>
      <c r="H17" s="5" t="s">
        <v>44</v>
      </c>
      <c r="I17" s="5" t="s">
        <v>163</v>
      </c>
      <c r="J17" s="3" t="s">
        <v>164</v>
      </c>
      <c r="K17" s="6">
        <v>0.83</v>
      </c>
      <c r="L17" s="3" t="s">
        <v>26</v>
      </c>
      <c r="M17" s="7"/>
      <c r="N17" s="4" t="s">
        <v>165</v>
      </c>
      <c r="O17" s="4" t="s">
        <v>166</v>
      </c>
      <c r="P17" s="4" t="s">
        <v>29</v>
      </c>
      <c r="Q17" s="4" t="s">
        <v>30</v>
      </c>
      <c r="R17" s="4" t="s">
        <v>167</v>
      </c>
      <c r="S17" s="4" t="str">
        <f t="shared" si="0"/>
        <v>ERA8AEB104V</v>
      </c>
    </row>
    <row r="18" spans="1:19" ht="13">
      <c r="A18" s="2" t="s">
        <v>168</v>
      </c>
      <c r="B18" s="3" t="s">
        <v>59</v>
      </c>
      <c r="C18" s="4" t="s">
        <v>169</v>
      </c>
      <c r="D18" s="4" t="s">
        <v>170</v>
      </c>
      <c r="E18" s="4" t="s">
        <v>62</v>
      </c>
      <c r="F18" s="4" t="s">
        <v>171</v>
      </c>
      <c r="G18" s="5" t="s">
        <v>172</v>
      </c>
      <c r="H18" s="5" t="s">
        <v>44</v>
      </c>
      <c r="I18" s="5" t="s">
        <v>173</v>
      </c>
      <c r="J18" s="3" t="s">
        <v>174</v>
      </c>
      <c r="K18" s="6">
        <v>0.06</v>
      </c>
      <c r="L18" s="3" t="s">
        <v>26</v>
      </c>
      <c r="M18" s="7"/>
      <c r="N18" s="4" t="s">
        <v>175</v>
      </c>
      <c r="O18" s="4" t="s">
        <v>176</v>
      </c>
      <c r="P18" s="4" t="s">
        <v>29</v>
      </c>
      <c r="Q18" s="4" t="s">
        <v>30</v>
      </c>
      <c r="R18" s="4"/>
      <c r="S18" s="4" t="str">
        <f t="shared" si="0"/>
        <v>RC1206JR-07100RL</v>
      </c>
    </row>
    <row r="19" spans="1:19" ht="13">
      <c r="A19" s="2" t="s">
        <v>177</v>
      </c>
      <c r="B19" s="3" t="s">
        <v>59</v>
      </c>
      <c r="C19" s="4" t="s">
        <v>178</v>
      </c>
      <c r="D19" s="4" t="s">
        <v>179</v>
      </c>
      <c r="E19" s="4" t="s">
        <v>62</v>
      </c>
      <c r="F19" s="4" t="s">
        <v>161</v>
      </c>
      <c r="G19" s="5" t="s">
        <v>180</v>
      </c>
      <c r="H19" s="5" t="s">
        <v>44</v>
      </c>
      <c r="I19" s="5" t="s">
        <v>181</v>
      </c>
      <c r="J19" s="3" t="s">
        <v>182</v>
      </c>
      <c r="K19" s="6">
        <v>0.75</v>
      </c>
      <c r="L19" s="3" t="s">
        <v>26</v>
      </c>
      <c r="M19" s="7"/>
      <c r="N19" s="4" t="s">
        <v>142</v>
      </c>
      <c r="O19" s="4" t="s">
        <v>183</v>
      </c>
      <c r="P19" s="4" t="s">
        <v>29</v>
      </c>
      <c r="Q19" s="4" t="s">
        <v>30</v>
      </c>
      <c r="R19" s="4" t="s">
        <v>184</v>
      </c>
      <c r="S19" s="4" t="str">
        <f t="shared" si="0"/>
        <v>ERA8AEB103V</v>
      </c>
    </row>
    <row r="20" spans="1:19" ht="13">
      <c r="A20" s="2" t="s">
        <v>185</v>
      </c>
      <c r="B20" s="3" t="s">
        <v>39</v>
      </c>
      <c r="C20" s="4" t="s">
        <v>186</v>
      </c>
      <c r="D20" s="4" t="s">
        <v>187</v>
      </c>
      <c r="E20" s="4" t="s">
        <v>188</v>
      </c>
      <c r="F20" s="4" t="s">
        <v>189</v>
      </c>
      <c r="G20" s="5">
        <v>10120505</v>
      </c>
      <c r="H20" s="5" t="s">
        <v>44</v>
      </c>
      <c r="I20" s="5" t="s">
        <v>190</v>
      </c>
      <c r="J20" s="3" t="s">
        <v>191</v>
      </c>
      <c r="K20" s="6">
        <v>0.31</v>
      </c>
      <c r="L20" s="3" t="s">
        <v>26</v>
      </c>
      <c r="M20" s="7"/>
      <c r="N20" s="4" t="s">
        <v>142</v>
      </c>
      <c r="O20" s="4" t="s">
        <v>192</v>
      </c>
      <c r="P20" s="4" t="s">
        <v>29</v>
      </c>
      <c r="Q20" s="4" t="s">
        <v>30</v>
      </c>
      <c r="R20" s="4"/>
      <c r="S20" s="4" t="str">
        <f t="shared" si="0"/>
        <v>10120505</v>
      </c>
    </row>
    <row r="21" spans="1:19" ht="13">
      <c r="A21" s="2" t="s">
        <v>193</v>
      </c>
      <c r="B21" s="3" t="s">
        <v>194</v>
      </c>
      <c r="C21" s="4" t="s">
        <v>195</v>
      </c>
      <c r="D21" s="4" t="s">
        <v>196</v>
      </c>
      <c r="E21" s="4" t="s">
        <v>197</v>
      </c>
      <c r="F21" s="4" t="s">
        <v>198</v>
      </c>
      <c r="G21" s="5" t="s">
        <v>199</v>
      </c>
      <c r="H21" s="5" t="s">
        <v>44</v>
      </c>
      <c r="I21" s="5" t="s">
        <v>200</v>
      </c>
      <c r="J21" s="3" t="s">
        <v>201</v>
      </c>
      <c r="K21" s="6">
        <v>1.1000000000000001</v>
      </c>
      <c r="L21" s="3" t="s">
        <v>26</v>
      </c>
      <c r="M21" s="7"/>
      <c r="N21" s="4" t="s">
        <v>142</v>
      </c>
      <c r="O21" s="4" t="s">
        <v>202</v>
      </c>
      <c r="P21" s="4" t="s">
        <v>29</v>
      </c>
      <c r="Q21" s="4" t="s">
        <v>30</v>
      </c>
      <c r="R21" s="4"/>
      <c r="S21" s="4" t="str">
        <f t="shared" si="0"/>
        <v>ICM7555IBAZ</v>
      </c>
    </row>
    <row r="22" spans="1:19" ht="13">
      <c r="A22" s="2" t="s">
        <v>203</v>
      </c>
      <c r="B22" s="3" t="s">
        <v>39</v>
      </c>
      <c r="C22" s="4" t="s">
        <v>204</v>
      </c>
      <c r="D22" s="4" t="s">
        <v>205</v>
      </c>
      <c r="E22" s="4"/>
      <c r="F22" s="4" t="s">
        <v>43</v>
      </c>
      <c r="G22" s="5" t="s">
        <v>206</v>
      </c>
      <c r="H22" s="5" t="s">
        <v>44</v>
      </c>
      <c r="I22" s="5" t="s">
        <v>207</v>
      </c>
      <c r="J22" s="3" t="s">
        <v>208</v>
      </c>
      <c r="K22" s="6">
        <v>1.7</v>
      </c>
      <c r="L22" s="3" t="s">
        <v>26</v>
      </c>
      <c r="M22" s="7"/>
      <c r="N22" s="4" t="s">
        <v>209</v>
      </c>
      <c r="O22" s="4"/>
      <c r="P22" s="4" t="s">
        <v>29</v>
      </c>
      <c r="Q22" s="4" t="s">
        <v>30</v>
      </c>
      <c r="R22" s="4"/>
      <c r="S22" s="4" t="str">
        <f t="shared" si="0"/>
        <v>BL 3 8 G</v>
      </c>
    </row>
    <row r="23" spans="1:19" ht="15">
      <c r="A23" s="2" t="s">
        <v>210</v>
      </c>
      <c r="B23" s="3" t="s">
        <v>59</v>
      </c>
      <c r="C23" s="17" t="s">
        <v>211</v>
      </c>
      <c r="D23" s="4" t="s">
        <v>212</v>
      </c>
      <c r="E23" s="4" t="s">
        <v>62</v>
      </c>
      <c r="F23" s="4" t="s">
        <v>213</v>
      </c>
      <c r="G23" s="5" t="s">
        <v>214</v>
      </c>
      <c r="H23" s="5" t="s">
        <v>44</v>
      </c>
      <c r="I23" s="5" t="s">
        <v>215</v>
      </c>
      <c r="J23" s="3" t="s">
        <v>216</v>
      </c>
      <c r="K23" s="6">
        <v>0.02</v>
      </c>
      <c r="L23" s="3" t="s">
        <v>26</v>
      </c>
      <c r="M23" s="7"/>
      <c r="N23" s="4" t="s">
        <v>209</v>
      </c>
      <c r="O23" s="4"/>
      <c r="P23" s="4" t="s">
        <v>29</v>
      </c>
      <c r="Q23" s="4" t="s">
        <v>30</v>
      </c>
      <c r="R23" s="4"/>
      <c r="S23" s="4" t="str">
        <f t="shared" si="0"/>
        <v>RND 1551206S4J0470T5E</v>
      </c>
    </row>
    <row r="24" spans="1:19" ht="13">
      <c r="A24" s="2" t="s">
        <v>217</v>
      </c>
      <c r="B24" s="3" t="s">
        <v>218</v>
      </c>
      <c r="C24" s="4" t="s">
        <v>219</v>
      </c>
      <c r="D24" s="4" t="s">
        <v>220</v>
      </c>
      <c r="E24" s="4" t="s">
        <v>221</v>
      </c>
      <c r="F24" s="4" t="s">
        <v>222</v>
      </c>
      <c r="G24" s="5" t="s">
        <v>223</v>
      </c>
      <c r="H24" s="5" t="s">
        <v>44</v>
      </c>
      <c r="I24" s="5" t="s">
        <v>224</v>
      </c>
      <c r="J24" s="3" t="s">
        <v>225</v>
      </c>
      <c r="K24" s="6">
        <v>5.8</v>
      </c>
      <c r="L24" s="3" t="s">
        <v>26</v>
      </c>
      <c r="M24" s="7"/>
      <c r="N24" s="4" t="s">
        <v>226</v>
      </c>
      <c r="O24" s="4" t="s">
        <v>227</v>
      </c>
      <c r="P24" s="4" t="s">
        <v>29</v>
      </c>
      <c r="Q24" s="4" t="s">
        <v>30</v>
      </c>
      <c r="R24" s="4"/>
      <c r="S24" s="4" t="str">
        <f t="shared" si="0"/>
        <v>34.51.7.005.0010</v>
      </c>
    </row>
    <row r="25" spans="1:19" ht="39">
      <c r="A25" s="2" t="s">
        <v>228</v>
      </c>
      <c r="B25" s="3" t="s">
        <v>194</v>
      </c>
      <c r="C25" s="4" t="s">
        <v>229</v>
      </c>
      <c r="D25" s="4" t="s">
        <v>230</v>
      </c>
      <c r="E25" s="4" t="s">
        <v>231</v>
      </c>
      <c r="F25" s="4" t="s">
        <v>232</v>
      </c>
      <c r="G25" s="5" t="s">
        <v>233</v>
      </c>
      <c r="H25" s="5"/>
      <c r="I25" s="5"/>
      <c r="J25" s="3"/>
      <c r="K25" s="6"/>
      <c r="L25" s="3" t="s">
        <v>26</v>
      </c>
      <c r="M25" s="7"/>
      <c r="N25" s="4" t="s">
        <v>234</v>
      </c>
      <c r="O25" s="4" t="s">
        <v>235</v>
      </c>
      <c r="P25" s="4" t="s">
        <v>236</v>
      </c>
      <c r="Q25" s="4" t="s">
        <v>30</v>
      </c>
      <c r="R25" s="4" t="s">
        <v>237</v>
      </c>
      <c r="S25" s="4" t="str">
        <f t="shared" si="0"/>
        <v>24AA025E64T-I/OT</v>
      </c>
    </row>
    <row r="26" spans="1:19" ht="13">
      <c r="A26" s="2" t="s">
        <v>238</v>
      </c>
      <c r="B26" s="3" t="s">
        <v>39</v>
      </c>
      <c r="C26" s="4" t="s">
        <v>239</v>
      </c>
      <c r="D26" s="4" t="s">
        <v>240</v>
      </c>
      <c r="E26" s="4" t="s">
        <v>241</v>
      </c>
      <c r="F26" s="4" t="s">
        <v>23</v>
      </c>
      <c r="G26" s="5" t="s">
        <v>242</v>
      </c>
      <c r="H26" s="5" t="s">
        <v>44</v>
      </c>
      <c r="I26" s="5" t="s">
        <v>243</v>
      </c>
      <c r="J26" s="3" t="s">
        <v>244</v>
      </c>
      <c r="K26" s="6">
        <v>0.17</v>
      </c>
      <c r="L26" s="3" t="s">
        <v>26</v>
      </c>
      <c r="M26" s="7"/>
      <c r="N26" s="4" t="s">
        <v>27</v>
      </c>
      <c r="O26" s="4" t="s">
        <v>245</v>
      </c>
      <c r="P26" s="4" t="s">
        <v>246</v>
      </c>
      <c r="Q26" s="4" t="s">
        <v>30</v>
      </c>
      <c r="R26" s="4" t="s">
        <v>247</v>
      </c>
      <c r="S26" s="4" t="str">
        <f t="shared" si="0"/>
        <v>B4B-PH-K-S</v>
      </c>
    </row>
    <row r="27" spans="1:19" ht="26">
      <c r="A27" s="2" t="s">
        <v>248</v>
      </c>
      <c r="B27" s="3" t="s">
        <v>39</v>
      </c>
      <c r="C27" s="4" t="s">
        <v>249</v>
      </c>
      <c r="D27" s="4" t="s">
        <v>250</v>
      </c>
      <c r="E27" s="4" t="s">
        <v>251</v>
      </c>
      <c r="F27" s="4" t="s">
        <v>23</v>
      </c>
      <c r="G27" s="5" t="s">
        <v>252</v>
      </c>
      <c r="H27" s="5" t="s">
        <v>253</v>
      </c>
      <c r="I27" s="5" t="s">
        <v>254</v>
      </c>
      <c r="J27" s="3" t="s">
        <v>255</v>
      </c>
      <c r="K27" s="6">
        <v>0.57999999999999996</v>
      </c>
      <c r="L27" s="3" t="s">
        <v>26</v>
      </c>
      <c r="M27" s="7">
        <v>10</v>
      </c>
      <c r="N27" s="4" t="s">
        <v>256</v>
      </c>
      <c r="O27" s="4" t="s">
        <v>257</v>
      </c>
      <c r="P27" s="4" t="s">
        <v>246</v>
      </c>
      <c r="Q27" s="4" t="s">
        <v>30</v>
      </c>
      <c r="R27" s="4" t="s">
        <v>258</v>
      </c>
      <c r="S27" s="4" t="str">
        <f t="shared" si="0"/>
        <v>SM04B-SRSS-TB</v>
      </c>
    </row>
    <row r="28" spans="1:19" ht="26">
      <c r="A28" s="2" t="s">
        <v>259</v>
      </c>
      <c r="B28" s="3" t="s">
        <v>194</v>
      </c>
      <c r="C28" s="4" t="s">
        <v>260</v>
      </c>
      <c r="D28" s="4" t="s">
        <v>261</v>
      </c>
      <c r="E28" s="4" t="s">
        <v>262</v>
      </c>
      <c r="F28" s="4" t="s">
        <v>105</v>
      </c>
      <c r="G28" s="5" t="s">
        <v>261</v>
      </c>
      <c r="H28" s="5"/>
      <c r="I28" s="5"/>
      <c r="J28" s="3"/>
      <c r="K28" s="6"/>
      <c r="L28" s="3" t="s">
        <v>26</v>
      </c>
      <c r="M28" s="7"/>
      <c r="N28" s="4" t="s">
        <v>263</v>
      </c>
      <c r="O28" s="4" t="s">
        <v>264</v>
      </c>
      <c r="P28" s="4" t="s">
        <v>246</v>
      </c>
      <c r="Q28" s="4" t="s">
        <v>30</v>
      </c>
      <c r="R28" s="4" t="s">
        <v>265</v>
      </c>
      <c r="S28" s="4" t="str">
        <f t="shared" si="0"/>
        <v>ADS1115IDGS</v>
      </c>
    </row>
    <row r="29" spans="1:19" ht="13">
      <c r="A29" s="2" t="s">
        <v>266</v>
      </c>
      <c r="B29" s="3" t="s">
        <v>71</v>
      </c>
      <c r="C29" s="4" t="s">
        <v>267</v>
      </c>
      <c r="D29" s="4" t="s">
        <v>268</v>
      </c>
      <c r="E29" s="4" t="s">
        <v>74</v>
      </c>
      <c r="F29" s="4" t="s">
        <v>75</v>
      </c>
      <c r="G29" s="5" t="s">
        <v>269</v>
      </c>
      <c r="H29" s="5" t="s">
        <v>44</v>
      </c>
      <c r="I29" s="5" t="s">
        <v>269</v>
      </c>
      <c r="J29" s="3" t="s">
        <v>270</v>
      </c>
      <c r="K29" s="6">
        <v>0.16</v>
      </c>
      <c r="L29" s="3" t="s">
        <v>26</v>
      </c>
      <c r="M29" s="7"/>
      <c r="N29" s="4" t="s">
        <v>271</v>
      </c>
      <c r="O29" s="4" t="s">
        <v>272</v>
      </c>
      <c r="P29" s="4" t="s">
        <v>246</v>
      </c>
      <c r="Q29" s="4" t="s">
        <v>30</v>
      </c>
      <c r="R29" s="4"/>
      <c r="S29" s="4" t="str">
        <f t="shared" si="0"/>
        <v>12065C105JAT2A</v>
      </c>
    </row>
    <row r="30" spans="1:19" ht="13">
      <c r="A30" s="2" t="s">
        <v>273</v>
      </c>
      <c r="B30" s="3" t="s">
        <v>274</v>
      </c>
      <c r="C30" s="4" t="s">
        <v>275</v>
      </c>
      <c r="D30" s="4" t="s">
        <v>276</v>
      </c>
      <c r="E30" s="4" t="s">
        <v>138</v>
      </c>
      <c r="F30" s="4" t="s">
        <v>277</v>
      </c>
      <c r="G30" s="5" t="s">
        <v>276</v>
      </c>
      <c r="H30" s="5" t="s">
        <v>44</v>
      </c>
      <c r="I30" s="5" t="s">
        <v>278</v>
      </c>
      <c r="J30" s="3" t="s">
        <v>279</v>
      </c>
      <c r="K30" s="6">
        <v>0.04</v>
      </c>
      <c r="L30" s="3" t="s">
        <v>26</v>
      </c>
      <c r="M30" s="7"/>
      <c r="N30" s="4" t="s">
        <v>271</v>
      </c>
      <c r="O30" s="4" t="s">
        <v>280</v>
      </c>
      <c r="P30" s="4" t="s">
        <v>246</v>
      </c>
      <c r="Q30" s="4" t="s">
        <v>30</v>
      </c>
      <c r="R30" s="4" t="s">
        <v>281</v>
      </c>
      <c r="S30" s="4" t="str">
        <f t="shared" si="0"/>
        <v>BAT54S</v>
      </c>
    </row>
    <row r="31" spans="1:19" ht="39">
      <c r="A31" s="2" t="s">
        <v>282</v>
      </c>
      <c r="B31" s="3" t="s">
        <v>39</v>
      </c>
      <c r="C31" s="4" t="s">
        <v>283</v>
      </c>
      <c r="D31" s="4" t="s">
        <v>284</v>
      </c>
      <c r="E31" s="4" t="s">
        <v>285</v>
      </c>
      <c r="F31" s="4"/>
      <c r="G31" s="5"/>
      <c r="H31" s="5"/>
      <c r="I31" s="5"/>
      <c r="J31" s="3"/>
      <c r="K31" s="6"/>
      <c r="L31" s="3" t="s">
        <v>26</v>
      </c>
      <c r="M31" s="7"/>
      <c r="N31" s="4" t="s">
        <v>286</v>
      </c>
      <c r="O31" s="4" t="s">
        <v>287</v>
      </c>
      <c r="P31" s="4" t="s">
        <v>246</v>
      </c>
      <c r="Q31" s="4" t="s">
        <v>288</v>
      </c>
      <c r="R31" s="4" t="s">
        <v>289</v>
      </c>
      <c r="S31" s="4" t="str">
        <f t="shared" si="0"/>
        <v>BUCHSENLEISTE 2X4, VERTIKAL|PINSOCKET_2X04_P2.54MM_VERTICAL / ENVNODE BOTTOM-VARIANTE</v>
      </c>
    </row>
    <row r="32" spans="1:19" ht="39">
      <c r="A32" s="2" t="s">
        <v>290</v>
      </c>
      <c r="B32" s="3" t="s">
        <v>39</v>
      </c>
      <c r="C32" s="4" t="s">
        <v>291</v>
      </c>
      <c r="D32" s="4" t="s">
        <v>292</v>
      </c>
      <c r="E32" s="4" t="s">
        <v>293</v>
      </c>
      <c r="F32" s="4"/>
      <c r="G32" s="5"/>
      <c r="H32" s="5"/>
      <c r="I32" s="5"/>
      <c r="J32" s="3"/>
      <c r="K32" s="6"/>
      <c r="L32" s="3" t="s">
        <v>26</v>
      </c>
      <c r="M32" s="7"/>
      <c r="N32" s="4" t="s">
        <v>271</v>
      </c>
      <c r="O32" s="4" t="s">
        <v>294</v>
      </c>
      <c r="P32" s="4" t="s">
        <v>246</v>
      </c>
      <c r="Q32" s="4" t="s">
        <v>288</v>
      </c>
      <c r="R32" s="4"/>
      <c r="S32" s="4" t="str">
        <f t="shared" si="0"/>
        <v>BUCHSENLEISTE 1X2, VERTIKAL|CONNECTOR_PINSOCKET_2.54MM:PINSOCKET_1X02_P2.54MM_VERTICAL</v>
      </c>
    </row>
    <row r="33" spans="1:19" ht="26">
      <c r="A33" s="2" t="s">
        <v>295</v>
      </c>
      <c r="B33" s="3" t="s">
        <v>59</v>
      </c>
      <c r="C33" s="4" t="s">
        <v>296</v>
      </c>
      <c r="D33" s="4" t="s">
        <v>297</v>
      </c>
      <c r="E33" s="4" t="s">
        <v>298</v>
      </c>
      <c r="F33" s="4" t="s">
        <v>299</v>
      </c>
      <c r="G33" s="5" t="s">
        <v>300</v>
      </c>
      <c r="H33" s="5" t="s">
        <v>44</v>
      </c>
      <c r="I33" s="5" t="s">
        <v>301</v>
      </c>
      <c r="J33" s="3" t="s">
        <v>302</v>
      </c>
      <c r="K33" s="6">
        <v>1.3</v>
      </c>
      <c r="L33" s="3" t="s">
        <v>26</v>
      </c>
      <c r="M33" s="7"/>
      <c r="N33" s="4" t="s">
        <v>271</v>
      </c>
      <c r="O33" s="4" t="s">
        <v>303</v>
      </c>
      <c r="P33" s="4" t="s">
        <v>246</v>
      </c>
      <c r="Q33" s="4" t="s">
        <v>30</v>
      </c>
      <c r="R33" s="4"/>
      <c r="S33" s="4" t="str">
        <f t="shared" si="0"/>
        <v>MRA0207 150R B 15PPM TA</v>
      </c>
    </row>
    <row r="34" spans="1:19" ht="13">
      <c r="A34" s="2" t="s">
        <v>304</v>
      </c>
      <c r="B34" s="3" t="s">
        <v>274</v>
      </c>
      <c r="C34" s="4" t="s">
        <v>305</v>
      </c>
      <c r="D34" s="4" t="s">
        <v>306</v>
      </c>
      <c r="E34" s="4" t="s">
        <v>307</v>
      </c>
      <c r="F34" s="4" t="s">
        <v>277</v>
      </c>
      <c r="G34" s="5" t="s">
        <v>306</v>
      </c>
      <c r="H34" s="5" t="s">
        <v>44</v>
      </c>
      <c r="I34" s="5" t="s">
        <v>308</v>
      </c>
      <c r="J34" s="3" t="s">
        <v>309</v>
      </c>
      <c r="K34" s="6">
        <v>0.02</v>
      </c>
      <c r="L34" s="3" t="s">
        <v>26</v>
      </c>
      <c r="M34" s="7"/>
      <c r="N34" s="4" t="s">
        <v>226</v>
      </c>
      <c r="O34" s="4" t="s">
        <v>310</v>
      </c>
      <c r="P34" s="4" t="s">
        <v>246</v>
      </c>
      <c r="Q34" s="4" t="s">
        <v>30</v>
      </c>
      <c r="R34" s="4"/>
      <c r="S34" s="4" t="str">
        <f t="shared" ref="S34:S54" si="1">IF(G34&lt;&gt;"",UPPER(TRIM(G34)),UPPER(TRIM(C34&amp;"|"&amp;E34)))</f>
        <v>1N4148W</v>
      </c>
    </row>
    <row r="35" spans="1:19" ht="52">
      <c r="A35" s="2" t="s">
        <v>311</v>
      </c>
      <c r="B35" s="3" t="s">
        <v>39</v>
      </c>
      <c r="C35" s="4" t="s">
        <v>312</v>
      </c>
      <c r="D35" s="4" t="s">
        <v>313</v>
      </c>
      <c r="E35" s="4" t="s">
        <v>314</v>
      </c>
      <c r="F35" s="4" t="s">
        <v>315</v>
      </c>
      <c r="G35" s="5"/>
      <c r="H35" s="5"/>
      <c r="I35" s="5"/>
      <c r="J35" s="3"/>
      <c r="K35" s="6"/>
      <c r="L35" s="3" t="s">
        <v>26</v>
      </c>
      <c r="M35" s="7"/>
      <c r="N35" s="4" t="s">
        <v>226</v>
      </c>
      <c r="O35" s="4" t="s">
        <v>316</v>
      </c>
      <c r="P35" s="4" t="s">
        <v>246</v>
      </c>
      <c r="Q35" s="4" t="s">
        <v>30</v>
      </c>
      <c r="R35" s="4" t="s">
        <v>317</v>
      </c>
      <c r="S35" s="4" t="str">
        <f t="shared" si="1"/>
        <v>SCHRAUBKLEMME 1X3, HORIZONTAL|TERMINALBLOCK_PHOENIX:TERMINALBLOCK_PHOENIX_MKDS-3-3-5.08_1X03_P5.08MM_HORIZONTAL</v>
      </c>
    </row>
    <row r="36" spans="1:19" ht="13">
      <c r="A36" s="2" t="s">
        <v>318</v>
      </c>
      <c r="B36" s="3" t="s">
        <v>319</v>
      </c>
      <c r="C36" s="4" t="s">
        <v>320</v>
      </c>
      <c r="D36" s="4" t="s">
        <v>321</v>
      </c>
      <c r="E36" s="4" t="s">
        <v>322</v>
      </c>
      <c r="F36" s="4" t="s">
        <v>277</v>
      </c>
      <c r="G36" s="5" t="s">
        <v>321</v>
      </c>
      <c r="H36" s="5" t="s">
        <v>44</v>
      </c>
      <c r="I36" s="5" t="s">
        <v>323</v>
      </c>
      <c r="J36" s="3" t="s">
        <v>324</v>
      </c>
      <c r="K36" s="6">
        <v>0.02</v>
      </c>
      <c r="L36" s="3" t="s">
        <v>26</v>
      </c>
      <c r="M36" s="7"/>
      <c r="N36" s="4" t="s">
        <v>226</v>
      </c>
      <c r="O36" s="4" t="s">
        <v>325</v>
      </c>
      <c r="P36" s="4" t="s">
        <v>246</v>
      </c>
      <c r="Q36" s="4" t="s">
        <v>30</v>
      </c>
      <c r="R36" s="4"/>
      <c r="S36" s="4" t="str">
        <f t="shared" si="1"/>
        <v>BC817</v>
      </c>
    </row>
    <row r="37" spans="1:19" ht="13">
      <c r="A37" s="2" t="s">
        <v>326</v>
      </c>
      <c r="B37" s="3" t="s">
        <v>59</v>
      </c>
      <c r="C37" s="4" t="s">
        <v>327</v>
      </c>
      <c r="D37" s="4" t="s">
        <v>328</v>
      </c>
      <c r="E37" s="4" t="s">
        <v>62</v>
      </c>
      <c r="F37" s="4" t="s">
        <v>63</v>
      </c>
      <c r="G37" s="5" t="s">
        <v>329</v>
      </c>
      <c r="H37" s="5" t="s">
        <v>44</v>
      </c>
      <c r="I37" s="5" t="s">
        <v>330</v>
      </c>
      <c r="J37" s="3" t="s">
        <v>331</v>
      </c>
      <c r="K37" s="6">
        <v>0.14000000000000001</v>
      </c>
      <c r="L37" s="3" t="s">
        <v>26</v>
      </c>
      <c r="M37" s="7"/>
      <c r="N37" s="4" t="s">
        <v>226</v>
      </c>
      <c r="O37" s="4" t="s">
        <v>332</v>
      </c>
      <c r="P37" s="4" t="s">
        <v>246</v>
      </c>
      <c r="Q37" s="4" t="s">
        <v>30</v>
      </c>
      <c r="R37" s="4"/>
      <c r="S37" s="4" t="str">
        <f t="shared" si="1"/>
        <v>CRCW12061K00FKEA</v>
      </c>
    </row>
    <row r="38" spans="1:19" ht="32">
      <c r="A38" s="2" t="s">
        <v>333</v>
      </c>
      <c r="B38" s="3" t="s">
        <v>71</v>
      </c>
      <c r="C38" s="4" t="s">
        <v>334</v>
      </c>
      <c r="D38" s="4" t="s">
        <v>335</v>
      </c>
      <c r="E38" s="4" t="s">
        <v>336</v>
      </c>
      <c r="F38" s="4" t="s">
        <v>337</v>
      </c>
      <c r="G38" s="5" t="s">
        <v>338</v>
      </c>
      <c r="H38" s="5" t="s">
        <v>44</v>
      </c>
      <c r="I38" s="5" t="s">
        <v>339</v>
      </c>
      <c r="J38" s="18" t="s">
        <v>340</v>
      </c>
      <c r="K38" s="6">
        <v>0.61</v>
      </c>
      <c r="L38" s="3" t="s">
        <v>26</v>
      </c>
      <c r="M38" s="7"/>
      <c r="N38" s="4" t="s">
        <v>341</v>
      </c>
      <c r="O38" s="4" t="s">
        <v>342</v>
      </c>
      <c r="P38" s="4" t="s">
        <v>246</v>
      </c>
      <c r="Q38" s="4" t="s">
        <v>30</v>
      </c>
      <c r="S38" s="4" t="str">
        <f t="shared" si="1"/>
        <v>HHXC500ARA470MHA0G</v>
      </c>
    </row>
    <row r="39" spans="1:19" ht="13">
      <c r="A39" s="2" t="s">
        <v>343</v>
      </c>
      <c r="B39" s="3" t="s">
        <v>274</v>
      </c>
      <c r="C39" s="4" t="s">
        <v>344</v>
      </c>
      <c r="D39" s="4" t="s">
        <v>345</v>
      </c>
      <c r="E39" s="4" t="s">
        <v>346</v>
      </c>
      <c r="F39" s="4" t="s">
        <v>347</v>
      </c>
      <c r="G39" s="5" t="s">
        <v>348</v>
      </c>
      <c r="H39" s="5" t="s">
        <v>44</v>
      </c>
      <c r="I39" s="5" t="s">
        <v>349</v>
      </c>
      <c r="J39" s="3" t="s">
        <v>350</v>
      </c>
      <c r="K39" s="6">
        <v>0.25</v>
      </c>
      <c r="L39" s="3" t="s">
        <v>26</v>
      </c>
      <c r="M39" s="7"/>
      <c r="N39" s="4" t="s">
        <v>341</v>
      </c>
      <c r="O39" s="4" t="s">
        <v>351</v>
      </c>
      <c r="P39" s="4" t="s">
        <v>246</v>
      </c>
      <c r="Q39" s="4" t="s">
        <v>30</v>
      </c>
      <c r="R39" s="4"/>
      <c r="S39" s="4" t="str">
        <f t="shared" si="1"/>
        <v>STPS3L60S</v>
      </c>
    </row>
    <row r="40" spans="1:19" ht="13">
      <c r="A40" s="2" t="s">
        <v>352</v>
      </c>
      <c r="B40" s="3" t="s">
        <v>353</v>
      </c>
      <c r="C40" s="4" t="s">
        <v>354</v>
      </c>
      <c r="D40" s="4" t="s">
        <v>355</v>
      </c>
      <c r="E40" s="4" t="s">
        <v>346</v>
      </c>
      <c r="F40" s="4" t="s">
        <v>356</v>
      </c>
      <c r="G40" s="5" t="s">
        <v>357</v>
      </c>
      <c r="H40" s="5" t="s">
        <v>44</v>
      </c>
      <c r="I40" s="5" t="s">
        <v>358</v>
      </c>
      <c r="J40" s="3" t="s">
        <v>359</v>
      </c>
      <c r="K40" s="6">
        <v>0.3</v>
      </c>
      <c r="L40" s="3" t="s">
        <v>26</v>
      </c>
      <c r="M40" s="7"/>
      <c r="N40" s="4" t="s">
        <v>341</v>
      </c>
      <c r="O40" s="4" t="s">
        <v>360</v>
      </c>
      <c r="P40" s="4" t="s">
        <v>246</v>
      </c>
      <c r="Q40" s="4" t="s">
        <v>30</v>
      </c>
      <c r="R40" s="4"/>
      <c r="S40" s="4" t="str">
        <f t="shared" si="1"/>
        <v>SMBJ24A</v>
      </c>
    </row>
    <row r="41" spans="1:19" ht="26">
      <c r="A41" s="2" t="s">
        <v>361</v>
      </c>
      <c r="B41" s="3" t="s">
        <v>362</v>
      </c>
      <c r="C41" s="4" t="s">
        <v>363</v>
      </c>
      <c r="D41" s="4" t="s">
        <v>364</v>
      </c>
      <c r="E41" s="4" t="s">
        <v>365</v>
      </c>
      <c r="F41" s="4" t="s">
        <v>356</v>
      </c>
      <c r="G41" s="5"/>
      <c r="H41" s="5"/>
      <c r="I41" s="5"/>
      <c r="J41" s="3"/>
      <c r="K41" s="6"/>
      <c r="L41" s="3" t="s">
        <v>26</v>
      </c>
      <c r="M41" s="7"/>
      <c r="N41" s="4" t="s">
        <v>341</v>
      </c>
      <c r="O41" s="4" t="s">
        <v>366</v>
      </c>
      <c r="P41" s="4" t="s">
        <v>246</v>
      </c>
      <c r="Q41" s="4" t="s">
        <v>288</v>
      </c>
      <c r="R41" s="4" t="s">
        <v>367</v>
      </c>
      <c r="S41" s="4" t="str">
        <f t="shared" si="1"/>
        <v>SICHERUNG 2 A|FUSE:FUSE_LITTELFUSE-NANO2-451_453</v>
      </c>
    </row>
    <row r="42" spans="1:19" ht="26">
      <c r="A42" s="2" t="s">
        <v>368</v>
      </c>
      <c r="B42" s="3" t="s">
        <v>39</v>
      </c>
      <c r="C42" s="4" t="s">
        <v>369</v>
      </c>
      <c r="D42" s="4" t="s">
        <v>370</v>
      </c>
      <c r="E42" s="4" t="s">
        <v>371</v>
      </c>
      <c r="F42" s="4" t="s">
        <v>372</v>
      </c>
      <c r="G42" s="5" t="s">
        <v>373</v>
      </c>
      <c r="H42" s="5"/>
      <c r="I42" s="5"/>
      <c r="J42" s="3"/>
      <c r="K42" s="6"/>
      <c r="L42" s="3" t="s">
        <v>26</v>
      </c>
      <c r="M42" s="7"/>
      <c r="N42" s="4" t="s">
        <v>341</v>
      </c>
      <c r="O42" s="4" t="s">
        <v>374</v>
      </c>
      <c r="P42" s="4" t="s">
        <v>246</v>
      </c>
      <c r="Q42" s="4" t="s">
        <v>288</v>
      </c>
      <c r="R42" s="4"/>
      <c r="S42" s="4" t="str">
        <f t="shared" si="1"/>
        <v>205-00001</v>
      </c>
    </row>
    <row r="43" spans="1:19" ht="13">
      <c r="A43" s="2" t="s">
        <v>375</v>
      </c>
      <c r="B43" s="3" t="s">
        <v>376</v>
      </c>
      <c r="C43" s="4" t="s">
        <v>377</v>
      </c>
      <c r="D43" s="4" t="s">
        <v>378</v>
      </c>
      <c r="E43" s="4" t="s">
        <v>379</v>
      </c>
      <c r="F43" s="4" t="s">
        <v>380</v>
      </c>
      <c r="G43" s="5" t="s">
        <v>378</v>
      </c>
      <c r="H43" s="5" t="s">
        <v>44</v>
      </c>
      <c r="I43" s="5" t="s">
        <v>378</v>
      </c>
      <c r="J43" s="3" t="s">
        <v>381</v>
      </c>
      <c r="K43" s="6">
        <v>6.85</v>
      </c>
      <c r="L43" s="3" t="s">
        <v>26</v>
      </c>
      <c r="M43" s="7"/>
      <c r="N43" s="4" t="s">
        <v>341</v>
      </c>
      <c r="O43" s="4" t="s">
        <v>382</v>
      </c>
      <c r="P43" s="4" t="s">
        <v>246</v>
      </c>
      <c r="Q43" s="4" t="s">
        <v>30</v>
      </c>
      <c r="R43" s="4"/>
      <c r="S43" s="4" t="str">
        <f t="shared" si="1"/>
        <v>TSR 1-2450</v>
      </c>
    </row>
    <row r="44" spans="1:19" ht="13">
      <c r="A44" s="2" t="s">
        <v>383</v>
      </c>
      <c r="B44" s="3" t="s">
        <v>376</v>
      </c>
      <c r="C44" s="4" t="s">
        <v>384</v>
      </c>
      <c r="D44" s="4" t="s">
        <v>385</v>
      </c>
      <c r="E44" s="4" t="s">
        <v>379</v>
      </c>
      <c r="F44" s="4" t="s">
        <v>380</v>
      </c>
      <c r="G44" s="5" t="s">
        <v>385</v>
      </c>
      <c r="H44" s="5" t="s">
        <v>44</v>
      </c>
      <c r="I44" s="5" t="s">
        <v>385</v>
      </c>
      <c r="J44" s="3" t="s">
        <v>386</v>
      </c>
      <c r="K44" s="6">
        <v>6.85</v>
      </c>
      <c r="L44" s="3" t="s">
        <v>26</v>
      </c>
      <c r="M44" s="7"/>
      <c r="N44" s="4" t="s">
        <v>341</v>
      </c>
      <c r="O44" s="4" t="s">
        <v>387</v>
      </c>
      <c r="P44" s="4" t="s">
        <v>246</v>
      </c>
      <c r="Q44" s="4" t="s">
        <v>30</v>
      </c>
      <c r="R44" s="4" t="s">
        <v>388</v>
      </c>
      <c r="S44" s="4" t="str">
        <f t="shared" si="1"/>
        <v>TSR 1-2433</v>
      </c>
    </row>
    <row r="45" spans="1:19" ht="13">
      <c r="A45" s="2" t="s">
        <v>389</v>
      </c>
      <c r="B45" s="3" t="s">
        <v>71</v>
      </c>
      <c r="C45" s="4" t="s">
        <v>390</v>
      </c>
      <c r="D45" s="4" t="s">
        <v>391</v>
      </c>
      <c r="E45" s="4" t="s">
        <v>74</v>
      </c>
      <c r="F45" s="4" t="s">
        <v>75</v>
      </c>
      <c r="G45" s="5" t="s">
        <v>392</v>
      </c>
      <c r="H45" s="5" t="s">
        <v>44</v>
      </c>
      <c r="I45" s="5" t="s">
        <v>392</v>
      </c>
      <c r="J45" s="3" t="s">
        <v>393</v>
      </c>
      <c r="K45" s="6">
        <v>0.12</v>
      </c>
      <c r="L45" s="3" t="s">
        <v>26</v>
      </c>
      <c r="M45" s="7"/>
      <c r="N45" s="4" t="s">
        <v>394</v>
      </c>
      <c r="O45" s="4" t="s">
        <v>395</v>
      </c>
      <c r="P45" s="4" t="s">
        <v>246</v>
      </c>
      <c r="Q45" s="4" t="s">
        <v>30</v>
      </c>
      <c r="R45" s="4"/>
      <c r="S45" s="4" t="str">
        <f t="shared" si="1"/>
        <v>12061C103JAT2A</v>
      </c>
    </row>
    <row r="46" spans="1:19" ht="26">
      <c r="A46" s="2" t="s">
        <v>396</v>
      </c>
      <c r="B46" s="3" t="s">
        <v>59</v>
      </c>
      <c r="C46" s="4" t="s">
        <v>397</v>
      </c>
      <c r="D46" s="4" t="s">
        <v>398</v>
      </c>
      <c r="E46" s="4" t="s">
        <v>298</v>
      </c>
      <c r="F46" s="4" t="s">
        <v>399</v>
      </c>
      <c r="G46" s="5" t="s">
        <v>400</v>
      </c>
      <c r="H46" s="5" t="s">
        <v>44</v>
      </c>
      <c r="I46" s="5" t="s">
        <v>401</v>
      </c>
      <c r="J46" s="3" t="s">
        <v>402</v>
      </c>
      <c r="K46" s="6">
        <v>0.08</v>
      </c>
      <c r="L46" s="3" t="s">
        <v>26</v>
      </c>
      <c r="M46" s="7"/>
      <c r="N46" s="4" t="s">
        <v>394</v>
      </c>
      <c r="O46" s="4" t="s">
        <v>403</v>
      </c>
      <c r="P46" s="4" t="s">
        <v>246</v>
      </c>
      <c r="Q46" s="4" t="s">
        <v>30</v>
      </c>
      <c r="R46" s="4"/>
      <c r="S46" s="4" t="str">
        <f t="shared" si="1"/>
        <v>MF0207FTE52-2R</v>
      </c>
    </row>
    <row r="47" spans="1:19" ht="13">
      <c r="A47" s="2" t="s">
        <v>404</v>
      </c>
      <c r="B47" s="3" t="s">
        <v>405</v>
      </c>
      <c r="C47" s="4" t="s">
        <v>406</v>
      </c>
      <c r="D47" s="4" t="s">
        <v>407</v>
      </c>
      <c r="E47" s="4" t="s">
        <v>408</v>
      </c>
      <c r="F47" s="4"/>
      <c r="G47" s="5" t="s">
        <v>407</v>
      </c>
      <c r="H47" s="5"/>
      <c r="I47" s="5"/>
      <c r="J47" s="3"/>
      <c r="K47" s="6"/>
      <c r="L47" s="3" t="s">
        <v>26</v>
      </c>
      <c r="M47" s="7"/>
      <c r="N47" s="4" t="s">
        <v>394</v>
      </c>
      <c r="O47" s="4" t="s">
        <v>409</v>
      </c>
      <c r="P47" s="4" t="s">
        <v>246</v>
      </c>
      <c r="Q47" s="4" t="s">
        <v>410</v>
      </c>
      <c r="R47" s="4"/>
      <c r="S47" s="4" t="str">
        <f t="shared" si="1"/>
        <v>KXOB25-14X1F-TB</v>
      </c>
    </row>
    <row r="48" spans="1:19" ht="13">
      <c r="A48" s="2" t="s">
        <v>411</v>
      </c>
      <c r="B48" s="3" t="s">
        <v>412</v>
      </c>
      <c r="C48" s="4" t="s">
        <v>413</v>
      </c>
      <c r="D48" s="4" t="s">
        <v>414</v>
      </c>
      <c r="E48" s="4" t="s">
        <v>231</v>
      </c>
      <c r="F48" s="4" t="s">
        <v>105</v>
      </c>
      <c r="G48" s="5" t="s">
        <v>414</v>
      </c>
      <c r="H48" s="5"/>
      <c r="I48" s="5"/>
      <c r="J48" s="3"/>
      <c r="K48" s="6"/>
      <c r="L48" s="3" t="s">
        <v>26</v>
      </c>
      <c r="M48" s="7"/>
      <c r="N48" s="4" t="s">
        <v>394</v>
      </c>
      <c r="O48" s="4" t="s">
        <v>415</v>
      </c>
      <c r="P48" s="4" t="s">
        <v>246</v>
      </c>
      <c r="Q48" s="4" t="s">
        <v>410</v>
      </c>
      <c r="R48" s="4" t="s">
        <v>416</v>
      </c>
      <c r="S48" s="4" t="str">
        <f t="shared" si="1"/>
        <v>TMP100</v>
      </c>
    </row>
    <row r="49" spans="1:19" ht="26">
      <c r="A49" s="2" t="s">
        <v>417</v>
      </c>
      <c r="B49" s="3" t="s">
        <v>120</v>
      </c>
      <c r="C49" s="4" t="s">
        <v>418</v>
      </c>
      <c r="D49" s="4" t="s">
        <v>419</v>
      </c>
      <c r="E49" s="4" t="s">
        <v>420</v>
      </c>
      <c r="F49" s="4"/>
      <c r="G49" s="5"/>
      <c r="H49" s="5" t="s">
        <v>123</v>
      </c>
      <c r="I49" s="5"/>
      <c r="J49" s="3"/>
      <c r="K49" s="6"/>
      <c r="L49" s="3" t="s">
        <v>26</v>
      </c>
      <c r="M49" s="7"/>
      <c r="N49" s="4" t="s">
        <v>27</v>
      </c>
      <c r="O49" s="4"/>
      <c r="P49" s="4" t="s">
        <v>246</v>
      </c>
      <c r="Q49" s="4" t="s">
        <v>410</v>
      </c>
      <c r="R49" s="4" t="s">
        <v>421</v>
      </c>
      <c r="S49" s="4" t="str">
        <f t="shared" si="1"/>
        <v>ENVNODE MAINBOARD PCB|PCB: ENVNODE.KICAD_PCB</v>
      </c>
    </row>
    <row r="50" spans="1:19" ht="13">
      <c r="A50" s="2" t="s">
        <v>422</v>
      </c>
      <c r="B50" s="3" t="s">
        <v>120</v>
      </c>
      <c r="C50" s="4" t="s">
        <v>423</v>
      </c>
      <c r="D50" s="4" t="s">
        <v>122</v>
      </c>
      <c r="E50" s="4" t="s">
        <v>424</v>
      </c>
      <c r="F50" s="4"/>
      <c r="G50" s="5"/>
      <c r="H50" s="5"/>
      <c r="I50" s="5"/>
      <c r="J50" s="3"/>
      <c r="K50" s="6"/>
      <c r="L50" s="3" t="s">
        <v>26</v>
      </c>
      <c r="M50" s="7"/>
      <c r="N50" s="4" t="s">
        <v>341</v>
      </c>
      <c r="O50" s="4"/>
      <c r="P50" s="4" t="s">
        <v>246</v>
      </c>
      <c r="Q50" s="4" t="s">
        <v>288</v>
      </c>
      <c r="R50" s="4" t="s">
        <v>425</v>
      </c>
      <c r="S50" s="4" t="str">
        <f t="shared" si="1"/>
        <v>ENVNODE MINI PCB|PCB: ENVNODEMINI.KICAD_PCB</v>
      </c>
    </row>
    <row r="51" spans="1:19" ht="26">
      <c r="A51" s="2" t="s">
        <v>426</v>
      </c>
      <c r="B51" s="3" t="s">
        <v>120</v>
      </c>
      <c r="C51" s="4" t="s">
        <v>427</v>
      </c>
      <c r="D51" s="4" t="s">
        <v>122</v>
      </c>
      <c r="E51" s="4" t="s">
        <v>428</v>
      </c>
      <c r="F51" s="4"/>
      <c r="G51" s="5"/>
      <c r="H51" s="5"/>
      <c r="I51" s="5"/>
      <c r="J51" s="3"/>
      <c r="K51" s="6"/>
      <c r="L51" s="3" t="s">
        <v>26</v>
      </c>
      <c r="M51" s="7"/>
      <c r="N51" s="4" t="s">
        <v>429</v>
      </c>
      <c r="O51" s="4"/>
      <c r="P51" s="4" t="s">
        <v>246</v>
      </c>
      <c r="Q51" s="4" t="s">
        <v>288</v>
      </c>
      <c r="R51" s="4" t="s">
        <v>430</v>
      </c>
      <c r="S51" s="4" t="str">
        <f t="shared" si="1"/>
        <v>ANALOGINPUT HALFSIZE PCB|PCB: ANALOGINPUT.KICAD_PCB</v>
      </c>
    </row>
    <row r="52" spans="1:19" ht="26">
      <c r="A52" s="2" t="s">
        <v>431</v>
      </c>
      <c r="B52" s="3" t="s">
        <v>120</v>
      </c>
      <c r="C52" s="4" t="s">
        <v>432</v>
      </c>
      <c r="D52" s="4" t="s">
        <v>122</v>
      </c>
      <c r="E52" s="4" t="s">
        <v>433</v>
      </c>
      <c r="F52" s="4"/>
      <c r="G52" s="5"/>
      <c r="H52" s="5"/>
      <c r="I52" s="5"/>
      <c r="J52" s="3"/>
      <c r="K52" s="6"/>
      <c r="L52" s="3" t="s">
        <v>26</v>
      </c>
      <c r="M52" s="7"/>
      <c r="N52" s="4" t="s">
        <v>434</v>
      </c>
      <c r="O52" s="4"/>
      <c r="P52" s="4" t="s">
        <v>246</v>
      </c>
      <c r="Q52" s="4" t="s">
        <v>288</v>
      </c>
      <c r="R52" s="4" t="s">
        <v>435</v>
      </c>
      <c r="S52" s="4" t="str">
        <f t="shared" si="1"/>
        <v>DUORELAY FULLSIZE PCB REV 0.1|PCB: DUORELAY.KICAD_PCB</v>
      </c>
    </row>
    <row r="53" spans="1:19" ht="26">
      <c r="A53" s="2" t="s">
        <v>436</v>
      </c>
      <c r="B53" s="3" t="s">
        <v>120</v>
      </c>
      <c r="C53" s="4" t="s">
        <v>437</v>
      </c>
      <c r="D53" s="4" t="s">
        <v>122</v>
      </c>
      <c r="E53" s="4" t="s">
        <v>438</v>
      </c>
      <c r="F53" s="4"/>
      <c r="G53" s="5"/>
      <c r="H53" s="5"/>
      <c r="I53" s="5"/>
      <c r="J53" s="3"/>
      <c r="K53" s="6"/>
      <c r="L53" s="3" t="s">
        <v>26</v>
      </c>
      <c r="M53" s="7"/>
      <c r="N53" s="4" t="s">
        <v>394</v>
      </c>
      <c r="O53" s="4"/>
      <c r="P53" s="4" t="s">
        <v>246</v>
      </c>
      <c r="Q53" s="4" t="s">
        <v>30</v>
      </c>
      <c r="R53" s="4" t="s">
        <v>430</v>
      </c>
      <c r="S53" s="4" t="str">
        <f t="shared" si="1"/>
        <v>SOLARRADIATION PCB|PCB: SOLARRADIATION.KICAD_PCB</v>
      </c>
    </row>
    <row r="54" spans="1:19" ht="13">
      <c r="A54" s="8" t="s">
        <v>439</v>
      </c>
      <c r="B54" s="9" t="s">
        <v>120</v>
      </c>
      <c r="C54" s="10" t="s">
        <v>440</v>
      </c>
      <c r="D54" s="10" t="s">
        <v>441</v>
      </c>
      <c r="E54" s="10" t="s">
        <v>442</v>
      </c>
      <c r="F54" s="10"/>
      <c r="G54" s="11"/>
      <c r="H54" s="11"/>
      <c r="I54" s="11"/>
      <c r="J54" s="9"/>
      <c r="K54" s="12">
        <v>1.73</v>
      </c>
      <c r="L54" s="9" t="s">
        <v>26</v>
      </c>
      <c r="M54" s="13"/>
      <c r="N54" s="10" t="s">
        <v>142</v>
      </c>
      <c r="O54" s="10"/>
      <c r="P54" s="10" t="s">
        <v>246</v>
      </c>
      <c r="Q54" s="10" t="s">
        <v>30</v>
      </c>
      <c r="R54" s="10" t="s">
        <v>430</v>
      </c>
      <c r="S54" s="10" t="str">
        <f t="shared" si="1"/>
        <v>RAINDETECTOR PCB|PCB: RAINDETECTOR.KICAD_PCB</v>
      </c>
    </row>
    <row r="55" spans="1:19" ht="15">
      <c r="A55" t="s">
        <v>443</v>
      </c>
      <c r="B55" t="s">
        <v>39</v>
      </c>
      <c r="C55" t="s">
        <v>444</v>
      </c>
      <c r="D55" t="s">
        <v>445</v>
      </c>
      <c r="E55" t="s">
        <v>446</v>
      </c>
      <c r="F55" t="s">
        <v>447</v>
      </c>
      <c r="G55" t="s">
        <v>448</v>
      </c>
      <c r="H55" t="s">
        <v>449</v>
      </c>
      <c r="I55" t="s">
        <v>450</v>
      </c>
      <c r="J55" t="s">
        <v>451</v>
      </c>
      <c r="K55" s="19">
        <v>0.56000000000000005</v>
      </c>
      <c r="L55" t="s">
        <v>26</v>
      </c>
      <c r="M55"/>
      <c r="N55" t="s">
        <v>452</v>
      </c>
      <c r="O55" t="s">
        <v>453</v>
      </c>
      <c r="P55" t="s">
        <v>454</v>
      </c>
      <c r="Q55" t="s">
        <v>30</v>
      </c>
      <c r="R55" t="s">
        <v>455</v>
      </c>
      <c r="S55" t="s">
        <v>456</v>
      </c>
    </row>
    <row r="56" spans="1:19" ht="15">
      <c r="A56" t="s">
        <v>457</v>
      </c>
      <c r="B56" t="s">
        <v>274</v>
      </c>
      <c r="C56" t="s">
        <v>458</v>
      </c>
      <c r="D56" t="s">
        <v>459</v>
      </c>
      <c r="E56" t="s">
        <v>460</v>
      </c>
      <c r="F56" t="s">
        <v>63</v>
      </c>
      <c r="G56" t="s">
        <v>461</v>
      </c>
      <c r="H56" t="s">
        <v>44</v>
      </c>
      <c r="I56" t="s">
        <v>462</v>
      </c>
      <c r="J56" t="s">
        <v>463</v>
      </c>
      <c r="K56">
        <v>0.18</v>
      </c>
      <c r="L56" t="s">
        <v>26</v>
      </c>
      <c r="M56"/>
      <c r="N56" t="s">
        <v>452</v>
      </c>
      <c r="O56" t="s">
        <v>310</v>
      </c>
      <c r="P56" t="s">
        <v>464</v>
      </c>
      <c r="Q56" t="s">
        <v>30</v>
      </c>
      <c r="R56" t="s">
        <v>465</v>
      </c>
      <c r="S56" t="s">
        <v>461</v>
      </c>
    </row>
    <row r="57" spans="1:19" ht="15">
      <c r="A57" t="s">
        <v>466</v>
      </c>
      <c r="B57" t="s">
        <v>71</v>
      </c>
      <c r="C57" t="s">
        <v>467</v>
      </c>
      <c r="D57" t="s">
        <v>468</v>
      </c>
      <c r="E57" t="s">
        <v>469</v>
      </c>
      <c r="F57" t="s">
        <v>161</v>
      </c>
      <c r="G57" t="s">
        <v>470</v>
      </c>
      <c r="H57" t="s">
        <v>44</v>
      </c>
      <c r="I57" t="s">
        <v>471</v>
      </c>
      <c r="J57" t="s">
        <v>472</v>
      </c>
      <c r="K57">
        <v>0.18</v>
      </c>
      <c r="L57" t="s">
        <v>26</v>
      </c>
      <c r="M57"/>
      <c r="N57" t="s">
        <v>452</v>
      </c>
      <c r="O57" t="s">
        <v>473</v>
      </c>
      <c r="P57" t="s">
        <v>474</v>
      </c>
      <c r="Q57" t="s">
        <v>30</v>
      </c>
      <c r="R57" t="s">
        <v>475</v>
      </c>
      <c r="S57" t="s">
        <v>470</v>
      </c>
    </row>
    <row r="58" spans="1:19" ht="15">
      <c r="A58" t="s">
        <v>476</v>
      </c>
      <c r="B58" t="s">
        <v>120</v>
      </c>
      <c r="C58" t="s">
        <v>477</v>
      </c>
      <c r="D58" t="s">
        <v>419</v>
      </c>
      <c r="E58" t="s">
        <v>478</v>
      </c>
      <c r="F58"/>
      <c r="G58"/>
      <c r="H58" t="s">
        <v>123</v>
      </c>
      <c r="I58"/>
      <c r="J58"/>
      <c r="K58"/>
      <c r="L58" t="s">
        <v>26</v>
      </c>
      <c r="M58"/>
      <c r="N58" t="s">
        <v>452</v>
      </c>
      <c r="O58"/>
      <c r="P58" t="s">
        <v>246</v>
      </c>
      <c r="Q58" t="s">
        <v>30</v>
      </c>
      <c r="R58" t="s">
        <v>421</v>
      </c>
      <c r="S58" t="s">
        <v>479</v>
      </c>
    </row>
    <row r="59" spans="1:19" ht="15">
      <c r="A59" t="s">
        <v>480</v>
      </c>
      <c r="B59" t="s">
        <v>39</v>
      </c>
      <c r="C59" t="s">
        <v>481</v>
      </c>
      <c r="D59" t="s">
        <v>482</v>
      </c>
      <c r="E59" t="s">
        <v>483</v>
      </c>
      <c r="F59" t="s">
        <v>447</v>
      </c>
      <c r="G59" t="s">
        <v>484</v>
      </c>
      <c r="H59" t="s">
        <v>449</v>
      </c>
      <c r="I59" t="s">
        <v>485</v>
      </c>
      <c r="J59" t="s">
        <v>486</v>
      </c>
      <c r="K59" s="19">
        <v>2.31</v>
      </c>
      <c r="L59" t="s">
        <v>26</v>
      </c>
      <c r="M59"/>
      <c r="N59" t="s">
        <v>487</v>
      </c>
      <c r="O59" t="s">
        <v>488</v>
      </c>
      <c r="P59" t="s">
        <v>489</v>
      </c>
      <c r="Q59" t="s">
        <v>30</v>
      </c>
      <c r="R59" t="s">
        <v>490</v>
      </c>
      <c r="S59" t="s">
        <v>484</v>
      </c>
    </row>
    <row r="60" spans="1:19" ht="15">
      <c r="A60" t="s">
        <v>491</v>
      </c>
      <c r="B60" t="s">
        <v>39</v>
      </c>
      <c r="C60" t="s">
        <v>492</v>
      </c>
      <c r="D60" t="s">
        <v>493</v>
      </c>
      <c r="E60" t="s">
        <v>494</v>
      </c>
      <c r="F60" t="s">
        <v>495</v>
      </c>
      <c r="G60" t="s">
        <v>496</v>
      </c>
      <c r="H60" t="s">
        <v>497</v>
      </c>
      <c r="I60" t="s">
        <v>498</v>
      </c>
      <c r="J60" t="s">
        <v>499</v>
      </c>
      <c r="K60" s="19">
        <v>0.3</v>
      </c>
      <c r="L60" t="s">
        <v>26</v>
      </c>
      <c r="M60"/>
      <c r="N60" t="s">
        <v>500</v>
      </c>
      <c r="O60" t="s">
        <v>501</v>
      </c>
      <c r="P60" t="s">
        <v>502</v>
      </c>
      <c r="Q60" t="s">
        <v>30</v>
      </c>
      <c r="R60" t="s">
        <v>503</v>
      </c>
      <c r="S60" t="s">
        <v>504</v>
      </c>
    </row>
    <row r="61" spans="1:19" ht="15">
      <c r="A61" t="s">
        <v>505</v>
      </c>
      <c r="B61" t="s">
        <v>120</v>
      </c>
      <c r="C61" t="s">
        <v>506</v>
      </c>
      <c r="D61" t="s">
        <v>507</v>
      </c>
      <c r="E61" t="s">
        <v>508</v>
      </c>
      <c r="F61"/>
      <c r="G61"/>
      <c r="H61"/>
      <c r="I61"/>
      <c r="J61"/>
      <c r="K61" s="19"/>
      <c r="L61" t="s">
        <v>26</v>
      </c>
      <c r="M61"/>
      <c r="N61" t="s">
        <v>509</v>
      </c>
      <c r="O61"/>
      <c r="P61" t="s">
        <v>246</v>
      </c>
      <c r="Q61" t="s">
        <v>30</v>
      </c>
      <c r="R61" t="s">
        <v>510</v>
      </c>
      <c r="S61" t="s">
        <v>511</v>
      </c>
    </row>
    <row r="62" spans="1:19" ht="15">
      <c r="A62" t="s">
        <v>512</v>
      </c>
      <c r="B62" t="s">
        <v>120</v>
      </c>
      <c r="C62" t="s">
        <v>513</v>
      </c>
      <c r="D62" t="s">
        <v>507</v>
      </c>
      <c r="E62" t="s">
        <v>514</v>
      </c>
      <c r="F62"/>
      <c r="G62"/>
      <c r="H62"/>
      <c r="I62"/>
      <c r="J62"/>
      <c r="K62" s="19"/>
      <c r="L62" t="s">
        <v>26</v>
      </c>
      <c r="M62"/>
      <c r="N62" t="s">
        <v>515</v>
      </c>
      <c r="O62"/>
      <c r="P62" t="s">
        <v>246</v>
      </c>
      <c r="Q62" t="s">
        <v>30</v>
      </c>
      <c r="R62" t="s">
        <v>510</v>
      </c>
      <c r="S62" t="s">
        <v>516</v>
      </c>
    </row>
    <row r="63" spans="1:19" ht="15">
      <c r="A63" t="s">
        <v>517</v>
      </c>
      <c r="B63" t="s">
        <v>120</v>
      </c>
      <c r="C63" t="s">
        <v>518</v>
      </c>
      <c r="D63" t="s">
        <v>507</v>
      </c>
      <c r="E63" t="s">
        <v>519</v>
      </c>
      <c r="F63"/>
      <c r="G63"/>
      <c r="H63"/>
      <c r="I63"/>
      <c r="J63"/>
      <c r="K63" s="19"/>
      <c r="L63" t="s">
        <v>26</v>
      </c>
      <c r="M63"/>
      <c r="N63" t="s">
        <v>520</v>
      </c>
      <c r="O63"/>
      <c r="P63" t="s">
        <v>246</v>
      </c>
      <c r="Q63" t="s">
        <v>30</v>
      </c>
      <c r="R63" t="s">
        <v>510</v>
      </c>
      <c r="S63" t="s">
        <v>521</v>
      </c>
    </row>
    <row r="64" spans="1:19" ht="15">
      <c r="A64" t="s">
        <v>522</v>
      </c>
      <c r="B64" t="s">
        <v>120</v>
      </c>
      <c r="C64" t="s">
        <v>523</v>
      </c>
      <c r="D64" t="s">
        <v>507</v>
      </c>
      <c r="E64" t="s">
        <v>524</v>
      </c>
      <c r="F64"/>
      <c r="G64"/>
      <c r="H64"/>
      <c r="I64"/>
      <c r="J64"/>
      <c r="K64" s="19"/>
      <c r="L64" t="s">
        <v>26</v>
      </c>
      <c r="M64"/>
      <c r="N64" t="s">
        <v>525</v>
      </c>
      <c r="O64"/>
      <c r="P64" t="s">
        <v>246</v>
      </c>
      <c r="Q64" t="s">
        <v>30</v>
      </c>
      <c r="R64" t="s">
        <v>510</v>
      </c>
      <c r="S64" t="s">
        <v>526</v>
      </c>
    </row>
    <row r="65" spans="1:19" ht="15">
      <c r="A65" t="s">
        <v>527</v>
      </c>
      <c r="B65" t="s">
        <v>528</v>
      </c>
      <c r="C65" t="s">
        <v>529</v>
      </c>
      <c r="D65" t="s">
        <v>530</v>
      </c>
      <c r="E65" t="s">
        <v>531</v>
      </c>
      <c r="F65" t="s">
        <v>532</v>
      </c>
      <c r="G65" t="s">
        <v>533</v>
      </c>
      <c r="H65" t="s">
        <v>44</v>
      </c>
      <c r="I65" t="s">
        <v>534</v>
      </c>
      <c r="J65" t="s">
        <v>535</v>
      </c>
      <c r="K65" s="19">
        <v>0.11</v>
      </c>
      <c r="L65" t="s">
        <v>26</v>
      </c>
      <c r="M65"/>
      <c r="N65" t="s">
        <v>536</v>
      </c>
      <c r="O65" t="s">
        <v>537</v>
      </c>
      <c r="P65" t="s">
        <v>538</v>
      </c>
      <c r="Q65" t="s">
        <v>30</v>
      </c>
      <c r="R65" t="s">
        <v>539</v>
      </c>
      <c r="S65" t="s">
        <v>533</v>
      </c>
    </row>
    <row r="66" spans="1:19" ht="15">
      <c r="A66" t="s">
        <v>540</v>
      </c>
      <c r="B66" t="s">
        <v>59</v>
      </c>
      <c r="C66" t="s">
        <v>541</v>
      </c>
      <c r="D66" t="s">
        <v>542</v>
      </c>
      <c r="E66" t="s">
        <v>62</v>
      </c>
      <c r="F66" t="s">
        <v>63</v>
      </c>
      <c r="G66" t="s">
        <v>543</v>
      </c>
      <c r="H66" t="s">
        <v>497</v>
      </c>
      <c r="I66" t="s">
        <v>544</v>
      </c>
      <c r="J66" t="s">
        <v>545</v>
      </c>
      <c r="K66" s="19">
        <v>0.14000000000000001</v>
      </c>
      <c r="L66" t="s">
        <v>26</v>
      </c>
      <c r="M66"/>
      <c r="N66" t="s">
        <v>536</v>
      </c>
      <c r="O66" t="s">
        <v>546</v>
      </c>
      <c r="P66" t="s">
        <v>547</v>
      </c>
      <c r="Q66" t="s">
        <v>30</v>
      </c>
      <c r="R66" t="s">
        <v>548</v>
      </c>
      <c r="S66" t="s">
        <v>549</v>
      </c>
    </row>
    <row r="67" spans="1:19" ht="15">
      <c r="A67" t="s">
        <v>550</v>
      </c>
      <c r="B67" t="s">
        <v>120</v>
      </c>
      <c r="C67" t="s">
        <v>551</v>
      </c>
      <c r="D67" t="s">
        <v>419</v>
      </c>
      <c r="E67" t="s">
        <v>552</v>
      </c>
      <c r="F67"/>
      <c r="G67"/>
      <c r="H67" t="s">
        <v>123</v>
      </c>
      <c r="I67"/>
      <c r="J67"/>
      <c r="K67" s="19"/>
      <c r="L67" t="s">
        <v>26</v>
      </c>
      <c r="M67"/>
      <c r="N67" t="s">
        <v>536</v>
      </c>
      <c r="O67"/>
      <c r="P67" t="s">
        <v>246</v>
      </c>
      <c r="Q67" t="s">
        <v>30</v>
      </c>
      <c r="R67" t="s">
        <v>421</v>
      </c>
      <c r="S67" t="s">
        <v>553</v>
      </c>
    </row>
    <row r="68" spans="1:19" ht="15">
      <c r="A68" t="s">
        <v>554</v>
      </c>
      <c r="B68" t="s">
        <v>71</v>
      </c>
      <c r="C68" t="s">
        <v>555</v>
      </c>
      <c r="D68" t="s">
        <v>556</v>
      </c>
      <c r="E68" t="s">
        <v>74</v>
      </c>
      <c r="F68" t="s">
        <v>557</v>
      </c>
      <c r="G68" t="s">
        <v>558</v>
      </c>
      <c r="H68" t="s">
        <v>497</v>
      </c>
      <c r="I68" t="s">
        <v>558</v>
      </c>
      <c r="J68" t="s">
        <v>559</v>
      </c>
      <c r="K68" s="19">
        <v>0.14000000000000001</v>
      </c>
      <c r="L68" t="s">
        <v>26</v>
      </c>
      <c r="M68"/>
      <c r="N68" t="s">
        <v>560</v>
      </c>
      <c r="O68" t="s">
        <v>473</v>
      </c>
      <c r="P68" t="s">
        <v>547</v>
      </c>
      <c r="Q68" t="s">
        <v>30</v>
      </c>
      <c r="R68" t="s">
        <v>561</v>
      </c>
      <c r="S68" t="s">
        <v>562</v>
      </c>
    </row>
    <row r="69" spans="1:19" ht="15">
      <c r="A69" t="s">
        <v>563</v>
      </c>
      <c r="B69" t="s">
        <v>71</v>
      </c>
      <c r="C69" t="s">
        <v>555</v>
      </c>
      <c r="D69" t="s">
        <v>564</v>
      </c>
      <c r="E69" t="s">
        <v>565</v>
      </c>
      <c r="F69" t="s">
        <v>557</v>
      </c>
      <c r="G69" t="s">
        <v>566</v>
      </c>
      <c r="H69" t="s">
        <v>497</v>
      </c>
      <c r="I69" t="s">
        <v>566</v>
      </c>
      <c r="J69" t="s">
        <v>567</v>
      </c>
      <c r="K69" s="19">
        <v>1.19</v>
      </c>
      <c r="L69" t="s">
        <v>26</v>
      </c>
      <c r="M69"/>
      <c r="N69" t="s">
        <v>560</v>
      </c>
      <c r="O69" t="s">
        <v>568</v>
      </c>
      <c r="P69" t="s">
        <v>547</v>
      </c>
      <c r="Q69" t="s">
        <v>30</v>
      </c>
      <c r="R69" t="s">
        <v>569</v>
      </c>
      <c r="S69" t="s">
        <v>570</v>
      </c>
    </row>
    <row r="70" spans="1:19" ht="15">
      <c r="A70" t="s">
        <v>571</v>
      </c>
      <c r="B70" t="s">
        <v>274</v>
      </c>
      <c r="C70" t="s">
        <v>572</v>
      </c>
      <c r="D70" t="s">
        <v>573</v>
      </c>
      <c r="E70" t="s">
        <v>574</v>
      </c>
      <c r="F70"/>
      <c r="G70"/>
      <c r="H70"/>
      <c r="I70"/>
      <c r="J70"/>
      <c r="K70" s="19"/>
      <c r="L70" t="s">
        <v>26</v>
      </c>
      <c r="M70"/>
      <c r="N70" t="s">
        <v>560</v>
      </c>
      <c r="O70" t="s">
        <v>575</v>
      </c>
      <c r="P70" t="s">
        <v>246</v>
      </c>
      <c r="Q70" t="s">
        <v>410</v>
      </c>
      <c r="R70" t="s">
        <v>576</v>
      </c>
      <c r="S70" t="s">
        <v>577</v>
      </c>
    </row>
    <row r="71" spans="1:19" ht="15">
      <c r="A71" t="s">
        <v>578</v>
      </c>
      <c r="B71" t="s">
        <v>579</v>
      </c>
      <c r="C71" t="s">
        <v>580</v>
      </c>
      <c r="D71" t="s">
        <v>581</v>
      </c>
      <c r="E71" t="s">
        <v>582</v>
      </c>
      <c r="F71" t="s">
        <v>447</v>
      </c>
      <c r="G71" t="s">
        <v>583</v>
      </c>
      <c r="H71" t="s">
        <v>584</v>
      </c>
      <c r="I71" t="s">
        <v>585</v>
      </c>
      <c r="J71" t="s">
        <v>586</v>
      </c>
      <c r="K71" s="19">
        <v>1.66</v>
      </c>
      <c r="L71" t="s">
        <v>26</v>
      </c>
      <c r="M71"/>
      <c r="N71" t="s">
        <v>560</v>
      </c>
      <c r="O71" t="s">
        <v>587</v>
      </c>
      <c r="P71" t="s">
        <v>588</v>
      </c>
      <c r="Q71" t="s">
        <v>30</v>
      </c>
      <c r="R71" t="s">
        <v>589</v>
      </c>
      <c r="S71" t="s">
        <v>590</v>
      </c>
    </row>
    <row r="72" spans="1:19" ht="15">
      <c r="A72" t="s">
        <v>591</v>
      </c>
      <c r="B72" t="s">
        <v>59</v>
      </c>
      <c r="C72" t="s">
        <v>592</v>
      </c>
      <c r="D72" t="s">
        <v>593</v>
      </c>
      <c r="E72" t="s">
        <v>62</v>
      </c>
      <c r="F72" t="s">
        <v>63</v>
      </c>
      <c r="G72" t="s">
        <v>594</v>
      </c>
      <c r="H72" t="s">
        <v>497</v>
      </c>
      <c r="I72" t="s">
        <v>595</v>
      </c>
      <c r="J72" t="s">
        <v>596</v>
      </c>
      <c r="K72" s="19">
        <v>0.18</v>
      </c>
      <c r="L72" t="s">
        <v>26</v>
      </c>
      <c r="M72"/>
      <c r="N72" t="s">
        <v>560</v>
      </c>
      <c r="O72" t="s">
        <v>597</v>
      </c>
      <c r="P72" t="s">
        <v>547</v>
      </c>
      <c r="Q72" t="s">
        <v>30</v>
      </c>
      <c r="R72" t="s">
        <v>598</v>
      </c>
      <c r="S72" t="s">
        <v>599</v>
      </c>
    </row>
    <row r="73" spans="1:19" ht="15">
      <c r="A73" t="s">
        <v>600</v>
      </c>
      <c r="B73" t="s">
        <v>59</v>
      </c>
      <c r="C73" t="s">
        <v>601</v>
      </c>
      <c r="D73" t="s">
        <v>602</v>
      </c>
      <c r="E73" t="s">
        <v>62</v>
      </c>
      <c r="F73" t="s">
        <v>399</v>
      </c>
      <c r="G73" t="s">
        <v>603</v>
      </c>
      <c r="H73" t="s">
        <v>449</v>
      </c>
      <c r="I73"/>
      <c r="J73" t="s">
        <v>604</v>
      </c>
      <c r="K73" s="19">
        <v>0.09</v>
      </c>
      <c r="L73" t="s">
        <v>26</v>
      </c>
      <c r="M73"/>
      <c r="N73" t="s">
        <v>560</v>
      </c>
      <c r="O73" t="s">
        <v>605</v>
      </c>
      <c r="P73" t="s">
        <v>606</v>
      </c>
      <c r="Q73" t="s">
        <v>30</v>
      </c>
      <c r="R73" t="s">
        <v>607</v>
      </c>
      <c r="S73" t="s">
        <v>608</v>
      </c>
    </row>
    <row r="74" spans="1:19" ht="15">
      <c r="A74" t="s">
        <v>609</v>
      </c>
      <c r="B74" t="s">
        <v>59</v>
      </c>
      <c r="C74" t="s">
        <v>610</v>
      </c>
      <c r="D74" t="s">
        <v>611</v>
      </c>
      <c r="E74" t="s">
        <v>62</v>
      </c>
      <c r="F74" t="s">
        <v>612</v>
      </c>
      <c r="G74" t="s">
        <v>613</v>
      </c>
      <c r="H74" t="s">
        <v>614</v>
      </c>
      <c r="I74" t="s">
        <v>613</v>
      </c>
      <c r="J74" t="s">
        <v>615</v>
      </c>
      <c r="K74" s="19">
        <v>7.0000000000000007E-2</v>
      </c>
      <c r="L74" t="s">
        <v>26</v>
      </c>
      <c r="M74"/>
      <c r="N74" t="s">
        <v>560</v>
      </c>
      <c r="O74" t="s">
        <v>616</v>
      </c>
      <c r="P74" t="s">
        <v>617</v>
      </c>
      <c r="Q74" t="s">
        <v>30</v>
      </c>
      <c r="R74" t="s">
        <v>618</v>
      </c>
      <c r="S74" t="s">
        <v>619</v>
      </c>
    </row>
    <row r="75" spans="1:19" ht="15">
      <c r="A75" t="s">
        <v>620</v>
      </c>
      <c r="B75" t="s">
        <v>621</v>
      </c>
      <c r="C75" t="s">
        <v>622</v>
      </c>
      <c r="D75" t="s">
        <v>623</v>
      </c>
      <c r="E75" t="s">
        <v>624</v>
      </c>
      <c r="F75" t="s">
        <v>625</v>
      </c>
      <c r="G75" t="s">
        <v>626</v>
      </c>
      <c r="H75" t="s">
        <v>584</v>
      </c>
      <c r="I75" t="s">
        <v>627</v>
      </c>
      <c r="J75" t="s">
        <v>628</v>
      </c>
      <c r="K75" s="19">
        <v>0.92</v>
      </c>
      <c r="L75" t="s">
        <v>26</v>
      </c>
      <c r="M75"/>
      <c r="N75" t="s">
        <v>560</v>
      </c>
      <c r="O75" t="s">
        <v>629</v>
      </c>
      <c r="P75" t="s">
        <v>630</v>
      </c>
      <c r="Q75" t="s">
        <v>30</v>
      </c>
      <c r="R75" t="s">
        <v>631</v>
      </c>
      <c r="S75" t="s">
        <v>626</v>
      </c>
    </row>
    <row r="76" spans="1:19" ht="15">
      <c r="A76" t="s">
        <v>632</v>
      </c>
      <c r="B76" t="s">
        <v>376</v>
      </c>
      <c r="C76" t="s">
        <v>633</v>
      </c>
      <c r="D76" t="s">
        <v>634</v>
      </c>
      <c r="E76" t="s">
        <v>231</v>
      </c>
      <c r="F76" t="s">
        <v>635</v>
      </c>
      <c r="G76" t="s">
        <v>636</v>
      </c>
      <c r="H76" t="s">
        <v>584</v>
      </c>
      <c r="I76" t="s">
        <v>637</v>
      </c>
      <c r="J76" t="s">
        <v>638</v>
      </c>
      <c r="K76" s="19">
        <v>7.11</v>
      </c>
      <c r="L76" t="s">
        <v>26</v>
      </c>
      <c r="M76"/>
      <c r="N76" t="s">
        <v>560</v>
      </c>
      <c r="O76" t="s">
        <v>639</v>
      </c>
      <c r="P76" t="s">
        <v>640</v>
      </c>
      <c r="Q76" t="s">
        <v>30</v>
      </c>
      <c r="R76" t="s">
        <v>641</v>
      </c>
      <c r="S76" t="s">
        <v>642</v>
      </c>
    </row>
    <row r="77" spans="1:19" ht="15">
      <c r="A77" t="s">
        <v>643</v>
      </c>
      <c r="B77" t="s">
        <v>120</v>
      </c>
      <c r="C77" t="s">
        <v>644</v>
      </c>
      <c r="D77" t="s">
        <v>419</v>
      </c>
      <c r="E77" t="s">
        <v>645</v>
      </c>
      <c r="F77"/>
      <c r="G77"/>
      <c r="H77" t="s">
        <v>123</v>
      </c>
      <c r="I77"/>
      <c r="J77"/>
      <c r="K77"/>
      <c r="L77" t="s">
        <v>26</v>
      </c>
      <c r="M77"/>
      <c r="N77" t="s">
        <v>560</v>
      </c>
      <c r="O77"/>
      <c r="P77" t="s">
        <v>246</v>
      </c>
      <c r="Q77" t="s">
        <v>30</v>
      </c>
      <c r="R77" t="s">
        <v>646</v>
      </c>
      <c r="S77" t="s">
        <v>647</v>
      </c>
    </row>
  </sheetData>
  <conditionalFormatting sqref="Q2:Q54">
    <cfRule type="containsText" dxfId="8" priority="1" operator="containsText" text="Prüfen"/>
    <cfRule type="containsText" dxfId="7" priority="2" operator="containsText" text="OK"/>
  </conditionalFormatting>
  <conditionalFormatting sqref="S2:S54">
    <cfRule type="duplicateValues" dxfId="6" priority="3"/>
  </conditionalFormatting>
  <dataValidations count="1">
    <dataValidation type="list" sqref="Q1:Q1048576" xr:uid="{00000000-0002-0000-0000-000000000000}">
      <formula1>"OK,Prüfen,Legacy"</formula1>
    </dataValidation>
  </dataValidations>
  <hyperlinks>
    <hyperlink ref="C23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showGridLines="0" workbookViewId="0"/>
  </sheetViews>
  <sheetFormatPr baseColWidth="10" defaultColWidth="8.83203125" defaultRowHeight="15"/>
  <cols>
    <col min="1" max="1" width="14" customWidth="1"/>
    <col min="2" max="2" width="33.83203125" customWidth="1"/>
    <col min="3" max="3" width="8.83203125" customWidth="1"/>
    <col min="4" max="4" width="12" customWidth="1"/>
    <col min="5" max="6" width="54" customWidth="1"/>
    <col min="7" max="7" width="72" customWidth="1"/>
  </cols>
  <sheetData>
    <row r="1" spans="1:7">
      <c r="A1" s="20" t="s">
        <v>648</v>
      </c>
      <c r="B1" s="20" t="s">
        <v>649</v>
      </c>
      <c r="C1" s="20" t="s">
        <v>650</v>
      </c>
      <c r="D1" s="20" t="s">
        <v>651</v>
      </c>
      <c r="E1" s="20" t="s">
        <v>652</v>
      </c>
      <c r="F1" s="20" t="s">
        <v>653</v>
      </c>
      <c r="G1" s="20" t="s">
        <v>17</v>
      </c>
    </row>
    <row r="2" spans="1:7">
      <c r="A2" t="s">
        <v>654</v>
      </c>
      <c r="B2" t="s">
        <v>655</v>
      </c>
      <c r="C2" t="s">
        <v>656</v>
      </c>
      <c r="D2" t="s">
        <v>657</v>
      </c>
      <c r="E2" t="s">
        <v>658</v>
      </c>
      <c r="F2" t="s">
        <v>659</v>
      </c>
      <c r="G2" t="s">
        <v>660</v>
      </c>
    </row>
    <row r="3" spans="1:7">
      <c r="A3" t="s">
        <v>661</v>
      </c>
      <c r="B3" t="s">
        <v>662</v>
      </c>
      <c r="C3" t="s">
        <v>656</v>
      </c>
      <c r="D3" t="s">
        <v>657</v>
      </c>
      <c r="E3" t="s">
        <v>663</v>
      </c>
      <c r="F3" t="s">
        <v>664</v>
      </c>
      <c r="G3" t="s">
        <v>665</v>
      </c>
    </row>
    <row r="4" spans="1:7">
      <c r="A4" t="s">
        <v>666</v>
      </c>
      <c r="B4" t="s">
        <v>667</v>
      </c>
      <c r="C4" t="s">
        <v>656</v>
      </c>
      <c r="D4" t="s">
        <v>657</v>
      </c>
      <c r="E4" t="s">
        <v>668</v>
      </c>
      <c r="F4" t="s">
        <v>669</v>
      </c>
      <c r="G4" t="s">
        <v>670</v>
      </c>
    </row>
  </sheetData>
  <dataValidations count="1">
    <dataValidation type="list" sqref="D2:D196" xr:uid="{00000000-0002-0000-0100-000000000000}">
      <formula1>"Entwurf,Freigegeben,Legacy"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6"/>
  <sheetViews>
    <sheetView showGridLines="0" workbookViewId="0">
      <selection activeCell="I23" sqref="I23"/>
    </sheetView>
  </sheetViews>
  <sheetFormatPr baseColWidth="10" defaultColWidth="8.83203125" defaultRowHeight="15"/>
  <cols>
    <col min="1" max="1" width="14" customWidth="1"/>
    <col min="2" max="2" width="11" customWidth="1"/>
    <col min="3" max="4" width="10" customWidth="1"/>
    <col min="5" max="5" width="15" customWidth="1"/>
    <col min="6" max="6" width="10" customWidth="1"/>
    <col min="7" max="8" width="13" customWidth="1"/>
    <col min="9" max="9" width="34" customWidth="1"/>
    <col min="10" max="10" width="66" customWidth="1"/>
    <col min="11" max="11" width="17" customWidth="1"/>
    <col min="12" max="12" width="18" customWidth="1"/>
    <col min="13" max="13" width="72" customWidth="1"/>
  </cols>
  <sheetData>
    <row r="1" spans="1:13" ht="32">
      <c r="A1" s="23" t="s">
        <v>648</v>
      </c>
      <c r="B1" s="23" t="s">
        <v>671</v>
      </c>
      <c r="C1" s="23" t="s">
        <v>672</v>
      </c>
      <c r="D1" s="23" t="s">
        <v>673</v>
      </c>
      <c r="E1" s="23" t="s">
        <v>674</v>
      </c>
      <c r="F1" s="23" t="s">
        <v>675</v>
      </c>
      <c r="G1" s="23" t="s">
        <v>676</v>
      </c>
      <c r="H1" s="23" t="s">
        <v>677</v>
      </c>
      <c r="I1" s="23" t="s">
        <v>678</v>
      </c>
      <c r="J1" s="23" t="s">
        <v>679</v>
      </c>
      <c r="K1" s="23" t="s">
        <v>10</v>
      </c>
      <c r="L1" s="23" t="s">
        <v>680</v>
      </c>
      <c r="M1" s="23" t="s">
        <v>17</v>
      </c>
    </row>
    <row r="2" spans="1:13">
      <c r="A2" t="s">
        <v>654</v>
      </c>
      <c r="B2" t="s">
        <v>656</v>
      </c>
      <c r="C2" s="21">
        <v>10</v>
      </c>
      <c r="D2" t="s">
        <v>681</v>
      </c>
      <c r="E2" t="s">
        <v>70</v>
      </c>
      <c r="F2" s="21">
        <v>1</v>
      </c>
      <c r="G2" t="s">
        <v>682</v>
      </c>
      <c r="H2" t="s">
        <v>246</v>
      </c>
      <c r="I2" t="str">
        <f>VLOOKUP(E2,Parts!$A$2:$S$200,4,FALSE)</f>
        <v>100 nF, 10 %, X7R, 100 V</v>
      </c>
      <c r="J2" t="str">
        <f>VLOOKUP(E2,Parts!$A$2:$S$200,5,FALSE)</f>
        <v>Capacitor_SMD:C_1206_3216Metric_Pad1.33x1.80mm_HandSolder</v>
      </c>
      <c r="K2" s="22">
        <v>0.24</v>
      </c>
      <c r="L2" s="22">
        <f t="shared" ref="L2:L33" si="0">IF(K2="","",F2*K2)</f>
        <v>0.24</v>
      </c>
      <c r="M2" t="str">
        <f>VLOOKUP(E2,Parts!$A$2:$S$200,18,FALSE)</f>
        <v>Spannungsfestigkeit, Dielektrikum und Bauform vor Bestellung gegen Schaltplan und Footprint prüfen; C1 ist in allen vier aktuellen Empty-Schemata derzeit DNP; C1 ist im aktuellen DuoRelay-Schema derzeit DNP</v>
      </c>
    </row>
    <row r="3" spans="1:13">
      <c r="A3" t="s">
        <v>654</v>
      </c>
      <c r="B3" t="s">
        <v>656</v>
      </c>
      <c r="C3" s="21">
        <v>20</v>
      </c>
      <c r="D3" t="s">
        <v>395</v>
      </c>
      <c r="E3" t="s">
        <v>82</v>
      </c>
      <c r="F3" s="21">
        <v>1</v>
      </c>
      <c r="G3" t="s">
        <v>682</v>
      </c>
      <c r="H3" t="s">
        <v>246</v>
      </c>
      <c r="I3" t="str">
        <f>VLOOKUP(E3,Parts!$A$2:$S$200,4,FALSE)</f>
        <v>10 µF, 25 V, X7R</v>
      </c>
      <c r="J3" t="str">
        <f>VLOOKUP(E3,Parts!$A$2:$S$200,5,FALSE)</f>
        <v>Capacitor_SMD:C_1206_3216Metric_Pad1.33x1.80mm_HandSolder</v>
      </c>
      <c r="K3" s="22">
        <v>0.11</v>
      </c>
      <c r="L3" s="22">
        <f t="shared" si="0"/>
        <v>0.11</v>
      </c>
      <c r="M3" t="str">
        <f>VLOOKUP(E3,Parts!$A$2:$S$200,18,FALSE)</f>
        <v>Spannungsfestigkeit, Dielektrikum und Bauform vor Bestellung gegen Schaltplan und Footprint prüfen</v>
      </c>
    </row>
    <row r="4" spans="1:13">
      <c r="A4" t="s">
        <v>654</v>
      </c>
      <c r="B4" t="s">
        <v>656</v>
      </c>
      <c r="C4" s="21">
        <v>30</v>
      </c>
      <c r="D4" t="s">
        <v>683</v>
      </c>
      <c r="E4" t="s">
        <v>91</v>
      </c>
      <c r="F4" s="21">
        <v>1</v>
      </c>
      <c r="G4" t="s">
        <v>682</v>
      </c>
      <c r="H4" t="s">
        <v>246</v>
      </c>
      <c r="I4" t="str">
        <f>VLOOKUP(E4,Parts!$A$2:$S$200,4,FALSE)</f>
        <v>47 µF, 10 V</v>
      </c>
      <c r="J4" t="str">
        <f>VLOOKUP(E4,Parts!$A$2:$S$200,5,FALSE)</f>
        <v>Capacitor_Tantalum_SMD:CP_EIA-3528-21_Kemet-B</v>
      </c>
      <c r="K4" s="22">
        <v>0.28999999999999998</v>
      </c>
      <c r="L4" s="22">
        <f t="shared" si="0"/>
        <v>0.28999999999999998</v>
      </c>
      <c r="M4" t="str">
        <f>VLOOKUP(E4,Parts!$A$2:$S$200,18,FALSE)</f>
        <v>Polarisiert; Bauform B</v>
      </c>
    </row>
    <row r="5" spans="1:13">
      <c r="A5" t="s">
        <v>654</v>
      </c>
      <c r="B5" t="s">
        <v>656</v>
      </c>
      <c r="C5" s="21">
        <v>40</v>
      </c>
      <c r="D5" t="s">
        <v>684</v>
      </c>
      <c r="E5" t="s">
        <v>70</v>
      </c>
      <c r="F5" s="21">
        <v>1</v>
      </c>
      <c r="G5" t="s">
        <v>682</v>
      </c>
      <c r="H5" t="s">
        <v>246</v>
      </c>
      <c r="I5" t="str">
        <f>VLOOKUP(E5,Parts!$A$2:$S$200,4,FALSE)</f>
        <v>100 nF, 10 %, X7R, 100 V</v>
      </c>
      <c r="J5" t="str">
        <f>VLOOKUP(E5,Parts!$A$2:$S$200,5,FALSE)</f>
        <v>Capacitor_SMD:C_1206_3216Metric_Pad1.33x1.80mm_HandSolder</v>
      </c>
      <c r="K5" s="22">
        <v>0.24</v>
      </c>
      <c r="L5" s="22">
        <f t="shared" si="0"/>
        <v>0.24</v>
      </c>
      <c r="M5" t="str">
        <f>VLOOKUP(E5,Parts!$A$2:$S$200,18,FALSE)</f>
        <v>Spannungsfestigkeit, Dielektrikum und Bauform vor Bestellung gegen Schaltplan und Footprint prüfen; C1 ist in allen vier aktuellen Empty-Schemata derzeit DNP; C1 ist im aktuellen DuoRelay-Schema derzeit DNP</v>
      </c>
    </row>
    <row r="6" spans="1:13">
      <c r="A6" t="s">
        <v>654</v>
      </c>
      <c r="B6" t="s">
        <v>656</v>
      </c>
      <c r="C6" s="21">
        <v>50</v>
      </c>
      <c r="D6" t="s">
        <v>685</v>
      </c>
      <c r="E6" t="s">
        <v>70</v>
      </c>
      <c r="F6" s="21">
        <v>1</v>
      </c>
      <c r="G6" t="s">
        <v>682</v>
      </c>
      <c r="H6" t="s">
        <v>246</v>
      </c>
      <c r="I6" t="str">
        <f>VLOOKUP(E6,Parts!$A$2:$S$200,4,FALSE)</f>
        <v>100 nF, 10 %, X7R, 100 V</v>
      </c>
      <c r="J6" t="str">
        <f>VLOOKUP(E6,Parts!$A$2:$S$200,5,FALSE)</f>
        <v>Capacitor_SMD:C_1206_3216Metric_Pad1.33x1.80mm_HandSolder</v>
      </c>
      <c r="K6" s="22">
        <v>0.24</v>
      </c>
      <c r="L6" s="22">
        <f t="shared" si="0"/>
        <v>0.24</v>
      </c>
      <c r="M6" t="str">
        <f>VLOOKUP(E6,Parts!$A$2:$S$200,18,FALSE)</f>
        <v>Spannungsfestigkeit, Dielektrikum und Bauform vor Bestellung gegen Schaltplan und Footprint prüfen; C1 ist in allen vier aktuellen Empty-Schemata derzeit DNP; C1 ist im aktuellen DuoRelay-Schema derzeit DNP</v>
      </c>
    </row>
    <row r="7" spans="1:13">
      <c r="A7" t="s">
        <v>654</v>
      </c>
      <c r="B7" t="s">
        <v>656</v>
      </c>
      <c r="C7" s="21">
        <v>60</v>
      </c>
      <c r="D7" t="s">
        <v>473</v>
      </c>
      <c r="E7" t="s">
        <v>466</v>
      </c>
      <c r="F7" s="21">
        <v>1</v>
      </c>
      <c r="G7" t="s">
        <v>682</v>
      </c>
      <c r="H7" t="s">
        <v>246</v>
      </c>
      <c r="I7" t="str">
        <f>VLOOKUP(E7,Parts!$A$2:$S$200,4,FALSE)</f>
        <v>10 µF, ±20 %, 25 V, 85 °C, 2000 h</v>
      </c>
      <c r="J7" t="str">
        <f>VLOOKUP(E7,Parts!$A$2:$S$200,5,FALSE)</f>
        <v>Capacitor_SMD:CP_Elec_5x5.4</v>
      </c>
      <c r="K7" s="22">
        <v>0.18</v>
      </c>
      <c r="L7" s="22">
        <f t="shared" si="0"/>
        <v>0.18</v>
      </c>
      <c r="M7" t="str">
        <f>VLOOKUP(E7,Parts!$A$2:$S$200,18,FALSE)</f>
        <v>Panasonic SMD-Aluminium-Elektrolytkondensator, 10 µF ±20 %, 25 V, 85 °C, 2000 h. Abmessungen Ø 5,0 × 5,4 mm passen exakt zum zugewiesenen KiCad-Footprint. C6 liegt zwischen +3V3_SYS und GND; 25 V bieten deutliche Spannungsreserve. Polarität beachten.</v>
      </c>
    </row>
    <row r="8" spans="1:13">
      <c r="A8" t="s">
        <v>654</v>
      </c>
      <c r="B8" t="s">
        <v>656</v>
      </c>
      <c r="C8" s="21">
        <v>70</v>
      </c>
      <c r="D8" t="s">
        <v>686</v>
      </c>
      <c r="E8" t="s">
        <v>457</v>
      </c>
      <c r="F8" s="21">
        <v>1</v>
      </c>
      <c r="G8" t="s">
        <v>682</v>
      </c>
      <c r="H8" t="s">
        <v>246</v>
      </c>
      <c r="I8" t="str">
        <f>VLOOKUP(E8,Parts!$A$2:$S$200,4,FALSE)</f>
        <v>SS14, 1 A, 40 V, UF max. 0,5 V, IFSM 40 A</v>
      </c>
      <c r="J8" t="str">
        <f>VLOOKUP(E8,Parts!$A$2:$S$200,5,FALSE)</f>
        <v>Diode_SMD:D_SMA</v>
      </c>
      <c r="K8" s="22">
        <v>0.18</v>
      </c>
      <c r="L8" s="22">
        <f t="shared" si="0"/>
        <v>0.18</v>
      </c>
      <c r="M8" t="str">
        <f>VLOOKUP(E8,Parts!$A$2:$S$200,18,FALSE)</f>
        <v>Vishay Schottky-Gleichrichter im DO-214AC-/SMA-Gehäuse, 40 V Sperrspannung, 1 A Dauerstrom, 40 A Stoßstrom und Temperaturbereich −65 bis +150 °C. D1 entkoppelt +3V3_EXT, D2 entkoppelt +3V3_DEVKIT; beide speisen mit der Kathode +3V3_SYS. Zwei Stück je EnvNode Mini Rev 0.2.</v>
      </c>
    </row>
    <row r="9" spans="1:13">
      <c r="A9" t="s">
        <v>654</v>
      </c>
      <c r="B9" t="s">
        <v>656</v>
      </c>
      <c r="C9" s="21">
        <v>80</v>
      </c>
      <c r="D9" t="s">
        <v>687</v>
      </c>
      <c r="E9" t="s">
        <v>457</v>
      </c>
      <c r="F9" s="21">
        <v>1</v>
      </c>
      <c r="G9" t="s">
        <v>682</v>
      </c>
      <c r="H9" t="s">
        <v>246</v>
      </c>
      <c r="I9" t="str">
        <f>VLOOKUP(E9,Parts!$A$2:$S$200,4,FALSE)</f>
        <v>SS14, 1 A, 40 V, UF max. 0,5 V, IFSM 40 A</v>
      </c>
      <c r="J9" t="str">
        <f>VLOOKUP(E9,Parts!$A$2:$S$200,5,FALSE)</f>
        <v>Diode_SMD:D_SMA</v>
      </c>
      <c r="K9" s="22">
        <v>0.18</v>
      </c>
      <c r="L9" s="22">
        <f t="shared" si="0"/>
        <v>0.18</v>
      </c>
      <c r="M9" t="str">
        <f>VLOOKUP(E9,Parts!$A$2:$S$200,18,FALSE)</f>
        <v>Vishay Schottky-Gleichrichter im DO-214AC-/SMA-Gehäuse, 40 V Sperrspannung, 1 A Dauerstrom, 40 A Stoßstrom und Temperaturbereich −65 bis +150 °C. D1 entkoppelt +3V3_EXT, D2 entkoppelt +3V3_DEVKIT; beide speisen mit der Kathode +3V3_SYS. Zwei Stück je EnvNode Mini Rev 0.2.</v>
      </c>
    </row>
    <row r="10" spans="1:13">
      <c r="A10" t="s">
        <v>654</v>
      </c>
      <c r="B10" t="s">
        <v>656</v>
      </c>
      <c r="C10" s="21">
        <v>90</v>
      </c>
      <c r="D10" t="s">
        <v>488</v>
      </c>
      <c r="E10" t="s">
        <v>126</v>
      </c>
      <c r="F10" s="21">
        <v>1</v>
      </c>
      <c r="G10" t="s">
        <v>682</v>
      </c>
      <c r="H10" t="s">
        <v>246</v>
      </c>
      <c r="I10" t="str">
        <f>VLOOKUP(E10,Parts!$A$2:$S$200,4,FALSE)</f>
        <v>JST-PH, 2-polig, 2,00 mm</v>
      </c>
      <c r="J10" t="str">
        <f>VLOOKUP(E10,Parts!$A$2:$S$200,5,FALSE)</f>
        <v>Connector_JST:JST_PH_B2B-PH-K_1x02_P2.00mm_Vertical</v>
      </c>
      <c r="K10" s="22">
        <v>1.3</v>
      </c>
      <c r="L10" s="22">
        <f t="shared" si="0"/>
        <v>1.3</v>
      </c>
      <c r="M10">
        <f>VLOOKUP(E10,Parts!$A$2:$S$200,18,FALSE)</f>
        <v>0</v>
      </c>
    </row>
    <row r="11" spans="1:13">
      <c r="A11" t="s">
        <v>654</v>
      </c>
      <c r="B11" t="s">
        <v>656</v>
      </c>
      <c r="C11" s="21">
        <v>100</v>
      </c>
      <c r="D11" t="s">
        <v>688</v>
      </c>
      <c r="E11" t="s">
        <v>443</v>
      </c>
      <c r="F11" s="21">
        <v>1</v>
      </c>
      <c r="G11" t="s">
        <v>682</v>
      </c>
      <c r="H11" t="s">
        <v>246</v>
      </c>
      <c r="I11" t="str">
        <f>VLOOKUP(E11,Parts!$A$2:$S$200,4,FALSE)</f>
        <v>2x7, 2,54 mm, THT, vertikal, vergoldet, Bauhöhe 8,4 mm</v>
      </c>
      <c r="J11" t="str">
        <f>VLOOKUP(E11,Parts!$A$2:$S$200,5,FALSE)</f>
        <v>Connector_PinSocket_2.54mm:PinSocket_2x07_P2.54mm_Vertical</v>
      </c>
      <c r="K11" s="22">
        <v>0.56000000000000005</v>
      </c>
      <c r="L11" s="22">
        <f t="shared" si="0"/>
        <v>0.56000000000000005</v>
      </c>
      <c r="M11" t="str">
        <f>VLOOKUP(E11,Parts!$A$2:$S$200,18,FALSE)</f>
        <v>Würth WR-PHD Dual Socket Header, 14 Kontakte, 2,54 mm, THT, vergoldet, 3 A/250 V AC. Der generische KiCad-Footprint bildet Raster und THT-Anordnung ab; Gehäusekontur/Courtyard sind nicht herstellerspezifisch.</v>
      </c>
    </row>
    <row r="12" spans="1:13">
      <c r="A12" t="s">
        <v>654</v>
      </c>
      <c r="B12" t="s">
        <v>656</v>
      </c>
      <c r="C12" s="21">
        <v>110</v>
      </c>
      <c r="D12" t="s">
        <v>689</v>
      </c>
      <c r="E12" t="s">
        <v>443</v>
      </c>
      <c r="F12" s="21">
        <v>1</v>
      </c>
      <c r="G12" t="s">
        <v>682</v>
      </c>
      <c r="H12" t="s">
        <v>246</v>
      </c>
      <c r="I12" t="str">
        <f>VLOOKUP(E12,Parts!$A$2:$S$200,4,FALSE)</f>
        <v>2x7, 2,54 mm, THT, vertikal, vergoldet, Bauhöhe 8,4 mm</v>
      </c>
      <c r="J12" t="str">
        <f>VLOOKUP(E12,Parts!$A$2:$S$200,5,FALSE)</f>
        <v>Connector_PinSocket_2.54mm:PinSocket_2x07_P2.54mm_Vertical</v>
      </c>
      <c r="K12" s="22">
        <v>0.56000000000000005</v>
      </c>
      <c r="L12" s="22">
        <f t="shared" si="0"/>
        <v>0.56000000000000005</v>
      </c>
      <c r="M12" t="str">
        <f>VLOOKUP(E12,Parts!$A$2:$S$200,18,FALSE)</f>
        <v>Würth WR-PHD Dual Socket Header, 14 Kontakte, 2,54 mm, THT, vergoldet, 3 A/250 V AC. Der generische KiCad-Footprint bildet Raster und THT-Anordnung ab; Gehäusekontur/Courtyard sind nicht herstellerspezifisch.</v>
      </c>
    </row>
    <row r="13" spans="1:13">
      <c r="A13" t="s">
        <v>654</v>
      </c>
      <c r="B13" t="s">
        <v>656</v>
      </c>
      <c r="C13" s="21">
        <v>120</v>
      </c>
      <c r="D13" t="s">
        <v>690</v>
      </c>
      <c r="E13" t="s">
        <v>248</v>
      </c>
      <c r="F13" s="21">
        <v>1</v>
      </c>
      <c r="G13" t="s">
        <v>682</v>
      </c>
      <c r="H13" t="s">
        <v>246</v>
      </c>
      <c r="I13" t="str">
        <f>VLOOKUP(E13,Parts!$A$2:$S$200,4,FALSE)</f>
        <v>4-polig, 1,00 mm</v>
      </c>
      <c r="J13" t="str">
        <f>VLOOKUP(E13,Parts!$A$2:$S$200,5,FALSE)</f>
        <v>Connector_JST:JST_SH_SM04B-SRSS-TB_1x04-1MP_P1.00mm_Horizontal</v>
      </c>
      <c r="K13" s="22">
        <v>5.88</v>
      </c>
      <c r="L13" s="22">
        <f t="shared" si="0"/>
        <v>5.88</v>
      </c>
      <c r="M13" t="str">
        <f>VLOOKUP(E13,Parts!$A$2:$S$200,18,FALSE)</f>
        <v>MPN-Suffix und Verpackungsform festlegen; nicht mit Qwiic-Pigtail zusammenführen.</v>
      </c>
    </row>
    <row r="14" spans="1:13">
      <c r="A14" t="s">
        <v>654</v>
      </c>
      <c r="B14" t="s">
        <v>656</v>
      </c>
      <c r="C14" s="21">
        <v>130</v>
      </c>
      <c r="D14" t="s">
        <v>691</v>
      </c>
      <c r="E14" t="s">
        <v>248</v>
      </c>
      <c r="F14" s="21">
        <v>1</v>
      </c>
      <c r="G14" t="s">
        <v>682</v>
      </c>
      <c r="H14" t="s">
        <v>246</v>
      </c>
      <c r="I14" t="str">
        <f>VLOOKUP(E14,Parts!$A$2:$S$200,4,FALSE)</f>
        <v>4-polig, 1,00 mm</v>
      </c>
      <c r="J14" t="str">
        <f>VLOOKUP(E14,Parts!$A$2:$S$200,5,FALSE)</f>
        <v>Connector_JST:JST_SH_SM04B-SRSS-TB_1x04-1MP_P1.00mm_Horizontal</v>
      </c>
      <c r="K14" s="22">
        <v>5.88</v>
      </c>
      <c r="L14" s="22">
        <f t="shared" si="0"/>
        <v>5.88</v>
      </c>
      <c r="M14" t="str">
        <f>VLOOKUP(E14,Parts!$A$2:$S$200,18,FALSE)</f>
        <v>MPN-Suffix und Verpackungsform festlegen; nicht mit Qwiic-Pigtail zusammenführen.</v>
      </c>
    </row>
    <row r="15" spans="1:13">
      <c r="A15" t="s">
        <v>654</v>
      </c>
      <c r="B15" t="s">
        <v>656</v>
      </c>
      <c r="C15" s="21">
        <v>140</v>
      </c>
      <c r="D15" t="s">
        <v>403</v>
      </c>
      <c r="E15" t="s">
        <v>58</v>
      </c>
      <c r="F15" s="21">
        <v>1</v>
      </c>
      <c r="G15" t="s">
        <v>682</v>
      </c>
      <c r="H15" t="s">
        <v>246</v>
      </c>
      <c r="I15" t="str">
        <f>VLOOKUP(E15,Parts!$A$2:$S$200,4,FALSE)</f>
        <v>4,7 kΩ, 1 %, 250 mW</v>
      </c>
      <c r="J15" t="str">
        <f>VLOOKUP(E15,Parts!$A$2:$S$200,5,FALSE)</f>
        <v>Resistor_SMD:R_1206_3216Metric_Pad1.30x1.75mm_HandSolder</v>
      </c>
      <c r="K15" s="22">
        <v>0.15</v>
      </c>
      <c r="L15" s="22">
        <f t="shared" si="0"/>
        <v>0.15</v>
      </c>
      <c r="M15" t="str">
        <f>VLOOKUP(E15,Parts!$A$2:$S$200,18,FALSE)</f>
        <v>I2C-Pull-ups für die beiden I2C-Busse</v>
      </c>
    </row>
    <row r="16" spans="1:13">
      <c r="A16" t="s">
        <v>654</v>
      </c>
      <c r="B16" t="s">
        <v>656</v>
      </c>
      <c r="C16" s="21">
        <v>150</v>
      </c>
      <c r="D16" t="s">
        <v>692</v>
      </c>
      <c r="E16" t="s">
        <v>58</v>
      </c>
      <c r="F16" s="21">
        <v>1</v>
      </c>
      <c r="G16" t="s">
        <v>682</v>
      </c>
      <c r="H16" t="s">
        <v>246</v>
      </c>
      <c r="I16" t="str">
        <f>VLOOKUP(E16,Parts!$A$2:$S$200,4,FALSE)</f>
        <v>4,7 kΩ, 1 %, 250 mW</v>
      </c>
      <c r="J16" t="str">
        <f>VLOOKUP(E16,Parts!$A$2:$S$200,5,FALSE)</f>
        <v>Resistor_SMD:R_1206_3216Metric_Pad1.30x1.75mm_HandSolder</v>
      </c>
      <c r="K16" s="22">
        <v>0.15</v>
      </c>
      <c r="L16" s="22">
        <f t="shared" si="0"/>
        <v>0.15</v>
      </c>
      <c r="M16" t="str">
        <f>VLOOKUP(E16,Parts!$A$2:$S$200,18,FALSE)</f>
        <v>I2C-Pull-ups für die beiden I2C-Busse</v>
      </c>
    </row>
    <row r="17" spans="1:13">
      <c r="A17" t="s">
        <v>654</v>
      </c>
      <c r="B17" t="s">
        <v>656</v>
      </c>
      <c r="C17" s="21">
        <v>160</v>
      </c>
      <c r="D17" t="s">
        <v>183</v>
      </c>
      <c r="E17" t="s">
        <v>58</v>
      </c>
      <c r="F17" s="21">
        <v>1</v>
      </c>
      <c r="G17" t="s">
        <v>682</v>
      </c>
      <c r="H17" t="s">
        <v>246</v>
      </c>
      <c r="I17" t="str">
        <f>VLOOKUP(E17,Parts!$A$2:$S$200,4,FALSE)</f>
        <v>4,7 kΩ, 1 %, 250 mW</v>
      </c>
      <c r="J17" t="str">
        <f>VLOOKUP(E17,Parts!$A$2:$S$200,5,FALSE)</f>
        <v>Resistor_SMD:R_1206_3216Metric_Pad1.30x1.75mm_HandSolder</v>
      </c>
      <c r="K17" s="22">
        <v>0.15</v>
      </c>
      <c r="L17" s="22">
        <f t="shared" si="0"/>
        <v>0.15</v>
      </c>
      <c r="M17" t="str">
        <f>VLOOKUP(E17,Parts!$A$2:$S$200,18,FALSE)</f>
        <v>I2C-Pull-ups für die beiden I2C-Busse</v>
      </c>
    </row>
    <row r="18" spans="1:13">
      <c r="A18" t="s">
        <v>654</v>
      </c>
      <c r="B18" t="s">
        <v>656</v>
      </c>
      <c r="C18" s="21">
        <v>170</v>
      </c>
      <c r="D18" t="s">
        <v>693</v>
      </c>
      <c r="E18" t="s">
        <v>58</v>
      </c>
      <c r="F18" s="21">
        <v>1</v>
      </c>
      <c r="G18" t="s">
        <v>682</v>
      </c>
      <c r="H18" t="s">
        <v>246</v>
      </c>
      <c r="I18" t="str">
        <f>VLOOKUP(E18,Parts!$A$2:$S$200,4,FALSE)</f>
        <v>4,7 kΩ, 1 %, 250 mW</v>
      </c>
      <c r="J18" t="str">
        <f>VLOOKUP(E18,Parts!$A$2:$S$200,5,FALSE)</f>
        <v>Resistor_SMD:R_1206_3216Metric_Pad1.30x1.75mm_HandSolder</v>
      </c>
      <c r="K18" s="22">
        <v>0.15</v>
      </c>
      <c r="L18" s="22">
        <f t="shared" si="0"/>
        <v>0.15</v>
      </c>
      <c r="M18" t="str">
        <f>VLOOKUP(E18,Parts!$A$2:$S$200,18,FALSE)</f>
        <v>I2C-Pull-ups für die beiden I2C-Busse</v>
      </c>
    </row>
    <row r="19" spans="1:13">
      <c r="A19" t="s">
        <v>654</v>
      </c>
      <c r="B19" t="s">
        <v>656</v>
      </c>
      <c r="C19" s="21">
        <v>180</v>
      </c>
      <c r="D19" t="s">
        <v>202</v>
      </c>
      <c r="E19" t="s">
        <v>111</v>
      </c>
      <c r="F19" s="21">
        <v>1</v>
      </c>
      <c r="G19" t="s">
        <v>682</v>
      </c>
      <c r="H19" t="s">
        <v>246</v>
      </c>
      <c r="I19" t="str">
        <f>VLOOKUP(E19,Parts!$A$2:$S$200,4,FALSE)</f>
        <v>38 Pin</v>
      </c>
      <c r="J19" t="str">
        <f>VLOOKUP(E19,Parts!$A$2:$S$200,5,FALSE)</f>
        <v>PCM_Espressif:ESP32-DevKitC</v>
      </c>
      <c r="K19" s="22">
        <v>5</v>
      </c>
      <c r="L19" s="22">
        <f t="shared" si="0"/>
        <v>5</v>
      </c>
      <c r="M19" t="str">
        <f>VLOOKUP(E19,Parts!$A$2:$S$200,18,FALSE)</f>
        <v>Exakte Modulvariante und Pinout vor Bestückung prüfen Hersteller/MPN aus verschobenen Altdaten korrigiert; genaue DevKitC-Variante fehlt.</v>
      </c>
    </row>
    <row r="20" spans="1:13">
      <c r="A20" t="s">
        <v>654</v>
      </c>
      <c r="B20" t="s">
        <v>656</v>
      </c>
      <c r="C20" s="21">
        <v>190</v>
      </c>
      <c r="D20" t="s">
        <v>415</v>
      </c>
      <c r="E20" t="s">
        <v>228</v>
      </c>
      <c r="F20" s="21">
        <v>1</v>
      </c>
      <c r="G20" t="s">
        <v>682</v>
      </c>
      <c r="H20" t="s">
        <v>246</v>
      </c>
      <c r="I20" t="str">
        <f>VLOOKUP(E20,Parts!$A$2:$S$200,4,FALSE)</f>
        <v>2 Kbit, I²C, EUI-64, A0/A1, 1,7–5,5 V</v>
      </c>
      <c r="J20" t="str">
        <f>VLOOKUP(E20,Parts!$A$2:$S$200,5,FALSE)</f>
        <v>Package_TO_SOT_SMD:SOT-23-6</v>
      </c>
      <c r="K20" s="22"/>
      <c r="L20" s="22" t="str">
        <f t="shared" si="0"/>
        <v/>
      </c>
      <c r="M20" t="str">
        <f>VLOOKUP(E20,Parts!$A$2:$S$200,18,FALSE)</f>
        <v>Gemeinsamer Identifikations-EEPROM für alle Boards. Frühere Lieferantendaten gehörten zur falschen SPI-Version 25AA02E64T-I/OT und wurden entfernt; Bezugsquelle, Bestellnummer und Preis neu ergänzen. Auf Modulboards derzeit DNP.; In allen vier aktuellen Empty-Schemata derzeit DNP; A1 liegt an +3V3_SYS, A0 wird über J1 herausgeführt; U1 ist in den aktuellen DuoRelay- und AnalogHydroPressure-Schemata derzeit DNP</v>
      </c>
    </row>
    <row r="21" spans="1:13">
      <c r="A21" t="s">
        <v>654</v>
      </c>
      <c r="B21" t="s">
        <v>656</v>
      </c>
      <c r="C21" s="21">
        <v>200</v>
      </c>
      <c r="D21" t="s">
        <v>694</v>
      </c>
      <c r="E21" t="s">
        <v>100</v>
      </c>
      <c r="F21" s="21">
        <v>1</v>
      </c>
      <c r="G21" t="s">
        <v>682</v>
      </c>
      <c r="H21" t="s">
        <v>246</v>
      </c>
      <c r="I21" t="str">
        <f>VLOOKUP(E21,Parts!$A$2:$S$200,4,FALSE)</f>
        <v>3,3 V, 1 A</v>
      </c>
      <c r="J21" t="str">
        <f>VLOOKUP(E21,Parts!$A$2:$S$200,5,FALSE)</f>
        <v>Package_TO_SOT_SMD:SOT-223-3_TabPin2</v>
      </c>
      <c r="K21" s="22">
        <v>1</v>
      </c>
      <c r="L21" s="22">
        <f t="shared" si="0"/>
        <v>1</v>
      </c>
      <c r="M21" t="str">
        <f>VLOOKUP(E21,Parts!$A$2:$S$200,18,FALSE)</f>
        <v>Footprint und thermische Auslegung vor Bestückung prüfen</v>
      </c>
    </row>
    <row r="22" spans="1:13">
      <c r="A22" t="s">
        <v>654</v>
      </c>
      <c r="B22" t="s">
        <v>656</v>
      </c>
      <c r="C22" s="21">
        <v>210</v>
      </c>
      <c r="E22" t="s">
        <v>476</v>
      </c>
      <c r="F22" s="21">
        <v>1</v>
      </c>
      <c r="G22" t="s">
        <v>682</v>
      </c>
      <c r="H22" t="s">
        <v>120</v>
      </c>
      <c r="I22" t="str">
        <f>VLOOKUP(E22,Parts!$A$2:$S$200,4,FALSE)</f>
        <v>Revision 0.2</v>
      </c>
      <c r="J22" t="str">
        <f>VLOOKUP(E22,Parts!$A$2:$S$200,5,FALSE)</f>
        <v>PCB: MainBoards/EnvNode Mini/EnvNode Mini.kicad_pcb</v>
      </c>
      <c r="K22" s="22"/>
      <c r="L22" s="22" t="str">
        <f t="shared" si="0"/>
        <v/>
      </c>
      <c r="M22" t="str">
        <f>VLOOKUP(E22,Parts!$A$2:$S$200,18,FALSE)</f>
        <v>Aktueller KiCad-Stand; Fertiger und konkrete Fertigungsvariante festlegen.</v>
      </c>
    </row>
    <row r="23" spans="1:13">
      <c r="A23" t="s">
        <v>661</v>
      </c>
      <c r="B23" t="s">
        <v>656</v>
      </c>
      <c r="C23" s="21">
        <v>10</v>
      </c>
      <c r="D23" t="s">
        <v>681</v>
      </c>
      <c r="E23" t="s">
        <v>70</v>
      </c>
      <c r="F23" s="21">
        <v>1</v>
      </c>
      <c r="G23" t="s">
        <v>695</v>
      </c>
      <c r="H23" t="s">
        <v>246</v>
      </c>
      <c r="I23" t="str">
        <f>VLOOKUP(E23,Parts!$A$2:$S$200,4,FALSE)</f>
        <v>100 nF, 10 %, X7R, 100 V</v>
      </c>
      <c r="J23" t="str">
        <f>VLOOKUP(E23,Parts!$A$2:$S$200,5,FALSE)</f>
        <v>Capacitor_SMD:C_1206_3216Metric_Pad1.33x1.80mm_HandSolder</v>
      </c>
      <c r="K23" s="22">
        <v>0.24</v>
      </c>
      <c r="L23" s="22">
        <f t="shared" si="0"/>
        <v>0.24</v>
      </c>
      <c r="M23" t="str">
        <f>VLOOKUP(E23,Parts!$A$2:$S$200,18,FALSE)</f>
        <v>Spannungsfestigkeit, Dielektrikum und Bauform vor Bestellung gegen Schaltplan und Footprint prüfen; C1 ist in allen vier aktuellen Empty-Schemata derzeit DNP; C1 ist im aktuellen DuoRelay-Schema derzeit DNP</v>
      </c>
    </row>
    <row r="24" spans="1:13">
      <c r="A24" t="s">
        <v>661</v>
      </c>
      <c r="B24" t="s">
        <v>656</v>
      </c>
      <c r="C24" s="21">
        <v>20</v>
      </c>
      <c r="D24" t="s">
        <v>686</v>
      </c>
      <c r="E24" t="s">
        <v>304</v>
      </c>
      <c r="F24" s="21">
        <v>1</v>
      </c>
      <c r="G24" t="s">
        <v>682</v>
      </c>
      <c r="H24" t="s">
        <v>246</v>
      </c>
      <c r="I24" t="str">
        <f>VLOOKUP(E24,Parts!$A$2:$S$200,4,FALSE)</f>
        <v>1N4148W</v>
      </c>
      <c r="J24" t="str">
        <f>VLOOKUP(E24,Parts!$A$2:$S$200,5,FALSE)</f>
        <v>Diode_SMD:D_SOD-123</v>
      </c>
      <c r="K24" s="22">
        <v>0.02</v>
      </c>
      <c r="L24" s="22">
        <f t="shared" si="0"/>
        <v>0.02</v>
      </c>
      <c r="M24">
        <f>VLOOKUP(E24,Parts!$A$2:$S$200,18,FALSE)</f>
        <v>0</v>
      </c>
    </row>
    <row r="25" spans="1:13">
      <c r="A25" t="s">
        <v>661</v>
      </c>
      <c r="B25" t="s">
        <v>656</v>
      </c>
      <c r="C25" s="21">
        <v>30</v>
      </c>
      <c r="D25" t="s">
        <v>687</v>
      </c>
      <c r="E25" t="s">
        <v>304</v>
      </c>
      <c r="F25" s="21">
        <v>1</v>
      </c>
      <c r="G25" t="s">
        <v>682</v>
      </c>
      <c r="H25" t="s">
        <v>246</v>
      </c>
      <c r="I25" t="str">
        <f>VLOOKUP(E25,Parts!$A$2:$S$200,4,FALSE)</f>
        <v>1N4148W</v>
      </c>
      <c r="J25" t="str">
        <f>VLOOKUP(E25,Parts!$A$2:$S$200,5,FALSE)</f>
        <v>Diode_SMD:D_SOD-123</v>
      </c>
      <c r="K25" s="22">
        <v>0.02</v>
      </c>
      <c r="L25" s="22">
        <f t="shared" si="0"/>
        <v>0.02</v>
      </c>
      <c r="M25">
        <f>VLOOKUP(E25,Parts!$A$2:$S$200,18,FALSE)</f>
        <v>0</v>
      </c>
    </row>
    <row r="26" spans="1:13">
      <c r="A26" t="s">
        <v>661</v>
      </c>
      <c r="B26" t="s">
        <v>656</v>
      </c>
      <c r="C26" s="21">
        <v>40</v>
      </c>
      <c r="D26" t="s">
        <v>575</v>
      </c>
      <c r="E26" t="s">
        <v>527</v>
      </c>
      <c r="F26" s="21">
        <v>1</v>
      </c>
      <c r="G26" t="s">
        <v>682</v>
      </c>
      <c r="H26" t="s">
        <v>246</v>
      </c>
      <c r="I26" t="str">
        <f>VLOOKUP(E26,Parts!$A$2:$S$200,4,FALSE)</f>
        <v>Hyperrot, 645 nm, 250 mcd, 140°, Vf 2,0–2,5 V, IF max. 30 mA</v>
      </c>
      <c r="J26" t="str">
        <f>VLOOKUP(E26,Parts!$A$2:$S$200,5,FALSE)</f>
        <v>LED_SMD:LED_1206_3216Metric_Pad1.42x1.75mm_HandSolder</v>
      </c>
      <c r="K26" s="22">
        <v>0.11</v>
      </c>
      <c r="L26" s="22">
        <f t="shared" si="0"/>
        <v>0.11</v>
      </c>
      <c r="M26" t="str">
        <f>VLOOKUP(E26,Parts!$A$2:$S$200,18,FALSE)</f>
        <v>Kingbright SMD-LED im 1206-/3216-Gehäuse, hyperrot, 250 mcd, 140° Abstrahlwinkel, Bauhöhe 1,1 mm. Im DuoRelay liegen D3/D4 über je 1,5 kΩ an +5 V; bei etwa 2 V Vorwärtsspannung fließen rund 2 mA.</v>
      </c>
    </row>
    <row r="27" spans="1:13">
      <c r="A27" t="s">
        <v>661</v>
      </c>
      <c r="B27" t="s">
        <v>656</v>
      </c>
      <c r="C27" s="21">
        <v>50</v>
      </c>
      <c r="D27" t="s">
        <v>696</v>
      </c>
      <c r="E27" t="s">
        <v>527</v>
      </c>
      <c r="F27" s="21">
        <v>1</v>
      </c>
      <c r="G27" t="s">
        <v>682</v>
      </c>
      <c r="H27" t="s">
        <v>246</v>
      </c>
      <c r="I27" t="str">
        <f>VLOOKUP(E27,Parts!$A$2:$S$200,4,FALSE)</f>
        <v>Hyperrot, 645 nm, 250 mcd, 140°, Vf 2,0–2,5 V, IF max. 30 mA</v>
      </c>
      <c r="J27" t="str">
        <f>VLOOKUP(E27,Parts!$A$2:$S$200,5,FALSE)</f>
        <v>LED_SMD:LED_1206_3216Metric_Pad1.42x1.75mm_HandSolder</v>
      </c>
      <c r="K27" s="22">
        <v>0.11</v>
      </c>
      <c r="L27" s="22">
        <f t="shared" si="0"/>
        <v>0.11</v>
      </c>
      <c r="M27" t="str">
        <f>VLOOKUP(E27,Parts!$A$2:$S$200,18,FALSE)</f>
        <v>Kingbright SMD-LED im 1206-/3216-Gehäuse, hyperrot, 250 mcd, 140° Abstrahlwinkel, Bauhöhe 1,1 mm. Im DuoRelay liegen D3/D4 über je 1,5 kΩ an +5 V; bei etwa 2 V Vorwärtsspannung fließen rund 2 mA.</v>
      </c>
    </row>
    <row r="28" spans="1:13">
      <c r="A28" t="s">
        <v>661</v>
      </c>
      <c r="B28" t="s">
        <v>656</v>
      </c>
      <c r="C28" s="21">
        <v>60</v>
      </c>
      <c r="D28" t="s">
        <v>488</v>
      </c>
      <c r="E28" t="s">
        <v>491</v>
      </c>
      <c r="F28" s="21">
        <v>1</v>
      </c>
      <c r="G28" t="s">
        <v>682</v>
      </c>
      <c r="H28" t="s">
        <v>246</v>
      </c>
      <c r="I28" t="str">
        <f>VLOOKUP(E28,Parts!$A$2:$S$200,4,FALSE)</f>
        <v>2x7, 2,54 mm, THT, vertikal, vergoldet, 6,1 mm Stecklänge, 3,0 mm Lötstift</v>
      </c>
      <c r="J28" t="str">
        <f>VLOOKUP(E28,Parts!$A$2:$S$200,5,FALSE)</f>
        <v>EnvNode-Footprints:PinHeader_2x07_P2.54mm_Vertical_Bottom</v>
      </c>
      <c r="K28" s="22">
        <v>0.3</v>
      </c>
      <c r="L28" s="22">
        <f t="shared" si="0"/>
        <v>0.3</v>
      </c>
      <c r="M28" t="str">
        <f>VLOOKUP(E28,Parts!$A$2:$S$200,18,FALSE)</f>
        <v>Standard-THT-Stiftleiste mit 11,6 mm Gesamtlänge, vergoldeten Kontakten und 3 A Nennstrom. Die Bestückung von der Modulunterseite und die dafür passende Pinorientierung werden durch den Projekt-Footprint PinHeader_2x07_P2.54mm_Vertical_Bottom festgelegt. Einzelpreis inkl. MwSt., Stand 2026-09-01; Preis und Verfügbarkeit vor Bestellung prüfen.</v>
      </c>
    </row>
    <row r="29" spans="1:13">
      <c r="A29" t="s">
        <v>661</v>
      </c>
      <c r="B29" t="s">
        <v>656</v>
      </c>
      <c r="C29" s="21">
        <v>70</v>
      </c>
      <c r="D29" t="s">
        <v>689</v>
      </c>
      <c r="E29" t="s">
        <v>311</v>
      </c>
      <c r="F29" s="21">
        <v>1</v>
      </c>
      <c r="G29" t="s">
        <v>682</v>
      </c>
      <c r="H29" t="s">
        <v>246</v>
      </c>
      <c r="I29" t="str">
        <f>VLOOKUP(E29,Parts!$A$2:$S$200,4,FALSE)</f>
        <v>3-polig, 5,08 mm</v>
      </c>
      <c r="J29" t="str">
        <f>VLOOKUP(E29,Parts!$A$2:$S$200,5,FALSE)</f>
        <v>TerminalBlock_Phoenix:TerminalBlock_Phoenix_MKDS-3-3-5.08_1x03_P5.08mm_Horizontal</v>
      </c>
      <c r="K29" s="22"/>
      <c r="L29" s="22" t="str">
        <f t="shared" si="0"/>
        <v/>
      </c>
      <c r="M29" t="str">
        <f>VLOOKUP(E29,Parts!$A$2:$S$200,18,FALSE)</f>
        <v>Exakte Hersteller-MPN ergänzen.</v>
      </c>
    </row>
    <row r="30" spans="1:13">
      <c r="A30" t="s">
        <v>661</v>
      </c>
      <c r="B30" t="s">
        <v>656</v>
      </c>
      <c r="C30" s="21">
        <v>80</v>
      </c>
      <c r="D30" t="s">
        <v>690</v>
      </c>
      <c r="E30" t="s">
        <v>311</v>
      </c>
      <c r="F30" s="21">
        <v>1</v>
      </c>
      <c r="G30" t="s">
        <v>682</v>
      </c>
      <c r="H30" t="s">
        <v>246</v>
      </c>
      <c r="I30" t="str">
        <f>VLOOKUP(E30,Parts!$A$2:$S$200,4,FALSE)</f>
        <v>3-polig, 5,08 mm</v>
      </c>
      <c r="J30" t="str">
        <f>VLOOKUP(E30,Parts!$A$2:$S$200,5,FALSE)</f>
        <v>TerminalBlock_Phoenix:TerminalBlock_Phoenix_MKDS-3-3-5.08_1x03_P5.08mm_Horizontal</v>
      </c>
      <c r="K30" s="22"/>
      <c r="L30" s="22" t="str">
        <f t="shared" si="0"/>
        <v/>
      </c>
      <c r="M30" t="str">
        <f>VLOOKUP(E30,Parts!$A$2:$S$200,18,FALSE)</f>
        <v>Exakte Hersteller-MPN ergänzen.</v>
      </c>
    </row>
    <row r="31" spans="1:13">
      <c r="A31" t="s">
        <v>661</v>
      </c>
      <c r="B31" t="s">
        <v>656</v>
      </c>
      <c r="C31" s="21">
        <v>90</v>
      </c>
      <c r="D31" t="s">
        <v>697</v>
      </c>
      <c r="E31" t="s">
        <v>217</v>
      </c>
      <c r="F31" s="21">
        <v>1</v>
      </c>
      <c r="G31" t="s">
        <v>682</v>
      </c>
      <c r="H31" t="s">
        <v>246</v>
      </c>
      <c r="I31" t="str">
        <f>VLOOKUP(E31,Parts!$A$2:$S$200,4,FALSE)</f>
        <v>5 V, 1 Wechsler, 6 A</v>
      </c>
      <c r="J31" t="str">
        <f>VLOOKUP(E31,Parts!$A$2:$S$200,5,FALSE)</f>
        <v>Relay_THT:Relay_SPDT_Finder_34.51_Vertical</v>
      </c>
      <c r="K31" s="22">
        <v>5.8</v>
      </c>
      <c r="L31" s="22">
        <f t="shared" si="0"/>
        <v>5.8</v>
      </c>
      <c r="M31">
        <f>VLOOKUP(E31,Parts!$A$2:$S$200,18,FALSE)</f>
        <v>0</v>
      </c>
    </row>
    <row r="32" spans="1:13">
      <c r="A32" t="s">
        <v>661</v>
      </c>
      <c r="B32" t="s">
        <v>656</v>
      </c>
      <c r="C32" s="21">
        <v>100</v>
      </c>
      <c r="D32" t="s">
        <v>698</v>
      </c>
      <c r="E32" t="s">
        <v>217</v>
      </c>
      <c r="F32" s="21">
        <v>1</v>
      </c>
      <c r="G32" t="s">
        <v>682</v>
      </c>
      <c r="H32" t="s">
        <v>246</v>
      </c>
      <c r="I32" t="str">
        <f>VLOOKUP(E32,Parts!$A$2:$S$200,4,FALSE)</f>
        <v>5 V, 1 Wechsler, 6 A</v>
      </c>
      <c r="J32" t="str">
        <f>VLOOKUP(E32,Parts!$A$2:$S$200,5,FALSE)</f>
        <v>Relay_THT:Relay_SPDT_Finder_34.51_Vertical</v>
      </c>
      <c r="K32" s="22">
        <v>5.8</v>
      </c>
      <c r="L32" s="22">
        <f t="shared" si="0"/>
        <v>5.8</v>
      </c>
      <c r="M32">
        <f>VLOOKUP(E32,Parts!$A$2:$S$200,18,FALSE)</f>
        <v>0</v>
      </c>
    </row>
    <row r="33" spans="1:13">
      <c r="A33" t="s">
        <v>661</v>
      </c>
      <c r="B33" t="s">
        <v>656</v>
      </c>
      <c r="C33" s="21">
        <v>110</v>
      </c>
      <c r="D33" t="s">
        <v>143</v>
      </c>
      <c r="E33" t="s">
        <v>318</v>
      </c>
      <c r="F33" s="21">
        <v>1</v>
      </c>
      <c r="G33" t="s">
        <v>682</v>
      </c>
      <c r="H33" t="s">
        <v>246</v>
      </c>
      <c r="I33" t="str">
        <f>VLOOKUP(E33,Parts!$A$2:$S$200,4,FALSE)</f>
        <v>BC817</v>
      </c>
      <c r="J33" t="str">
        <f>VLOOKUP(E33,Parts!$A$2:$S$200,5,FALSE)</f>
        <v>Package_TO_SOT_SMD:SOT-23_Handsoldering</v>
      </c>
      <c r="K33" s="22">
        <v>0.02</v>
      </c>
      <c r="L33" s="22">
        <f t="shared" si="0"/>
        <v>0.02</v>
      </c>
      <c r="M33">
        <f>VLOOKUP(E33,Parts!$A$2:$S$200,18,FALSE)</f>
        <v>0</v>
      </c>
    </row>
    <row r="34" spans="1:13">
      <c r="A34" t="s">
        <v>661</v>
      </c>
      <c r="B34" t="s">
        <v>656</v>
      </c>
      <c r="C34" s="21">
        <v>120</v>
      </c>
      <c r="D34" t="s">
        <v>699</v>
      </c>
      <c r="E34" t="s">
        <v>318</v>
      </c>
      <c r="F34" s="21">
        <v>1</v>
      </c>
      <c r="G34" t="s">
        <v>682</v>
      </c>
      <c r="H34" t="s">
        <v>246</v>
      </c>
      <c r="I34" t="str">
        <f>VLOOKUP(E34,Parts!$A$2:$S$200,4,FALSE)</f>
        <v>BC817</v>
      </c>
      <c r="J34" t="str">
        <f>VLOOKUP(E34,Parts!$A$2:$S$200,5,FALSE)</f>
        <v>Package_TO_SOT_SMD:SOT-23_Handsoldering</v>
      </c>
      <c r="K34" s="22">
        <v>0.02</v>
      </c>
      <c r="L34" s="22">
        <f t="shared" ref="L34:L65" si="1">IF(K34="","",F34*K34)</f>
        <v>0.02</v>
      </c>
      <c r="M34">
        <f>VLOOKUP(E34,Parts!$A$2:$S$200,18,FALSE)</f>
        <v>0</v>
      </c>
    </row>
    <row r="35" spans="1:13">
      <c r="A35" t="s">
        <v>661</v>
      </c>
      <c r="B35" t="s">
        <v>656</v>
      </c>
      <c r="C35" s="21">
        <v>130</v>
      </c>
      <c r="D35" t="s">
        <v>403</v>
      </c>
      <c r="E35" t="s">
        <v>326</v>
      </c>
      <c r="F35" s="21">
        <v>1</v>
      </c>
      <c r="G35" t="s">
        <v>682</v>
      </c>
      <c r="H35" t="s">
        <v>246</v>
      </c>
      <c r="I35" t="str">
        <f>VLOOKUP(E35,Parts!$A$2:$S$200,4,FALSE)</f>
        <v>1 kΩ</v>
      </c>
      <c r="J35" t="str">
        <f>VLOOKUP(E35,Parts!$A$2:$S$200,5,FALSE)</f>
        <v>Resistor_SMD:R_1206_3216Metric_Pad1.30x1.75mm_HandSolder</v>
      </c>
      <c r="K35" s="22">
        <v>0.14000000000000001</v>
      </c>
      <c r="L35" s="22">
        <f t="shared" si="1"/>
        <v>0.14000000000000001</v>
      </c>
      <c r="M35">
        <f>VLOOKUP(E35,Parts!$A$2:$S$200,18,FALSE)</f>
        <v>0</v>
      </c>
    </row>
    <row r="36" spans="1:13">
      <c r="A36" t="s">
        <v>661</v>
      </c>
      <c r="B36" t="s">
        <v>656</v>
      </c>
      <c r="C36" s="21">
        <v>140</v>
      </c>
      <c r="D36" t="s">
        <v>692</v>
      </c>
      <c r="E36" t="s">
        <v>326</v>
      </c>
      <c r="F36" s="21">
        <v>1</v>
      </c>
      <c r="G36" t="s">
        <v>682</v>
      </c>
      <c r="H36" t="s">
        <v>246</v>
      </c>
      <c r="I36" t="str">
        <f>VLOOKUP(E36,Parts!$A$2:$S$200,4,FALSE)</f>
        <v>1 kΩ</v>
      </c>
      <c r="J36" t="str">
        <f>VLOOKUP(E36,Parts!$A$2:$S$200,5,FALSE)</f>
        <v>Resistor_SMD:R_1206_3216Metric_Pad1.30x1.75mm_HandSolder</v>
      </c>
      <c r="K36" s="22">
        <v>0.14000000000000001</v>
      </c>
      <c r="L36" s="22">
        <f t="shared" si="1"/>
        <v>0.14000000000000001</v>
      </c>
      <c r="M36">
        <f>VLOOKUP(E36,Parts!$A$2:$S$200,18,FALSE)</f>
        <v>0</v>
      </c>
    </row>
    <row r="37" spans="1:13">
      <c r="A37" t="s">
        <v>661</v>
      </c>
      <c r="B37" t="s">
        <v>656</v>
      </c>
      <c r="C37" s="21">
        <v>150</v>
      </c>
      <c r="D37" t="s">
        <v>183</v>
      </c>
      <c r="E37" t="s">
        <v>158</v>
      </c>
      <c r="F37" s="21">
        <v>1</v>
      </c>
      <c r="G37" t="s">
        <v>682</v>
      </c>
      <c r="H37" t="s">
        <v>246</v>
      </c>
      <c r="I37" t="str">
        <f>VLOOKUP(E37,Parts!$A$2:$S$200,4,FALSE)</f>
        <v>100 kΩ, 0,1 %, 250 mW</v>
      </c>
      <c r="J37" t="str">
        <f>VLOOKUP(E37,Parts!$A$2:$S$200,5,FALSE)</f>
        <v>Resistor_SMD:R_1206_3216Metric_Pad1.30x1.75mm_HandSolder</v>
      </c>
      <c r="K37" s="22">
        <v>0.83</v>
      </c>
      <c r="L37" s="22">
        <f t="shared" si="1"/>
        <v>0.83</v>
      </c>
      <c r="M37" t="str">
        <f>VLOOKUP(E37,Parts!$A$2:$S$200,18,FALSE)</f>
        <v>Lieferanten-Bestellnummer in der Altdatei enthält vermischte Angaben.</v>
      </c>
    </row>
    <row r="38" spans="1:13">
      <c r="A38" t="s">
        <v>661</v>
      </c>
      <c r="B38" t="s">
        <v>656</v>
      </c>
      <c r="C38" s="21">
        <v>160</v>
      </c>
      <c r="D38" t="s">
        <v>693</v>
      </c>
      <c r="E38" t="s">
        <v>158</v>
      </c>
      <c r="F38" s="21">
        <v>1</v>
      </c>
      <c r="G38" t="s">
        <v>682</v>
      </c>
      <c r="H38" t="s">
        <v>246</v>
      </c>
      <c r="I38" t="str">
        <f>VLOOKUP(E38,Parts!$A$2:$S$200,4,FALSE)</f>
        <v>100 kΩ, 0,1 %, 250 mW</v>
      </c>
      <c r="J38" t="str">
        <f>VLOOKUP(E38,Parts!$A$2:$S$200,5,FALSE)</f>
        <v>Resistor_SMD:R_1206_3216Metric_Pad1.30x1.75mm_HandSolder</v>
      </c>
      <c r="K38" s="22">
        <v>0.83</v>
      </c>
      <c r="L38" s="22">
        <f t="shared" si="1"/>
        <v>0.83</v>
      </c>
      <c r="M38" t="str">
        <f>VLOOKUP(E38,Parts!$A$2:$S$200,18,FALSE)</f>
        <v>Lieferanten-Bestellnummer in der Altdatei enthält vermischte Angaben.</v>
      </c>
    </row>
    <row r="39" spans="1:13">
      <c r="A39" t="s">
        <v>661</v>
      </c>
      <c r="B39" t="s">
        <v>656</v>
      </c>
      <c r="C39" s="21">
        <v>170</v>
      </c>
      <c r="D39" t="s">
        <v>597</v>
      </c>
      <c r="E39" t="s">
        <v>540</v>
      </c>
      <c r="F39" s="21">
        <v>1</v>
      </c>
      <c r="G39" t="s">
        <v>682</v>
      </c>
      <c r="H39" t="s">
        <v>246</v>
      </c>
      <c r="I39" t="str">
        <f>VLOOKUP(E39,Parts!$A$2:$S$200,4,FALSE)</f>
        <v>1,5 kΩ, 1 %, 0,25 W, 1206</v>
      </c>
      <c r="J39" t="str">
        <f>VLOOKUP(E39,Parts!$A$2:$S$200,5,FALSE)</f>
        <v>Resistor_SMD:R_1206_3216Metric_Pad1.30x1.75mm_HandSolder</v>
      </c>
      <c r="K39" s="22">
        <v>0.14000000000000001</v>
      </c>
      <c r="L39" s="22">
        <f t="shared" si="1"/>
        <v>0.14000000000000001</v>
      </c>
      <c r="M39" t="str">
        <f>VLOOKUP(E39,Parts!$A$2:$S$200,18,FALSE)</f>
        <v>Exakt passend als Vorwiderstand der Relais-LEDs. Einzelpreis, Stand 2026-09-01; Preis und Verfügbarkeit vor Bestellung prüfen.</v>
      </c>
    </row>
    <row r="40" spans="1:13">
      <c r="A40" t="s">
        <v>661</v>
      </c>
      <c r="B40" t="s">
        <v>656</v>
      </c>
      <c r="C40" s="21">
        <v>180</v>
      </c>
      <c r="D40" t="s">
        <v>605</v>
      </c>
      <c r="E40" t="s">
        <v>540</v>
      </c>
      <c r="F40" s="21">
        <v>1</v>
      </c>
      <c r="G40" t="s">
        <v>682</v>
      </c>
      <c r="H40" t="s">
        <v>246</v>
      </c>
      <c r="I40" t="str">
        <f>VLOOKUP(E40,Parts!$A$2:$S$200,4,FALSE)</f>
        <v>1,5 kΩ, 1 %, 0,25 W, 1206</v>
      </c>
      <c r="J40" t="str">
        <f>VLOOKUP(E40,Parts!$A$2:$S$200,5,FALSE)</f>
        <v>Resistor_SMD:R_1206_3216Metric_Pad1.30x1.75mm_HandSolder</v>
      </c>
      <c r="K40" s="22">
        <v>0.14000000000000001</v>
      </c>
      <c r="L40" s="22">
        <f t="shared" si="1"/>
        <v>0.14000000000000001</v>
      </c>
      <c r="M40" t="str">
        <f>VLOOKUP(E40,Parts!$A$2:$S$200,18,FALSE)</f>
        <v>Exakt passend als Vorwiderstand der Relais-LEDs. Einzelpreis, Stand 2026-09-01; Preis und Verfügbarkeit vor Bestellung prüfen.</v>
      </c>
    </row>
    <row r="41" spans="1:13">
      <c r="A41" t="s">
        <v>661</v>
      </c>
      <c r="B41" t="s">
        <v>656</v>
      </c>
      <c r="C41" s="21">
        <v>190</v>
      </c>
      <c r="D41" t="s">
        <v>202</v>
      </c>
      <c r="E41" t="s">
        <v>228</v>
      </c>
      <c r="F41" s="21">
        <v>1</v>
      </c>
      <c r="G41" t="s">
        <v>695</v>
      </c>
      <c r="H41" t="s">
        <v>246</v>
      </c>
      <c r="I41" t="str">
        <f>VLOOKUP(E41,Parts!$A$2:$S$200,4,FALSE)</f>
        <v>2 Kbit, I²C, EUI-64, A0/A1, 1,7–5,5 V</v>
      </c>
      <c r="J41" t="str">
        <f>VLOOKUP(E41,Parts!$A$2:$S$200,5,FALSE)</f>
        <v>Package_TO_SOT_SMD:SOT-23-6</v>
      </c>
      <c r="K41" s="22"/>
      <c r="L41" s="22" t="str">
        <f t="shared" si="1"/>
        <v/>
      </c>
      <c r="M41" t="str">
        <f>VLOOKUP(E41,Parts!$A$2:$S$200,18,FALSE)</f>
        <v>Gemeinsamer Identifikations-EEPROM für alle Boards. Frühere Lieferantendaten gehörten zur falschen SPI-Version 25AA02E64T-I/OT und wurden entfernt; Bezugsquelle, Bestellnummer und Preis neu ergänzen. Auf Modulboards derzeit DNP.; In allen vier aktuellen Empty-Schemata derzeit DNP; A1 liegt an +3V3_SYS, A0 wird über J1 herausgeführt; U1 ist in den aktuellen DuoRelay- und AnalogHydroPressure-Schemata derzeit DNP</v>
      </c>
    </row>
    <row r="42" spans="1:13">
      <c r="A42" t="s">
        <v>661</v>
      </c>
      <c r="B42" t="s">
        <v>656</v>
      </c>
      <c r="C42" s="21">
        <v>200</v>
      </c>
      <c r="E42" t="s">
        <v>550</v>
      </c>
      <c r="F42" s="21">
        <v>1</v>
      </c>
      <c r="G42" t="s">
        <v>682</v>
      </c>
      <c r="H42" t="s">
        <v>120</v>
      </c>
      <c r="I42" t="str">
        <f>VLOOKUP(E42,Parts!$A$2:$S$200,4,FALSE)</f>
        <v>Revision 0.2</v>
      </c>
      <c r="J42" t="str">
        <f>VLOOKUP(E42,Parts!$A$2:$S$200,5,FALSE)</f>
        <v>PCB: Modules/FullSize/DuoRelay/DuoRelay.kicad_pcb</v>
      </c>
      <c r="K42" s="22"/>
      <c r="L42" s="22" t="str">
        <f t="shared" si="1"/>
        <v/>
      </c>
      <c r="M42" t="str">
        <f>VLOOKUP(E42,Parts!$A$2:$S$200,18,FALSE)</f>
        <v>Aktueller KiCad-Stand; Fertiger und konkrete Fertigungsvariante festlegen.</v>
      </c>
    </row>
    <row r="43" spans="1:13">
      <c r="A43" t="s">
        <v>666</v>
      </c>
      <c r="B43" t="s">
        <v>656</v>
      </c>
      <c r="C43" s="21">
        <v>10</v>
      </c>
      <c r="D43" t="s">
        <v>681</v>
      </c>
      <c r="E43" t="s">
        <v>70</v>
      </c>
      <c r="F43" s="21">
        <v>1</v>
      </c>
      <c r="G43" t="s">
        <v>695</v>
      </c>
      <c r="H43" t="s">
        <v>246</v>
      </c>
      <c r="I43" t="str">
        <f>VLOOKUP(E43,Parts!$A$2:$S$200,4,FALSE)</f>
        <v>100 nF, 10 %, X7R, 100 V</v>
      </c>
      <c r="J43" t="str">
        <f>VLOOKUP(E43,Parts!$A$2:$S$200,5,FALSE)</f>
        <v>Capacitor_SMD:C_1206_3216Metric_Pad1.33x1.80mm_HandSolder</v>
      </c>
      <c r="K43" s="22">
        <v>0.24</v>
      </c>
      <c r="L43" s="22">
        <f t="shared" si="1"/>
        <v>0.24</v>
      </c>
      <c r="M43" t="str">
        <f>VLOOKUP(E43,Parts!$A$2:$S$200,18,FALSE)</f>
        <v>Spannungsfestigkeit, Dielektrikum und Bauform vor Bestellung gegen Schaltplan und Footprint prüfen; C1 ist in allen vier aktuellen Empty-Schemata derzeit DNP; C1 ist im aktuellen DuoRelay-Schema derzeit DNP</v>
      </c>
    </row>
    <row r="44" spans="1:13">
      <c r="A44" t="s">
        <v>666</v>
      </c>
      <c r="B44" t="s">
        <v>656</v>
      </c>
      <c r="C44" s="21">
        <v>20</v>
      </c>
      <c r="D44" t="s">
        <v>683</v>
      </c>
      <c r="E44" t="s">
        <v>70</v>
      </c>
      <c r="F44" s="21">
        <v>1</v>
      </c>
      <c r="G44" t="s">
        <v>682</v>
      </c>
      <c r="H44" t="s">
        <v>246</v>
      </c>
      <c r="I44" t="str">
        <f>VLOOKUP(E44,Parts!$A$2:$S$200,4,FALSE)</f>
        <v>100 nF, 10 %, X7R, 100 V</v>
      </c>
      <c r="J44" t="str">
        <f>VLOOKUP(E44,Parts!$A$2:$S$200,5,FALSE)</f>
        <v>Capacitor_SMD:C_1206_3216Metric_Pad1.33x1.80mm_HandSolder</v>
      </c>
      <c r="K44" s="22">
        <v>0.24</v>
      </c>
      <c r="L44" s="22">
        <f t="shared" si="1"/>
        <v>0.24</v>
      </c>
      <c r="M44" t="str">
        <f>VLOOKUP(E44,Parts!$A$2:$S$200,18,FALSE)</f>
        <v>Spannungsfestigkeit, Dielektrikum und Bauform vor Bestellung gegen Schaltplan und Footprint prüfen; C1 ist in allen vier aktuellen Empty-Schemata derzeit DNP; C1 ist im aktuellen DuoRelay-Schema derzeit DNP</v>
      </c>
    </row>
    <row r="45" spans="1:13">
      <c r="A45" t="s">
        <v>666</v>
      </c>
      <c r="B45" t="s">
        <v>656</v>
      </c>
      <c r="C45" s="21">
        <v>30</v>
      </c>
      <c r="D45" t="s">
        <v>684</v>
      </c>
      <c r="E45" t="s">
        <v>266</v>
      </c>
      <c r="F45" s="21">
        <v>1</v>
      </c>
      <c r="G45" t="s">
        <v>682</v>
      </c>
      <c r="H45" t="s">
        <v>246</v>
      </c>
      <c r="I45" t="str">
        <f>VLOOKUP(E45,Parts!$A$2:$S$200,4,FALSE)</f>
        <v>1 µF</v>
      </c>
      <c r="J45" t="str">
        <f>VLOOKUP(E45,Parts!$A$2:$S$200,5,FALSE)</f>
        <v>Capacitor_SMD:C_1206_3216Metric_Pad1.33x1.80mm_HandSolder</v>
      </c>
      <c r="K45" s="22">
        <v>0.16</v>
      </c>
      <c r="L45" s="22">
        <f t="shared" si="1"/>
        <v>0.16</v>
      </c>
      <c r="M45">
        <f>VLOOKUP(E45,Parts!$A$2:$S$200,18,FALSE)</f>
        <v>0</v>
      </c>
    </row>
    <row r="46" spans="1:13">
      <c r="A46" t="s">
        <v>666</v>
      </c>
      <c r="B46" t="s">
        <v>656</v>
      </c>
      <c r="C46" s="21">
        <v>40</v>
      </c>
      <c r="D46" t="s">
        <v>473</v>
      </c>
      <c r="E46" t="s">
        <v>554</v>
      </c>
      <c r="F46" s="21">
        <v>1</v>
      </c>
      <c r="G46" t="s">
        <v>682</v>
      </c>
      <c r="H46" t="s">
        <v>246</v>
      </c>
      <c r="I46" t="str">
        <f>VLOOKUP(E46,Parts!$A$2:$S$200,4,FALSE)</f>
        <v>4,7 µF, 25 V, X7R, ±10 %, 1206</v>
      </c>
      <c r="J46" t="str">
        <f>VLOOKUP(E46,Parts!$A$2:$S$200,5,FALSE)</f>
        <v>Capacitor_SMD:C_1206_3216Metric_Pad1.33x1.80mm_HandSolder</v>
      </c>
      <c r="K46" s="22">
        <v>0.14000000000000001</v>
      </c>
      <c r="L46" s="22">
        <f t="shared" si="1"/>
        <v>0.14000000000000001</v>
      </c>
      <c r="M46" t="str">
        <f>VLOOKUP(E46,Parts!$A$2:$S$200,18,FALSE)</f>
        <v>25-V-Ausführung übertrifft die geforderten mindestens 10 V. Einzelpreis, Stand 2026-09-01; Preis und Verfügbarkeit vor Bestellung prüfen.</v>
      </c>
    </row>
    <row r="47" spans="1:13">
      <c r="A47" t="s">
        <v>666</v>
      </c>
      <c r="B47" t="s">
        <v>656</v>
      </c>
      <c r="C47" s="21">
        <v>50</v>
      </c>
      <c r="D47" t="s">
        <v>700</v>
      </c>
      <c r="E47" t="s">
        <v>266</v>
      </c>
      <c r="F47" s="21">
        <v>1</v>
      </c>
      <c r="G47" t="s">
        <v>682</v>
      </c>
      <c r="H47" t="s">
        <v>246</v>
      </c>
      <c r="I47" t="str">
        <f>VLOOKUP(E47,Parts!$A$2:$S$200,4,FALSE)</f>
        <v>1 µF</v>
      </c>
      <c r="J47" t="str">
        <f>VLOOKUP(E47,Parts!$A$2:$S$200,5,FALSE)</f>
        <v>Capacitor_SMD:C_1206_3216Metric_Pad1.33x1.80mm_HandSolder</v>
      </c>
      <c r="K47" s="22">
        <v>0.16</v>
      </c>
      <c r="L47" s="22">
        <f t="shared" si="1"/>
        <v>0.16</v>
      </c>
      <c r="M47">
        <f>VLOOKUP(E47,Parts!$A$2:$S$200,18,FALSE)</f>
        <v>0</v>
      </c>
    </row>
    <row r="48" spans="1:13">
      <c r="A48" t="s">
        <v>666</v>
      </c>
      <c r="B48" t="s">
        <v>656</v>
      </c>
      <c r="C48" s="21">
        <v>60</v>
      </c>
      <c r="D48" t="s">
        <v>701</v>
      </c>
      <c r="E48" t="s">
        <v>70</v>
      </c>
      <c r="F48" s="21">
        <v>1</v>
      </c>
      <c r="G48" t="s">
        <v>682</v>
      </c>
      <c r="H48" t="s">
        <v>246</v>
      </c>
      <c r="I48" t="str">
        <f>VLOOKUP(E48,Parts!$A$2:$S$200,4,FALSE)</f>
        <v>100 nF, 10 %, X7R, 100 V</v>
      </c>
      <c r="J48" t="str">
        <f>VLOOKUP(E48,Parts!$A$2:$S$200,5,FALSE)</f>
        <v>Capacitor_SMD:C_1206_3216Metric_Pad1.33x1.80mm_HandSolder</v>
      </c>
      <c r="K48" s="22">
        <v>0.24</v>
      </c>
      <c r="L48" s="22">
        <f t="shared" si="1"/>
        <v>0.24</v>
      </c>
      <c r="M48" t="str">
        <f>VLOOKUP(E48,Parts!$A$2:$S$200,18,FALSE)</f>
        <v>Spannungsfestigkeit, Dielektrikum und Bauform vor Bestellung gegen Schaltplan und Footprint prüfen; C1 ist in allen vier aktuellen Empty-Schemata derzeit DNP; C1 ist im aktuellen DuoRelay-Schema derzeit DNP</v>
      </c>
    </row>
    <row r="49" spans="1:13">
      <c r="A49" t="s">
        <v>666</v>
      </c>
      <c r="B49" t="s">
        <v>656</v>
      </c>
      <c r="C49" s="21">
        <v>70</v>
      </c>
      <c r="D49" t="s">
        <v>568</v>
      </c>
      <c r="E49" t="s">
        <v>563</v>
      </c>
      <c r="F49" s="21">
        <v>1</v>
      </c>
      <c r="G49" t="s">
        <v>682</v>
      </c>
      <c r="H49" t="s">
        <v>246</v>
      </c>
      <c r="I49" t="str">
        <f>VLOOKUP(E49,Parts!$A$2:$S$200,4,FALSE)</f>
        <v>4,7 µF, 50 V, X7R, ±10 %, 1210</v>
      </c>
      <c r="J49" t="str">
        <f>VLOOKUP(E49,Parts!$A$2:$S$200,5,FALSE)</f>
        <v>Capacitor_SMD:C_1210_3225Metric_Pad1.33x2.70mm_HandSolder</v>
      </c>
      <c r="K49" s="22">
        <v>1.19</v>
      </c>
      <c r="L49" s="22">
        <f t="shared" si="1"/>
        <v>1.19</v>
      </c>
      <c r="M49" t="str">
        <f>VLOOKUP(E49,Parts!$A$2:$S$200,18,FALSE)</f>
        <v>Passende 50-V-/1210-Ausführung für den Ausgang des 24-V-Boosters. Einzelpreis, Stand 2026-09-01; Preis und Verfügbarkeit vor Bestellung prüfen.</v>
      </c>
    </row>
    <row r="50" spans="1:13">
      <c r="A50" t="s">
        <v>666</v>
      </c>
      <c r="B50" t="s">
        <v>656</v>
      </c>
      <c r="C50" s="21">
        <v>80</v>
      </c>
      <c r="D50" t="s">
        <v>686</v>
      </c>
      <c r="E50" t="s">
        <v>273</v>
      </c>
      <c r="F50" s="21">
        <v>1</v>
      </c>
      <c r="G50" t="s">
        <v>682</v>
      </c>
      <c r="H50" t="s">
        <v>246</v>
      </c>
      <c r="I50" t="str">
        <f>VLOOKUP(E50,Parts!$A$2:$S$200,4,FALSE)</f>
        <v>BAT54S</v>
      </c>
      <c r="J50" t="str">
        <f>VLOOKUP(E50,Parts!$A$2:$S$200,5,FALSE)</f>
        <v>Package_TO_SOT_SMD:SOT-23</v>
      </c>
      <c r="K50" s="22">
        <v>0.04</v>
      </c>
      <c r="L50" s="22">
        <f t="shared" si="1"/>
        <v>0.04</v>
      </c>
      <c r="M50" t="str">
        <f>VLOOKUP(E50,Parts!$A$2:$S$200,18,FALSE)</f>
        <v>Aktuelles AnalogHydroPressure verwendet SOT-23 und stimmt damit mit dem Artikel-Footprint überein; Gehäuse der bestellten Variante dennoch prüfen.</v>
      </c>
    </row>
    <row r="51" spans="1:13">
      <c r="A51" t="s">
        <v>666</v>
      </c>
      <c r="B51" t="s">
        <v>656</v>
      </c>
      <c r="C51" s="21">
        <v>90</v>
      </c>
      <c r="D51" t="s">
        <v>575</v>
      </c>
      <c r="E51" t="s">
        <v>571</v>
      </c>
      <c r="F51" s="21">
        <v>1</v>
      </c>
      <c r="G51" t="s">
        <v>682</v>
      </c>
      <c r="H51" t="s">
        <v>246</v>
      </c>
      <c r="I51" t="str">
        <f>VLOOKUP(E51,Parts!$A$2:$S$200,4,FALSE)</f>
        <v>Typ und elektrische Daten offen</v>
      </c>
      <c r="J51" t="str">
        <f>VLOOKUP(E51,Parts!$A$2:$S$200,5,FALSE)</f>
        <v>Diode_SMD:D_SOD-323F</v>
      </c>
      <c r="K51" s="22"/>
      <c r="L51" s="22" t="str">
        <f t="shared" si="1"/>
        <v/>
      </c>
      <c r="M51" t="str">
        <f>VLOOKUP(E51,Parts!$A$2:$S$200,18,FALSE)</f>
        <v>Schema enthält nur den generischen Wert D_Schottky; Sperrspannung, Strom, Hersteller und MPN festlegen. Einkaufsdaten bleiben offen, bis Sperrspannung und Strombelastbarkeit festgelegt sind.</v>
      </c>
    </row>
    <row r="52" spans="1:13">
      <c r="A52" t="s">
        <v>666</v>
      </c>
      <c r="B52" t="s">
        <v>656</v>
      </c>
      <c r="C52" s="21">
        <v>100</v>
      </c>
      <c r="D52" t="s">
        <v>488</v>
      </c>
      <c r="E52" t="s">
        <v>491</v>
      </c>
      <c r="F52" s="21">
        <v>1</v>
      </c>
      <c r="G52" t="s">
        <v>682</v>
      </c>
      <c r="H52" t="s">
        <v>246</v>
      </c>
      <c r="I52" t="str">
        <f>VLOOKUP(E52,Parts!$A$2:$S$200,4,FALSE)</f>
        <v>2x7, 2,54 mm, THT, vertikal, vergoldet, 6,1 mm Stecklänge, 3,0 mm Lötstift</v>
      </c>
      <c r="J52" t="str">
        <f>VLOOKUP(E52,Parts!$A$2:$S$200,5,FALSE)</f>
        <v>EnvNode-Footprints:PinHeader_2x07_P2.54mm_Vertical_Bottom</v>
      </c>
      <c r="K52" s="22">
        <v>0.3</v>
      </c>
      <c r="L52" s="22">
        <f t="shared" si="1"/>
        <v>0.3</v>
      </c>
      <c r="M52" t="str">
        <f>VLOOKUP(E52,Parts!$A$2:$S$200,18,FALSE)</f>
        <v>Standard-THT-Stiftleiste mit 11,6 mm Gesamtlänge, vergoldeten Kontakten und 3 A Nennstrom. Die Bestückung von der Modulunterseite und die dafür passende Pinorientierung werden durch den Projekt-Footprint PinHeader_2x07_P2.54mm_Vertical_Bottom festgelegt. Einzelpreis inkl. MwSt., Stand 2026-09-01; Preis und Verfügbarkeit vor Bestellung prüfen.</v>
      </c>
    </row>
    <row r="53" spans="1:13">
      <c r="A53" t="s">
        <v>666</v>
      </c>
      <c r="B53" t="s">
        <v>656</v>
      </c>
      <c r="C53" s="21">
        <v>110</v>
      </c>
      <c r="D53" t="s">
        <v>689</v>
      </c>
      <c r="E53" t="s">
        <v>290</v>
      </c>
      <c r="F53" s="21">
        <v>1</v>
      </c>
      <c r="G53" t="s">
        <v>682</v>
      </c>
      <c r="H53" t="s">
        <v>246</v>
      </c>
      <c r="I53" t="str">
        <f>VLOOKUP(E53,Parts!$A$2:$S$200,4,FALSE)</f>
        <v>1x2, 2,54 mm</v>
      </c>
      <c r="J53" t="str">
        <f>VLOOKUP(E53,Parts!$A$2:$S$200,5,FALSE)</f>
        <v>Connector_PinSocket_2.54mm:PinSocket_1x02_P2.54mm_Vertical</v>
      </c>
      <c r="K53" s="22"/>
      <c r="L53" s="22" t="str">
        <f t="shared" si="1"/>
        <v/>
      </c>
      <c r="M53">
        <f>VLOOKUP(E53,Parts!$A$2:$S$200,18,FALSE)</f>
        <v>0</v>
      </c>
    </row>
    <row r="54" spans="1:13">
      <c r="A54" t="s">
        <v>666</v>
      </c>
      <c r="B54" t="s">
        <v>656</v>
      </c>
      <c r="C54" s="21">
        <v>120</v>
      </c>
      <c r="D54" t="s">
        <v>587</v>
      </c>
      <c r="E54" t="s">
        <v>578</v>
      </c>
      <c r="F54" s="21">
        <v>1</v>
      </c>
      <c r="G54" t="s">
        <v>682</v>
      </c>
      <c r="H54" t="s">
        <v>246</v>
      </c>
      <c r="I54" t="str">
        <f>VLOOKUP(E54,Parts!$A$2:$S$200,4,FALSE)</f>
        <v>0,68 µH, 8,2 A, DCR 9 mΩ, WE-MAPI 3012</v>
      </c>
      <c r="J54" t="str">
        <f>VLOOKUP(E54,Parts!$A$2:$S$200,5,FALSE)</f>
        <v>Inductor_SMD:L_Wuerth_MAPI-3012</v>
      </c>
      <c r="K54" s="22">
        <v>1.66</v>
      </c>
      <c r="L54" s="22">
        <f t="shared" si="1"/>
        <v>1.66</v>
      </c>
      <c r="M54" t="str">
        <f>VLOOKUP(E54,Parts!$A$2:$S$200,18,FALSE)</f>
        <v>Exakte MAPI-3012-Ausführung: 680 nH, 8,2 A, DCR 9 mΩ, AEC-Q200. Einzelpreis, Stand 2026-09-01; Preis und Verfügbarkeit vor Bestellung prüfen.</v>
      </c>
    </row>
    <row r="55" spans="1:13">
      <c r="A55" t="s">
        <v>666</v>
      </c>
      <c r="B55" t="s">
        <v>656</v>
      </c>
      <c r="C55" s="21">
        <v>130</v>
      </c>
      <c r="D55" t="s">
        <v>692</v>
      </c>
      <c r="E55" t="s">
        <v>58</v>
      </c>
      <c r="F55" s="21">
        <v>1</v>
      </c>
      <c r="G55" t="s">
        <v>682</v>
      </c>
      <c r="H55" t="s">
        <v>246</v>
      </c>
      <c r="I55" t="str">
        <f>VLOOKUP(E55,Parts!$A$2:$S$200,4,FALSE)</f>
        <v>4,7 kΩ, 1 %, 250 mW</v>
      </c>
      <c r="J55" t="str">
        <f>VLOOKUP(E55,Parts!$A$2:$S$200,5,FALSE)</f>
        <v>Resistor_SMD:R_1206_3216Metric_Pad1.30x1.75mm_HandSolder</v>
      </c>
      <c r="K55" s="22">
        <v>0.15</v>
      </c>
      <c r="L55" s="22">
        <f t="shared" si="1"/>
        <v>0.15</v>
      </c>
      <c r="M55" t="str">
        <f>VLOOKUP(E55,Parts!$A$2:$S$200,18,FALSE)</f>
        <v>I2C-Pull-ups für die beiden I2C-Busse</v>
      </c>
    </row>
    <row r="56" spans="1:13">
      <c r="A56" t="s">
        <v>666</v>
      </c>
      <c r="B56" t="s">
        <v>656</v>
      </c>
      <c r="C56" s="21">
        <v>140</v>
      </c>
      <c r="D56" t="s">
        <v>183</v>
      </c>
      <c r="E56" t="s">
        <v>295</v>
      </c>
      <c r="F56" s="21">
        <v>1</v>
      </c>
      <c r="G56" t="s">
        <v>682</v>
      </c>
      <c r="H56" t="s">
        <v>246</v>
      </c>
      <c r="I56" t="str">
        <f>VLOOKUP(E56,Parts!$A$2:$S$200,4,FALSE)</f>
        <v>150 Ω, 0,1 %, ≤25 ppm/K, &gt;0,125 W</v>
      </c>
      <c r="J56" t="str">
        <f>VLOOKUP(E56,Parts!$A$2:$S$200,5,FALSE)</f>
        <v>Resistor_THT:R_Axial_DIN0207_L6.3mm_D2.5mm_P7.62mm_Horizontal</v>
      </c>
      <c r="K56" s="22">
        <v>1.3</v>
      </c>
      <c r="L56" s="22">
        <f t="shared" si="1"/>
        <v>1.3</v>
      </c>
      <c r="M56">
        <f>VLOOKUP(E56,Parts!$A$2:$S$200,18,FALSE)</f>
        <v>0</v>
      </c>
    </row>
    <row r="57" spans="1:13">
      <c r="A57" t="s">
        <v>666</v>
      </c>
      <c r="B57" t="s">
        <v>656</v>
      </c>
      <c r="C57" s="21">
        <v>150</v>
      </c>
      <c r="D57" t="s">
        <v>597</v>
      </c>
      <c r="E57" t="s">
        <v>591</v>
      </c>
      <c r="F57" s="21">
        <v>1</v>
      </c>
      <c r="G57" t="s">
        <v>682</v>
      </c>
      <c r="H57" t="s">
        <v>246</v>
      </c>
      <c r="I57" t="str">
        <f>VLOOKUP(E57,Parts!$A$2:$S$200,4,FALSE)</f>
        <v>1 MΩ, 1 %, 0,25 W, 1206</v>
      </c>
      <c r="J57" t="str">
        <f>VLOOKUP(E57,Parts!$A$2:$S$200,5,FALSE)</f>
        <v>Resistor_SMD:R_1206_3216Metric_Pad1.30x1.75mm_HandSolder</v>
      </c>
      <c r="K57" s="22">
        <v>0.18</v>
      </c>
      <c r="L57" s="22">
        <f t="shared" si="1"/>
        <v>0.18</v>
      </c>
      <c r="M57" t="str">
        <f>VLOOKUP(E57,Parts!$A$2:$S$200,18,FALSE)</f>
        <v>Elektrisch und mechanisch passend. Einzelpreis, Stand 2026-09-01; Preis und Verfügbarkeit vor Bestellung prüfen.</v>
      </c>
    </row>
    <row r="58" spans="1:13">
      <c r="A58" t="s">
        <v>666</v>
      </c>
      <c r="B58" t="s">
        <v>656</v>
      </c>
      <c r="C58" s="21">
        <v>160</v>
      </c>
      <c r="D58" t="s">
        <v>605</v>
      </c>
      <c r="E58" t="s">
        <v>600</v>
      </c>
      <c r="F58" s="21">
        <v>1</v>
      </c>
      <c r="G58" t="s">
        <v>682</v>
      </c>
      <c r="H58" t="s">
        <v>246</v>
      </c>
      <c r="I58" t="str">
        <f>VLOOKUP(E58,Parts!$A$2:$S$200,4,FALSE)</f>
        <v>71,5 kΩ, 1 %, 0,25 W, 1206</v>
      </c>
      <c r="J58" t="str">
        <f>VLOOKUP(E58,Parts!$A$2:$S$200,5,FALSE)</f>
        <v>Resistor_SMD:R_1206_3216Metric_Pad1.30x1.75mm_HandSolder</v>
      </c>
      <c r="K58" s="22">
        <v>0.09</v>
      </c>
      <c r="L58" s="22">
        <f t="shared" si="1"/>
        <v>0.09</v>
      </c>
      <c r="M58" t="str">
        <f>VLOOKUP(E58,Parts!$A$2:$S$200,18,FALSE)</f>
        <v>Exakter Wert für den Feedback-Widerstand; DigiKey-Bestellnummer auf der Produktseite vor Bestellung ergänzen. Einzelpreis, Stand 2026-09-01; Preis und Verfügbarkeit vor Bestellung prüfen.</v>
      </c>
    </row>
    <row r="59" spans="1:13">
      <c r="A59" t="s">
        <v>666</v>
      </c>
      <c r="B59" t="s">
        <v>656</v>
      </c>
      <c r="C59" s="21">
        <v>170</v>
      </c>
      <c r="D59" t="s">
        <v>702</v>
      </c>
      <c r="E59" t="s">
        <v>158</v>
      </c>
      <c r="F59" s="21">
        <v>1</v>
      </c>
      <c r="G59" t="s">
        <v>682</v>
      </c>
      <c r="H59" t="s">
        <v>246</v>
      </c>
      <c r="I59" t="str">
        <f>VLOOKUP(E59,Parts!$A$2:$S$200,4,FALSE)</f>
        <v>100 kΩ, 0,1 %, 250 mW</v>
      </c>
      <c r="J59" t="str">
        <f>VLOOKUP(E59,Parts!$A$2:$S$200,5,FALSE)</f>
        <v>Resistor_SMD:R_1206_3216Metric_Pad1.30x1.75mm_HandSolder</v>
      </c>
      <c r="K59" s="22">
        <v>0.83</v>
      </c>
      <c r="L59" s="22">
        <f t="shared" si="1"/>
        <v>0.83</v>
      </c>
      <c r="M59" t="str">
        <f>VLOOKUP(E59,Parts!$A$2:$S$200,18,FALSE)</f>
        <v>Lieferanten-Bestellnummer in der Altdatei enthält vermischte Angaben.</v>
      </c>
    </row>
    <row r="60" spans="1:13">
      <c r="A60" t="s">
        <v>666</v>
      </c>
      <c r="B60" t="s">
        <v>656</v>
      </c>
      <c r="C60" s="21">
        <v>180</v>
      </c>
      <c r="D60" t="s">
        <v>616</v>
      </c>
      <c r="E60" t="s">
        <v>609</v>
      </c>
      <c r="F60" s="21">
        <v>1</v>
      </c>
      <c r="G60" t="s">
        <v>682</v>
      </c>
      <c r="H60" t="s">
        <v>246</v>
      </c>
      <c r="I60" t="str">
        <f>VLOOKUP(E60,Parts!$A$2:$S$200,4,FALSE)</f>
        <v>220 kΩ, 1 %, 0,25 W, 1206</v>
      </c>
      <c r="J60" t="str">
        <f>VLOOKUP(E60,Parts!$A$2:$S$200,5,FALSE)</f>
        <v>Resistor_SMD:R_1206_3216Metric_Pad1.30x1.75mm_HandSolder</v>
      </c>
      <c r="K60" s="22">
        <v>7.0000000000000007E-2</v>
      </c>
      <c r="L60" s="22">
        <f t="shared" si="1"/>
        <v>7.0000000000000007E-2</v>
      </c>
      <c r="M60" t="str">
        <f>VLOOKUP(E60,Parts!$A$2:$S$200,18,FALSE)</f>
        <v>Exakte 1-%-Ausführung; der gefundene Reichelt-Typ mit 5 % wurde nicht übernommen. Einzelpreis, Stand 2026-09-01; Preis und Verfügbarkeit vor Bestellung prüfen.</v>
      </c>
    </row>
    <row r="61" spans="1:13">
      <c r="A61" t="s">
        <v>666</v>
      </c>
      <c r="B61" t="s">
        <v>656</v>
      </c>
      <c r="C61" s="21">
        <v>190</v>
      </c>
      <c r="D61" t="s">
        <v>629</v>
      </c>
      <c r="E61" t="s">
        <v>620</v>
      </c>
      <c r="F61" s="21">
        <v>1</v>
      </c>
      <c r="G61" t="s">
        <v>682</v>
      </c>
      <c r="H61" t="s">
        <v>246</v>
      </c>
      <c r="I61" t="str">
        <f>VLOOKUP(E61,Parts!$A$2:$S$200,4,FALSE)</f>
        <v>DPDT</v>
      </c>
      <c r="J61" t="str">
        <f>VLOOKUP(E61,Parts!$A$2:$S$200,5,FALSE)</f>
        <v>EnvNode-Footprints:SW_Slide_CK_OS202011MS2QS1</v>
      </c>
      <c r="K61" s="22">
        <v>0.92</v>
      </c>
      <c r="L61" s="22">
        <f t="shared" si="1"/>
        <v>0.92</v>
      </c>
      <c r="M61" t="str">
        <f>VLOOKUP(E61,Parts!$A$2:$S$200,18,FALSE)</f>
        <v>Exakt der dem Projekt-Footprint zugrunde liegende DPDT-On-On-Schalter. Einzelpreis, Stand 2026-09-01; Preis und Verfügbarkeit vor Bestellung prüfen.</v>
      </c>
    </row>
    <row r="62" spans="1:13">
      <c r="A62" t="s">
        <v>666</v>
      </c>
      <c r="B62" t="s">
        <v>656</v>
      </c>
      <c r="C62" s="21">
        <v>200</v>
      </c>
      <c r="D62" t="s">
        <v>202</v>
      </c>
      <c r="E62" t="s">
        <v>228</v>
      </c>
      <c r="F62" s="21">
        <v>1</v>
      </c>
      <c r="G62" t="s">
        <v>695</v>
      </c>
      <c r="H62" t="s">
        <v>246</v>
      </c>
      <c r="I62" t="str">
        <f>VLOOKUP(E62,Parts!$A$2:$S$200,4,FALSE)</f>
        <v>2 Kbit, I²C, EUI-64, A0/A1, 1,7–5,5 V</v>
      </c>
      <c r="J62" t="str">
        <f>VLOOKUP(E62,Parts!$A$2:$S$200,5,FALSE)</f>
        <v>Package_TO_SOT_SMD:SOT-23-6</v>
      </c>
      <c r="K62" s="22">
        <f>VLOOKUP(E62,Parts!$A$2:$S$200,11,FALSE)</f>
        <v>0</v>
      </c>
      <c r="L62" s="22">
        <f t="shared" si="1"/>
        <v>0</v>
      </c>
      <c r="M62" t="str">
        <f>VLOOKUP(E62,Parts!$A$2:$S$200,18,FALSE)</f>
        <v>Gemeinsamer Identifikations-EEPROM für alle Boards. Frühere Lieferantendaten gehörten zur falschen SPI-Version 25AA02E64T-I/OT und wurden entfernt; Bezugsquelle, Bestellnummer und Preis neu ergänzen. Auf Modulboards derzeit DNP.; In allen vier aktuellen Empty-Schemata derzeit DNP; A1 liegt an +3V3_SYS, A0 wird über J1 herausgeführt; U1 ist in den aktuellen DuoRelay- und AnalogHydroPressure-Schemata derzeit DNP</v>
      </c>
    </row>
    <row r="63" spans="1:13">
      <c r="A63" t="s">
        <v>666</v>
      </c>
      <c r="B63" t="s">
        <v>656</v>
      </c>
      <c r="C63" s="21">
        <v>210</v>
      </c>
      <c r="D63" t="s">
        <v>415</v>
      </c>
      <c r="E63" t="s">
        <v>259</v>
      </c>
      <c r="F63" s="21">
        <v>1</v>
      </c>
      <c r="G63" t="s">
        <v>682</v>
      </c>
      <c r="H63" t="s">
        <v>246</v>
      </c>
      <c r="I63" t="str">
        <f>VLOOKUP(E63,Parts!$A$2:$S$200,4,FALSE)</f>
        <v>ADS1115IDGS</v>
      </c>
      <c r="J63" t="str">
        <f>VLOOKUP(E63,Parts!$A$2:$S$200,5,FALSE)</f>
        <v>Package_SO:TSSOP-10_3x3mm_P0.5mm</v>
      </c>
      <c r="K63" s="22">
        <f>VLOOKUP(E63,Parts!$A$2:$S$200,11,FALSE)</f>
        <v>0</v>
      </c>
      <c r="L63" s="22">
        <f t="shared" si="1"/>
        <v>0</v>
      </c>
      <c r="M63" t="str">
        <f>VLOOKUP(E63,Parts!$A$2:$S$200,18,FALSE)</f>
        <v>Nicht mit dem vorhandenen ADS1115-Entwicklungsboard zusammenführen.</v>
      </c>
    </row>
    <row r="64" spans="1:13">
      <c r="A64" t="s">
        <v>666</v>
      </c>
      <c r="B64" t="s">
        <v>656</v>
      </c>
      <c r="C64" s="21">
        <v>220</v>
      </c>
      <c r="D64" t="s">
        <v>639</v>
      </c>
      <c r="E64" t="s">
        <v>632</v>
      </c>
      <c r="F64" s="21">
        <v>1</v>
      </c>
      <c r="G64" t="s">
        <v>682</v>
      </c>
      <c r="H64" t="s">
        <v>246</v>
      </c>
      <c r="I64" t="str">
        <f>VLOOKUP(E64,Parts!$A$2:$S$200,4,FALSE)</f>
        <v>LT8330, 3…40 V Eingang, 60 V/1 A Schalter, TSOT-23-6</v>
      </c>
      <c r="J64" t="str">
        <f>VLOOKUP(E64,Parts!$A$2:$S$200,5,FALSE)</f>
        <v>Package_TO_SOT_SMD:SOT-23-6</v>
      </c>
      <c r="K64" s="22">
        <f>VLOOKUP(E64,Parts!$A$2:$S$200,11,FALSE)</f>
        <v>7.11</v>
      </c>
      <c r="L64" s="22">
        <f t="shared" si="1"/>
        <v>7.11</v>
      </c>
      <c r="M64" t="str">
        <f>VLOOKUP(E64,Parts!$A$2:$S$200,18,FALSE)</f>
        <v>Bestellbare E-Temperaturvariante im geforderten TSOT-23-6, Cut Tape. Einzelpreis, Stand 2026-09-01; Preis und Verfügbarkeit vor Bestellung prüfen.</v>
      </c>
    </row>
    <row r="65" spans="1:13">
      <c r="A65" t="s">
        <v>666</v>
      </c>
      <c r="B65" t="s">
        <v>656</v>
      </c>
      <c r="C65" s="21">
        <v>230</v>
      </c>
      <c r="E65" t="s">
        <v>643</v>
      </c>
      <c r="F65" s="21">
        <v>1</v>
      </c>
      <c r="G65" t="s">
        <v>682</v>
      </c>
      <c r="H65" t="s">
        <v>120</v>
      </c>
      <c r="I65" t="str">
        <f>VLOOKUP(E65,Parts!$A$2:$S$200,4,FALSE)</f>
        <v>Revision 0.2</v>
      </c>
      <c r="J65" t="str">
        <f>VLOOKUP(E65,Parts!$A$2:$S$200,5,FALSE)</f>
        <v>PCB: Modules/FullSize/AnalogHydroPressure/AnalogHydroPressure.kicad_pcb</v>
      </c>
      <c r="K65" s="22">
        <f>VLOOKUP(E65,Parts!$A$2:$S$200,11,FALSE)</f>
        <v>0</v>
      </c>
      <c r="L65" s="22">
        <f t="shared" si="1"/>
        <v>0</v>
      </c>
      <c r="M65" t="str">
        <f>VLOOKUP(E65,Parts!$A$2:$S$200,18,FALSE)</f>
        <v>Aktueller KiCad-Stand einschließlich Busumschaltung auf Modulseite und F.Cu-Backfill; Fertiger und Fertigungsvariante festlegen.</v>
      </c>
    </row>
    <row r="66" spans="1:13">
      <c r="A66" t="s">
        <v>703</v>
      </c>
      <c r="K66" s="22"/>
      <c r="L66" s="22">
        <f>SUBTOTAL(109,KitBomTable[Position_Price_EUR])</f>
        <v>52.11999999999999</v>
      </c>
      <c r="M66">
        <f>SUBTOTAL(103,KitBomTable[Notes])</f>
        <v>64</v>
      </c>
    </row>
  </sheetData>
  <conditionalFormatting sqref="G2:G65">
    <cfRule type="containsText" dxfId="5" priority="1" operator="containsText" text="DNP"/>
    <cfRule type="containsText" dxfId="4" priority="2" operator="containsText" text="Optional"/>
  </conditionalFormatting>
  <dataValidations count="2">
    <dataValidation type="list" sqref="G2:G493 H2:H500" xr:uid="{00000000-0002-0000-0200-000000000000}">
      <formula1>"KiCad,PCB,Mechanical,Cable,Assembly,Consumable"</formula1>
    </dataValidation>
    <dataValidation type="list" sqref="G2:G500" xr:uid="{00000000-0002-0000-0200-000001000000}">
      <formula1>"Bestücken,DNP,Optional"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2"/>
  <sheetViews>
    <sheetView showGridLines="0" tabSelected="1" topLeftCell="A2" workbookViewId="0">
      <selection activeCell="B24" sqref="B24"/>
    </sheetView>
  </sheetViews>
  <sheetFormatPr baseColWidth="10" defaultColWidth="8.83203125" defaultRowHeight="15"/>
  <cols>
    <col min="1" max="1" width="13" customWidth="1"/>
    <col min="2" max="2" width="35" customWidth="1"/>
    <col min="3" max="3" width="15" customWidth="1"/>
    <col min="4" max="4" width="22" customWidth="1"/>
    <col min="5" max="5" width="15.5" bestFit="1" customWidth="1"/>
    <col min="6" max="6" width="15" customWidth="1"/>
    <col min="7" max="8" width="14" customWidth="1"/>
    <col min="9" max="9" width="15" customWidth="1"/>
    <col min="10" max="10" width="20" customWidth="1"/>
    <col min="11" max="11" width="255.83203125" bestFit="1" customWidth="1"/>
  </cols>
  <sheetData>
    <row r="1" spans="1:11" ht="30" customHeight="1">
      <c r="A1" s="40" t="s">
        <v>704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26" customHeight="1">
      <c r="A2" s="41" t="s">
        <v>705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4" spans="1:11">
      <c r="A4" s="24" t="s">
        <v>648</v>
      </c>
      <c r="B4" s="24" t="s">
        <v>706</v>
      </c>
      <c r="C4" s="24" t="s">
        <v>707</v>
      </c>
      <c r="E4" s="24" t="s">
        <v>708</v>
      </c>
      <c r="F4" s="24" t="s">
        <v>709</v>
      </c>
    </row>
    <row r="5" spans="1:11">
      <c r="A5" s="25" t="s">
        <v>654</v>
      </c>
      <c r="B5" s="26" t="s">
        <v>655</v>
      </c>
      <c r="C5" s="31">
        <v>1</v>
      </c>
      <c r="E5" s="25" t="s">
        <v>710</v>
      </c>
      <c r="F5" s="34" t="s">
        <v>711</v>
      </c>
    </row>
    <row r="6" spans="1:11">
      <c r="A6" s="27" t="s">
        <v>661</v>
      </c>
      <c r="B6" s="28" t="s">
        <v>662</v>
      </c>
      <c r="C6" s="32">
        <v>2</v>
      </c>
      <c r="E6" s="29" t="s">
        <v>712</v>
      </c>
      <c r="F6" s="35" t="s">
        <v>719</v>
      </c>
    </row>
    <row r="7" spans="1:11">
      <c r="A7" s="29" t="s">
        <v>666</v>
      </c>
      <c r="B7" s="30" t="s">
        <v>667</v>
      </c>
      <c r="C7" s="33">
        <v>0</v>
      </c>
    </row>
    <row r="8" spans="1:11" ht="16">
      <c r="E8" s="37" t="s">
        <v>713</v>
      </c>
      <c r="F8" s="42" t="s">
        <v>714</v>
      </c>
      <c r="G8" s="42"/>
      <c r="H8" s="42"/>
      <c r="I8" s="42"/>
      <c r="J8" s="42"/>
      <c r="K8" s="42"/>
    </row>
    <row r="9" spans="1:11">
      <c r="E9" s="36"/>
      <c r="F9" s="42"/>
      <c r="G9" s="42"/>
      <c r="H9" s="42"/>
      <c r="I9" s="42"/>
      <c r="J9" s="42"/>
      <c r="K9" s="42"/>
    </row>
    <row r="13" spans="1:11" ht="15" customHeight="1">
      <c r="A13" t="s">
        <v>0</v>
      </c>
      <c r="B13" t="s">
        <v>2</v>
      </c>
      <c r="C13" t="s">
        <v>7</v>
      </c>
      <c r="D13" t="s">
        <v>8</v>
      </c>
      <c r="E13" t="s">
        <v>715</v>
      </c>
      <c r="F13" t="s">
        <v>12</v>
      </c>
      <c r="G13" t="s">
        <v>716</v>
      </c>
      <c r="H13" t="s">
        <v>10</v>
      </c>
      <c r="I13" t="s">
        <v>717</v>
      </c>
      <c r="J13" t="s">
        <v>718</v>
      </c>
      <c r="K13" t="s">
        <v>9</v>
      </c>
    </row>
    <row r="14" spans="1:11" ht="15" customHeight="1">
      <c r="A14" t="s">
        <v>58</v>
      </c>
      <c r="B14" s="39" t="str">
        <f>IFERROR(VLOOKUP($A14,Parts!$A$2:$S$200,3,FALSE),"")</f>
        <v>4.7 kOhm 1% SMD 1206</v>
      </c>
      <c r="C14" t="str">
        <f>IFERROR(VLOOKUP($A14,Parts!$A$2:$S$200,8,FALSE),"")</f>
        <v>reichelt</v>
      </c>
      <c r="D14" t="str">
        <f>IFERROR(VLOOKUP($A14,Parts!$A$2:$S$200,9,FALSE),"")</f>
        <v>VIS CRCW12064K7</v>
      </c>
      <c r="E14" s="21">
        <f>SUMIFS(Kit_BOM!$F$2:$F$65,Kit_BOM!$E$2:$E$65,$A14,Kit_BOM!$A$2:$A$65,$A$5,Kit_BOM!$G$2:$G$65,"Bestücken")*$C$5+IF($F$5="Ja",SUMIFS(Kit_BOM!$F$2:$F$65,Kit_BOM!$E$2:$E$65,$A14,Kit_BOM!$A$2:$A$65,$A$5,Kit_BOM!$G$2:$G$65,"Optional")*$C$5,0)+IF($F$6="Ja",SUMIFS(Kit_BOM!$F$2:$F$65,Kit_BOM!$E$2:$E$65,$A14,Kit_BOM!$A$2:$A$65,$A$5,Kit_BOM!$G$2:$G$65,"DNP")*$C$5,0)+SUMIFS(Kit_BOM!$F$2:$F$65,Kit_BOM!$E$2:$E$65,$A14,Kit_BOM!$A$2:$A$65,$A$6,Kit_BOM!$G$2:$G$65,"Bestücken")*$C$6+IF($F$5="Ja",SUMIFS(Kit_BOM!$F$2:$F$65,Kit_BOM!$E$2:$E$65,$A14,Kit_BOM!$A$2:$A$65,$A$6,Kit_BOM!$G$2:$G$65,"Optional")*$C$6,0)+IF($F$6="Ja",SUMIFS(Kit_BOM!$F$2:$F$65,Kit_BOM!$E$2:$E$65,$A14,Kit_BOM!$A$2:$A$65,$A$6,Kit_BOM!$G$2:$G$65,"DNP")*$C$6,0)+SUMIFS(Kit_BOM!$F$2:$F$65,Kit_BOM!$E$2:$E$65,$A14,Kit_BOM!$A$2:$A$65,$A$7,Kit_BOM!$G$2:$G$65,"Bestücken")*$C$7+IF($F$5="Ja",SUMIFS(Kit_BOM!$F$2:$F$65,Kit_BOM!$E$2:$E$65,$A14,Kit_BOM!$A$2:$A$65,$A$7,Kit_BOM!$G$2:$G$65,"Optional")*$C$7,0)+IF($F$6="Ja",SUMIFS(Kit_BOM!$F$2:$F$65,Kit_BOM!$E$2:$E$65,$A14,Kit_BOM!$A$2:$A$65,$A$7,Kit_BOM!$G$2:$G$65,"DNP")*$C$7,0)</f>
        <v>4</v>
      </c>
      <c r="F14" s="21">
        <f>IFERROR(VLOOKUP($A14,Parts!$A$2:$S$200,13,FALSE),"")</f>
        <v>0</v>
      </c>
      <c r="G14" s="21">
        <f t="shared" ref="G14:G51" si="0">IF($E14=0,0,IF(OR($F14="",$F14=0),$E14,CEILING($E14,$F14)))</f>
        <v>4</v>
      </c>
      <c r="H14" s="38">
        <f>IFERROR(VLOOKUP($A14,Parts!$A$2:$S$200,11,FALSE),0)</f>
        <v>0.15</v>
      </c>
      <c r="I14" s="38">
        <f t="shared" ref="I14:I51" si="1">$G14*$H14</f>
        <v>0.6</v>
      </c>
      <c r="J14" t="str">
        <f t="shared" ref="J14:J51" si="2">IF($E14=0,"Nicht benötigt",IF(LOWER($C14)&lt;&gt;"reichelt","Anderer Lieferant",IF($D14="","Supplier-PN fehlt","Reichelt bereit")))</f>
        <v>Reichelt bereit</v>
      </c>
      <c r="K14" t="str">
        <f>IFERROR(VLOOKUP($A14,Parts!$A$2:$S$200,10,FALSE),"")</f>
        <v>https://www.reichelt.de/de/de/shop/produkt/smd-widerstand_1206_4_7_kohm_250_mw_1_-238119</v>
      </c>
    </row>
    <row r="15" spans="1:11" ht="15" customHeight="1">
      <c r="A15" t="s">
        <v>70</v>
      </c>
      <c r="B15" s="39" t="str">
        <f>IFERROR(VLOOKUP($A15,Parts!$A$2:$S$200,3,FALSE),"")</f>
        <v>100 nF Keramik SMD</v>
      </c>
      <c r="C15" t="str">
        <f>IFERROR(VLOOKUP($A15,Parts!$A$2:$S$200,8,FALSE),"")</f>
        <v>reichelt</v>
      </c>
      <c r="D15" t="str">
        <f>IFERROR(VLOOKUP($A15,Parts!$A$2:$S$200,9,FALSE),"")</f>
        <v>KEM X7R1206A100N</v>
      </c>
      <c r="E15" s="21">
        <f>SUMIFS(Kit_BOM!$F$2:$F$65,Kit_BOM!$E$2:$E$65,$A15,Kit_BOM!$A$2:$A$65,$A$5,Kit_BOM!$G$2:$G$65,"Bestücken")*$C$5+IF($F$5="Ja",SUMIFS(Kit_BOM!$F$2:$F$65,Kit_BOM!$E$2:$E$65,$A15,Kit_BOM!$A$2:$A$65,$A$5,Kit_BOM!$G$2:$G$65,"Optional")*$C$5,0)+IF($F$6="Ja",SUMIFS(Kit_BOM!$F$2:$F$65,Kit_BOM!$E$2:$E$65,$A15,Kit_BOM!$A$2:$A$65,$A$5,Kit_BOM!$G$2:$G$65,"DNP")*$C$5,0)+SUMIFS(Kit_BOM!$F$2:$F$65,Kit_BOM!$E$2:$E$65,$A15,Kit_BOM!$A$2:$A$65,$A$6,Kit_BOM!$G$2:$G$65,"Bestücken")*$C$6+IF($F$5="Ja",SUMIFS(Kit_BOM!$F$2:$F$65,Kit_BOM!$E$2:$E$65,$A15,Kit_BOM!$A$2:$A$65,$A$6,Kit_BOM!$G$2:$G$65,"Optional")*$C$6,0)+IF($F$6="Ja",SUMIFS(Kit_BOM!$F$2:$F$65,Kit_BOM!$E$2:$E$65,$A15,Kit_BOM!$A$2:$A$65,$A$6,Kit_BOM!$G$2:$G$65,"DNP")*$C$6,0)+SUMIFS(Kit_BOM!$F$2:$F$65,Kit_BOM!$E$2:$E$65,$A15,Kit_BOM!$A$2:$A$65,$A$7,Kit_BOM!$G$2:$G$65,"Bestücken")*$C$7+IF($F$5="Ja",SUMIFS(Kit_BOM!$F$2:$F$65,Kit_BOM!$E$2:$E$65,$A15,Kit_BOM!$A$2:$A$65,$A$7,Kit_BOM!$G$2:$G$65,"Optional")*$C$7,0)+IF($F$6="Ja",SUMIFS(Kit_BOM!$F$2:$F$65,Kit_BOM!$E$2:$E$65,$A15,Kit_BOM!$A$2:$A$65,$A$7,Kit_BOM!$G$2:$G$65,"DNP")*$C$7,0)</f>
        <v>5</v>
      </c>
      <c r="F15" s="21">
        <f>IFERROR(VLOOKUP($A15,Parts!$A$2:$S$200,13,FALSE),"")</f>
        <v>10</v>
      </c>
      <c r="G15" s="21">
        <f t="shared" si="0"/>
        <v>10</v>
      </c>
      <c r="H15" s="38">
        <f>IFERROR(VLOOKUP($A15,Parts!$A$2:$S$200,11,FALSE),0)</f>
        <v>0.24</v>
      </c>
      <c r="I15" s="38">
        <f t="shared" si="1"/>
        <v>2.4</v>
      </c>
      <c r="J15" t="str">
        <f t="shared" si="2"/>
        <v>Reichelt bereit</v>
      </c>
      <c r="K15" t="str">
        <f>IFERROR(VLOOKUP($A15,Parts!$A$2:$S$200,10,FALSE),"")</f>
        <v>https://www.reichelt.de/de/de/shop/produkt/vielschicht_kerko_1206_100_nf_10_x7r_100_v_125_c-207151</v>
      </c>
    </row>
    <row r="16" spans="1:11" ht="15" customHeight="1">
      <c r="A16" t="s">
        <v>82</v>
      </c>
      <c r="B16" s="39" t="str">
        <f>IFERROR(VLOOKUP($A16,Parts!$A$2:$S$200,3,FALSE),"")</f>
        <v>10 uF Keramik SMD</v>
      </c>
      <c r="C16" t="str">
        <f>IFERROR(VLOOKUP($A16,Parts!$A$2:$S$200,8,FALSE),"")</f>
        <v>reichelt</v>
      </c>
      <c r="D16" t="str">
        <f>IFERROR(VLOOKUP($A16,Parts!$A$2:$S$200,9,FALSE),"")</f>
        <v>12063C106KAT2A</v>
      </c>
      <c r="E16" s="21">
        <f>SUMIFS(Kit_BOM!$F$2:$F$65,Kit_BOM!$E$2:$E$65,$A16,Kit_BOM!$A$2:$A$65,$A$5,Kit_BOM!$G$2:$G$65,"Bestücken")*$C$5+IF($F$5="Ja",SUMIFS(Kit_BOM!$F$2:$F$65,Kit_BOM!$E$2:$E$65,$A16,Kit_BOM!$A$2:$A$65,$A$5,Kit_BOM!$G$2:$G$65,"Optional")*$C$5,0)+IF($F$6="Ja",SUMIFS(Kit_BOM!$F$2:$F$65,Kit_BOM!$E$2:$E$65,$A16,Kit_BOM!$A$2:$A$65,$A$5,Kit_BOM!$G$2:$G$65,"DNP")*$C$5,0)+SUMIFS(Kit_BOM!$F$2:$F$65,Kit_BOM!$E$2:$E$65,$A16,Kit_BOM!$A$2:$A$65,$A$6,Kit_BOM!$G$2:$G$65,"Bestücken")*$C$6+IF($F$5="Ja",SUMIFS(Kit_BOM!$F$2:$F$65,Kit_BOM!$E$2:$E$65,$A16,Kit_BOM!$A$2:$A$65,$A$6,Kit_BOM!$G$2:$G$65,"Optional")*$C$6,0)+IF($F$6="Ja",SUMIFS(Kit_BOM!$F$2:$F$65,Kit_BOM!$E$2:$E$65,$A16,Kit_BOM!$A$2:$A$65,$A$6,Kit_BOM!$G$2:$G$65,"DNP")*$C$6,0)+SUMIFS(Kit_BOM!$F$2:$F$65,Kit_BOM!$E$2:$E$65,$A16,Kit_BOM!$A$2:$A$65,$A$7,Kit_BOM!$G$2:$G$65,"Bestücken")*$C$7+IF($F$5="Ja",SUMIFS(Kit_BOM!$F$2:$F$65,Kit_BOM!$E$2:$E$65,$A16,Kit_BOM!$A$2:$A$65,$A$7,Kit_BOM!$G$2:$G$65,"Optional")*$C$7,0)+IF($F$6="Ja",SUMIFS(Kit_BOM!$F$2:$F$65,Kit_BOM!$E$2:$E$65,$A16,Kit_BOM!$A$2:$A$65,$A$7,Kit_BOM!$G$2:$G$65,"DNP")*$C$7,0)</f>
        <v>1</v>
      </c>
      <c r="F16" s="21">
        <f>IFERROR(VLOOKUP($A16,Parts!$A$2:$S$200,13,FALSE),"")</f>
        <v>10</v>
      </c>
      <c r="G16" s="21">
        <f t="shared" si="0"/>
        <v>10</v>
      </c>
      <c r="H16" s="38">
        <f>IFERROR(VLOOKUP($A16,Parts!$A$2:$S$200,11,FALSE),0)</f>
        <v>0.11</v>
      </c>
      <c r="I16" s="38">
        <f t="shared" si="1"/>
        <v>1.1000000000000001</v>
      </c>
      <c r="J16" t="str">
        <f t="shared" si="2"/>
        <v>Reichelt bereit</v>
      </c>
      <c r="K16" t="str">
        <f>IFERROR(VLOOKUP($A16,Parts!$A$2:$S$200,10,FALSE),"")</f>
        <v>https://www.reichelt.de/de/de/shop/produkt/mlcc_1206_10_f_25_v_-10_x7r-409262</v>
      </c>
    </row>
    <row r="17" spans="1:11" ht="15" customHeight="1">
      <c r="A17" t="s">
        <v>91</v>
      </c>
      <c r="B17" s="39" t="str">
        <f>IFERROR(VLOOKUP($A17,Parts!$A$2:$S$200,3,FALSE),"")</f>
        <v>47 uF 10V Tantal</v>
      </c>
      <c r="C17" t="str">
        <f>IFERROR(VLOOKUP($A17,Parts!$A$2:$S$200,8,FALSE),"")</f>
        <v>reichelt</v>
      </c>
      <c r="D17" t="str">
        <f>IFERROR(VLOOKUP($A17,Parts!$A$2:$S$200,9,FALSE),"")</f>
        <v>TAJ 3528 47/10</v>
      </c>
      <c r="E17" s="21">
        <f>SUMIFS(Kit_BOM!$F$2:$F$65,Kit_BOM!$E$2:$E$65,$A17,Kit_BOM!$A$2:$A$65,$A$5,Kit_BOM!$G$2:$G$65,"Bestücken")*$C$5+IF($F$5="Ja",SUMIFS(Kit_BOM!$F$2:$F$65,Kit_BOM!$E$2:$E$65,$A17,Kit_BOM!$A$2:$A$65,$A$5,Kit_BOM!$G$2:$G$65,"Optional")*$C$5,0)+IF($F$6="Ja",SUMIFS(Kit_BOM!$F$2:$F$65,Kit_BOM!$E$2:$E$65,$A17,Kit_BOM!$A$2:$A$65,$A$5,Kit_BOM!$G$2:$G$65,"DNP")*$C$5,0)+SUMIFS(Kit_BOM!$F$2:$F$65,Kit_BOM!$E$2:$E$65,$A17,Kit_BOM!$A$2:$A$65,$A$6,Kit_BOM!$G$2:$G$65,"Bestücken")*$C$6+IF($F$5="Ja",SUMIFS(Kit_BOM!$F$2:$F$65,Kit_BOM!$E$2:$E$65,$A17,Kit_BOM!$A$2:$A$65,$A$6,Kit_BOM!$G$2:$G$65,"Optional")*$C$6,0)+IF($F$6="Ja",SUMIFS(Kit_BOM!$F$2:$F$65,Kit_BOM!$E$2:$E$65,$A17,Kit_BOM!$A$2:$A$65,$A$6,Kit_BOM!$G$2:$G$65,"DNP")*$C$6,0)+SUMIFS(Kit_BOM!$F$2:$F$65,Kit_BOM!$E$2:$E$65,$A17,Kit_BOM!$A$2:$A$65,$A$7,Kit_BOM!$G$2:$G$65,"Bestücken")*$C$7+IF($F$5="Ja",SUMIFS(Kit_BOM!$F$2:$F$65,Kit_BOM!$E$2:$E$65,$A17,Kit_BOM!$A$2:$A$65,$A$7,Kit_BOM!$G$2:$G$65,"Optional")*$C$7,0)+IF($F$6="Ja",SUMIFS(Kit_BOM!$F$2:$F$65,Kit_BOM!$E$2:$E$65,$A17,Kit_BOM!$A$2:$A$65,$A$7,Kit_BOM!$G$2:$G$65,"DNP")*$C$7,0)</f>
        <v>1</v>
      </c>
      <c r="F17" s="21">
        <f>IFERROR(VLOOKUP($A17,Parts!$A$2:$S$200,13,FALSE),"")</f>
        <v>0</v>
      </c>
      <c r="G17" s="21">
        <f t="shared" si="0"/>
        <v>1</v>
      </c>
      <c r="H17" s="38">
        <f>IFERROR(VLOOKUP($A17,Parts!$A$2:$S$200,11,FALSE),0)</f>
        <v>0.28999999999999998</v>
      </c>
      <c r="I17" s="38">
        <f t="shared" si="1"/>
        <v>0.28999999999999998</v>
      </c>
      <c r="J17" t="str">
        <f t="shared" si="2"/>
        <v>Reichelt bereit</v>
      </c>
      <c r="K17" t="str">
        <f>IFERROR(VLOOKUP($A17,Parts!$A$2:$S$200,10,FALSE),"")</f>
        <v>https://www.reichelt.de/de/de/shop/produkt/smd-tantal_kondensator_47_f_10_v-167014</v>
      </c>
    </row>
    <row r="18" spans="1:11" ht="15" customHeight="1">
      <c r="A18" t="s">
        <v>100</v>
      </c>
      <c r="B18" s="39" t="str">
        <f>IFERROR(VLOOKUP($A18,Parts!$A$2:$S$200,3,FALSE),"")</f>
        <v>LDO 3.3V SOT-223</v>
      </c>
      <c r="C18" t="str">
        <f>IFERROR(VLOOKUP($A18,Parts!$A$2:$S$200,8,FALSE),"")</f>
        <v>reichelt</v>
      </c>
      <c r="D18" t="str">
        <f>IFERROR(VLOOKUP($A18,Parts!$A$2:$S$200,9,FALSE),"")</f>
        <v>LM 3940 IMP-3</v>
      </c>
      <c r="E18" s="21">
        <f>SUMIFS(Kit_BOM!$F$2:$F$65,Kit_BOM!$E$2:$E$65,$A18,Kit_BOM!$A$2:$A$65,$A$5,Kit_BOM!$G$2:$G$65,"Bestücken")*$C$5+IF($F$5="Ja",SUMIFS(Kit_BOM!$F$2:$F$65,Kit_BOM!$E$2:$E$65,$A18,Kit_BOM!$A$2:$A$65,$A$5,Kit_BOM!$G$2:$G$65,"Optional")*$C$5,0)+IF($F$6="Ja",SUMIFS(Kit_BOM!$F$2:$F$65,Kit_BOM!$E$2:$E$65,$A18,Kit_BOM!$A$2:$A$65,$A$5,Kit_BOM!$G$2:$G$65,"DNP")*$C$5,0)+SUMIFS(Kit_BOM!$F$2:$F$65,Kit_BOM!$E$2:$E$65,$A18,Kit_BOM!$A$2:$A$65,$A$6,Kit_BOM!$G$2:$G$65,"Bestücken")*$C$6+IF($F$5="Ja",SUMIFS(Kit_BOM!$F$2:$F$65,Kit_BOM!$E$2:$E$65,$A18,Kit_BOM!$A$2:$A$65,$A$6,Kit_BOM!$G$2:$G$65,"Optional")*$C$6,0)+IF($F$6="Ja",SUMIFS(Kit_BOM!$F$2:$F$65,Kit_BOM!$E$2:$E$65,$A18,Kit_BOM!$A$2:$A$65,$A$6,Kit_BOM!$G$2:$G$65,"DNP")*$C$6,0)+SUMIFS(Kit_BOM!$F$2:$F$65,Kit_BOM!$E$2:$E$65,$A18,Kit_BOM!$A$2:$A$65,$A$7,Kit_BOM!$G$2:$G$65,"Bestücken")*$C$7+IF($F$5="Ja",SUMIFS(Kit_BOM!$F$2:$F$65,Kit_BOM!$E$2:$E$65,$A18,Kit_BOM!$A$2:$A$65,$A$7,Kit_BOM!$G$2:$G$65,"Optional")*$C$7,0)+IF($F$6="Ja",SUMIFS(Kit_BOM!$F$2:$F$65,Kit_BOM!$E$2:$E$65,$A18,Kit_BOM!$A$2:$A$65,$A$7,Kit_BOM!$G$2:$G$65,"DNP")*$C$7,0)</f>
        <v>1</v>
      </c>
      <c r="F18" s="21">
        <f>IFERROR(VLOOKUP($A18,Parts!$A$2:$S$200,13,FALSE),"")</f>
        <v>3</v>
      </c>
      <c r="G18" s="21">
        <f t="shared" si="0"/>
        <v>3</v>
      </c>
      <c r="H18" s="38">
        <f>IFERROR(VLOOKUP($A18,Parts!$A$2:$S$200,11,FALSE),0)</f>
        <v>1</v>
      </c>
      <c r="I18" s="38">
        <f t="shared" si="1"/>
        <v>3</v>
      </c>
      <c r="J18" t="str">
        <f t="shared" si="2"/>
        <v>Reichelt bereit</v>
      </c>
      <c r="K18" t="str">
        <f>IFERROR(VLOOKUP($A18,Parts!$A$2:$S$200,10,FALSE),"")</f>
        <v>https://www.reichelt.de/de/de/shop/produkt/ldo-spannungsregler_fix_3_3_vout_1_a_sot-223-109407?search=LM3940%2520&amp;</v>
      </c>
    </row>
    <row r="19" spans="1:11" ht="15" customHeight="1">
      <c r="A19" t="s">
        <v>111</v>
      </c>
      <c r="B19" s="39" t="str">
        <f>IFERROR(VLOOKUP($A19,Parts!$A$2:$S$200,3,FALSE),"")</f>
        <v>ESP32-DevKitC</v>
      </c>
      <c r="C19">
        <f>IFERROR(VLOOKUP($A19,Parts!$A$2:$S$200,8,FALSE),"")</f>
        <v>0</v>
      </c>
      <c r="D19">
        <f>IFERROR(VLOOKUP($A19,Parts!$A$2:$S$200,9,FALSE),"")</f>
        <v>0</v>
      </c>
      <c r="E19" s="21">
        <f>SUMIFS(Kit_BOM!$F$2:$F$65,Kit_BOM!$E$2:$E$65,$A19,Kit_BOM!$A$2:$A$65,$A$5,Kit_BOM!$G$2:$G$65,"Bestücken")*$C$5+IF($F$5="Ja",SUMIFS(Kit_BOM!$F$2:$F$65,Kit_BOM!$E$2:$E$65,$A19,Kit_BOM!$A$2:$A$65,$A$5,Kit_BOM!$G$2:$G$65,"Optional")*$C$5,0)+IF($F$6="Ja",SUMIFS(Kit_BOM!$F$2:$F$65,Kit_BOM!$E$2:$E$65,$A19,Kit_BOM!$A$2:$A$65,$A$5,Kit_BOM!$G$2:$G$65,"DNP")*$C$5,0)+SUMIFS(Kit_BOM!$F$2:$F$65,Kit_BOM!$E$2:$E$65,$A19,Kit_BOM!$A$2:$A$65,$A$6,Kit_BOM!$G$2:$G$65,"Bestücken")*$C$6+IF($F$5="Ja",SUMIFS(Kit_BOM!$F$2:$F$65,Kit_BOM!$E$2:$E$65,$A19,Kit_BOM!$A$2:$A$65,$A$6,Kit_BOM!$G$2:$G$65,"Optional")*$C$6,0)+IF($F$6="Ja",SUMIFS(Kit_BOM!$F$2:$F$65,Kit_BOM!$E$2:$E$65,$A19,Kit_BOM!$A$2:$A$65,$A$6,Kit_BOM!$G$2:$G$65,"DNP")*$C$6,0)+SUMIFS(Kit_BOM!$F$2:$F$65,Kit_BOM!$E$2:$E$65,$A19,Kit_BOM!$A$2:$A$65,$A$7,Kit_BOM!$G$2:$G$65,"Bestücken")*$C$7+IF($F$5="Ja",SUMIFS(Kit_BOM!$F$2:$F$65,Kit_BOM!$E$2:$E$65,$A19,Kit_BOM!$A$2:$A$65,$A$7,Kit_BOM!$G$2:$G$65,"Optional")*$C$7,0)+IF($F$6="Ja",SUMIFS(Kit_BOM!$F$2:$F$65,Kit_BOM!$E$2:$E$65,$A19,Kit_BOM!$A$2:$A$65,$A$7,Kit_BOM!$G$2:$G$65,"DNP")*$C$7,0)</f>
        <v>1</v>
      </c>
      <c r="F19" s="21">
        <f>IFERROR(VLOOKUP($A19,Parts!$A$2:$S$200,13,FALSE),"")</f>
        <v>3</v>
      </c>
      <c r="G19" s="21">
        <f t="shared" si="0"/>
        <v>3</v>
      </c>
      <c r="H19" s="38">
        <f>IFERROR(VLOOKUP($A19,Parts!$A$2:$S$200,11,FALSE),0)</f>
        <v>5</v>
      </c>
      <c r="I19" s="38">
        <f t="shared" si="1"/>
        <v>15</v>
      </c>
      <c r="J19" t="str">
        <f t="shared" si="2"/>
        <v>Anderer Lieferant</v>
      </c>
      <c r="K19">
        <f>IFERROR(VLOOKUP($A19,Parts!$A$2:$S$200,10,FALSE),"")</f>
        <v>0</v>
      </c>
    </row>
    <row r="20" spans="1:11" ht="15" customHeight="1">
      <c r="A20" t="s">
        <v>126</v>
      </c>
      <c r="B20" s="39" t="str">
        <f>IFERROR(VLOOKUP($A20,Parts!$A$2:$S$200,3,FALSE),"")</f>
        <v>JST - Stiftleiste, gerade, 1x2-polig - PH</v>
      </c>
      <c r="C20" t="str">
        <f>IFERROR(VLOOKUP($A20,Parts!$A$2:$S$200,8,FALSE),"")</f>
        <v>reichelt</v>
      </c>
      <c r="D20" t="str">
        <f>IFERROR(VLOOKUP($A20,Parts!$A$2:$S$200,9,FALSE),"")</f>
        <v>JST PH2P ST</v>
      </c>
      <c r="E20" s="21">
        <f>SUMIFS(Kit_BOM!$F$2:$F$65,Kit_BOM!$E$2:$E$65,$A20,Kit_BOM!$A$2:$A$65,$A$5,Kit_BOM!$G$2:$G$65,"Bestücken")*$C$5+IF($F$5="Ja",SUMIFS(Kit_BOM!$F$2:$F$65,Kit_BOM!$E$2:$E$65,$A20,Kit_BOM!$A$2:$A$65,$A$5,Kit_BOM!$G$2:$G$65,"Optional")*$C$5,0)+IF($F$6="Ja",SUMIFS(Kit_BOM!$F$2:$F$65,Kit_BOM!$E$2:$E$65,$A20,Kit_BOM!$A$2:$A$65,$A$5,Kit_BOM!$G$2:$G$65,"DNP")*$C$5,0)+SUMIFS(Kit_BOM!$F$2:$F$65,Kit_BOM!$E$2:$E$65,$A20,Kit_BOM!$A$2:$A$65,$A$6,Kit_BOM!$G$2:$G$65,"Bestücken")*$C$6+IF($F$5="Ja",SUMIFS(Kit_BOM!$F$2:$F$65,Kit_BOM!$E$2:$E$65,$A20,Kit_BOM!$A$2:$A$65,$A$6,Kit_BOM!$G$2:$G$65,"Optional")*$C$6,0)+IF($F$6="Ja",SUMIFS(Kit_BOM!$F$2:$F$65,Kit_BOM!$E$2:$E$65,$A20,Kit_BOM!$A$2:$A$65,$A$6,Kit_BOM!$G$2:$G$65,"DNP")*$C$6,0)+SUMIFS(Kit_BOM!$F$2:$F$65,Kit_BOM!$E$2:$E$65,$A20,Kit_BOM!$A$2:$A$65,$A$7,Kit_BOM!$G$2:$G$65,"Bestücken")*$C$7+IF($F$5="Ja",SUMIFS(Kit_BOM!$F$2:$F$65,Kit_BOM!$E$2:$E$65,$A20,Kit_BOM!$A$2:$A$65,$A$7,Kit_BOM!$G$2:$G$65,"Optional")*$C$7,0)+IF($F$6="Ja",SUMIFS(Kit_BOM!$F$2:$F$65,Kit_BOM!$E$2:$E$65,$A20,Kit_BOM!$A$2:$A$65,$A$7,Kit_BOM!$G$2:$G$65,"DNP")*$C$7,0)</f>
        <v>1</v>
      </c>
      <c r="F20" s="21">
        <f>IFERROR(VLOOKUP($A20,Parts!$A$2:$S$200,13,FALSE),"")</f>
        <v>0</v>
      </c>
      <c r="G20" s="21">
        <f t="shared" si="0"/>
        <v>1</v>
      </c>
      <c r="H20" s="38">
        <f>IFERROR(VLOOKUP($A20,Parts!$A$2:$S$200,11,FALSE),0)</f>
        <v>1.3</v>
      </c>
      <c r="I20" s="38">
        <f t="shared" si="1"/>
        <v>1.3</v>
      </c>
      <c r="J20" t="str">
        <f t="shared" si="2"/>
        <v>Reichelt bereit</v>
      </c>
      <c r="K20" t="str">
        <f>IFERROR(VLOOKUP($A20,Parts!$A$2:$S$200,10,FALSE),"")</f>
        <v>https://www.reichelt.de/de/de/shop/produkt/jst_-_stiftleiste_gerade_1x2-polig_-_ph-185049</v>
      </c>
    </row>
    <row r="21" spans="1:11" ht="26.25" customHeight="1">
      <c r="A21" t="s">
        <v>158</v>
      </c>
      <c r="B21" s="39" t="str">
        <f>IFERROR(VLOOKUP($A21,Parts!$A$2:$S$200,3,FALSE),"")</f>
        <v>SMD-Widerstand, 1206, 100 kOhm, 250 mW, 0,1%</v>
      </c>
      <c r="C21" t="str">
        <f>IFERROR(VLOOKUP($A21,Parts!$A$2:$S$200,8,FALSE),"")</f>
        <v>reichelt</v>
      </c>
      <c r="D21" t="str">
        <f>IFERROR(VLOOKUP($A21,Parts!$A$2:$S$200,9,FALSE),"")</f>
        <v>PAN ERA8AEB104V</v>
      </c>
      <c r="E21" s="21">
        <f>SUMIFS(Kit_BOM!$F$2:$F$65,Kit_BOM!$E$2:$E$65,$A21,Kit_BOM!$A$2:$A$65,$A$5,Kit_BOM!$G$2:$G$65,"Bestücken")*$C$5+IF($F$5="Ja",SUMIFS(Kit_BOM!$F$2:$F$65,Kit_BOM!$E$2:$E$65,$A21,Kit_BOM!$A$2:$A$65,$A$5,Kit_BOM!$G$2:$G$65,"Optional")*$C$5,0)+IF($F$6="Ja",SUMIFS(Kit_BOM!$F$2:$F$65,Kit_BOM!$E$2:$E$65,$A21,Kit_BOM!$A$2:$A$65,$A$5,Kit_BOM!$G$2:$G$65,"DNP")*$C$5,0)+SUMIFS(Kit_BOM!$F$2:$F$65,Kit_BOM!$E$2:$E$65,$A21,Kit_BOM!$A$2:$A$65,$A$6,Kit_BOM!$G$2:$G$65,"Bestücken")*$C$6+IF($F$5="Ja",SUMIFS(Kit_BOM!$F$2:$F$65,Kit_BOM!$E$2:$E$65,$A21,Kit_BOM!$A$2:$A$65,$A$6,Kit_BOM!$G$2:$G$65,"Optional")*$C$6,0)+IF($F$6="Ja",SUMIFS(Kit_BOM!$F$2:$F$65,Kit_BOM!$E$2:$E$65,$A21,Kit_BOM!$A$2:$A$65,$A$6,Kit_BOM!$G$2:$G$65,"DNP")*$C$6,0)+SUMIFS(Kit_BOM!$F$2:$F$65,Kit_BOM!$E$2:$E$65,$A21,Kit_BOM!$A$2:$A$65,$A$7,Kit_BOM!$G$2:$G$65,"Bestücken")*$C$7+IF($F$5="Ja",SUMIFS(Kit_BOM!$F$2:$F$65,Kit_BOM!$E$2:$E$65,$A21,Kit_BOM!$A$2:$A$65,$A$7,Kit_BOM!$G$2:$G$65,"Optional")*$C$7,0)+IF($F$6="Ja",SUMIFS(Kit_BOM!$F$2:$F$65,Kit_BOM!$E$2:$E$65,$A21,Kit_BOM!$A$2:$A$65,$A$7,Kit_BOM!$G$2:$G$65,"DNP")*$C$7,0)</f>
        <v>4</v>
      </c>
      <c r="F21" s="21">
        <f>IFERROR(VLOOKUP($A21,Parts!$A$2:$S$200,13,FALSE),"")</f>
        <v>0</v>
      </c>
      <c r="G21" s="21">
        <f t="shared" si="0"/>
        <v>4</v>
      </c>
      <c r="H21" s="38">
        <f>IFERROR(VLOOKUP($A21,Parts!$A$2:$S$200,11,FALSE),0)</f>
        <v>0.83</v>
      </c>
      <c r="I21" s="38">
        <f t="shared" si="1"/>
        <v>3.32</v>
      </c>
      <c r="J21" t="str">
        <f t="shared" si="2"/>
        <v>Reichelt bereit</v>
      </c>
      <c r="K21" t="str">
        <f>IFERROR(VLOOKUP($A21,Parts!$A$2:$S$200,10,FALSE),"")</f>
        <v>https://www.reichelt.de/de/de/shop/produkt/smd-widerstand_1206_100_kohm_250_mw_0_1_-238081</v>
      </c>
    </row>
    <row r="22" spans="1:11" ht="15" customHeight="1">
      <c r="A22" t="s">
        <v>217</v>
      </c>
      <c r="B22" s="39" t="str">
        <f>IFERROR(VLOOKUP($A22,Parts!$A$2:$S$200,3,FALSE),"")</f>
        <v>Steck-Printrelais, 1 CO, 6 A, 5 V DC sensitiv</v>
      </c>
      <c r="C22" t="str">
        <f>IFERROR(VLOOKUP($A22,Parts!$A$2:$S$200,8,FALSE),"")</f>
        <v>reichelt</v>
      </c>
      <c r="D22" t="str">
        <f>IFERROR(VLOOKUP($A22,Parts!$A$2:$S$200,9,FALSE),"")</f>
        <v>FIN 34.51.7 5V</v>
      </c>
      <c r="E22" s="21">
        <f>SUMIFS(Kit_BOM!$F$2:$F$65,Kit_BOM!$E$2:$E$65,$A22,Kit_BOM!$A$2:$A$65,$A$5,Kit_BOM!$G$2:$G$65,"Bestücken")*$C$5+IF($F$5="Ja",SUMIFS(Kit_BOM!$F$2:$F$65,Kit_BOM!$E$2:$E$65,$A22,Kit_BOM!$A$2:$A$65,$A$5,Kit_BOM!$G$2:$G$65,"Optional")*$C$5,0)+IF($F$6="Ja",SUMIFS(Kit_BOM!$F$2:$F$65,Kit_BOM!$E$2:$E$65,$A22,Kit_BOM!$A$2:$A$65,$A$5,Kit_BOM!$G$2:$G$65,"DNP")*$C$5,0)+SUMIFS(Kit_BOM!$F$2:$F$65,Kit_BOM!$E$2:$E$65,$A22,Kit_BOM!$A$2:$A$65,$A$6,Kit_BOM!$G$2:$G$65,"Bestücken")*$C$6+IF($F$5="Ja",SUMIFS(Kit_BOM!$F$2:$F$65,Kit_BOM!$E$2:$E$65,$A22,Kit_BOM!$A$2:$A$65,$A$6,Kit_BOM!$G$2:$G$65,"Optional")*$C$6,0)+IF($F$6="Ja",SUMIFS(Kit_BOM!$F$2:$F$65,Kit_BOM!$E$2:$E$65,$A22,Kit_BOM!$A$2:$A$65,$A$6,Kit_BOM!$G$2:$G$65,"DNP")*$C$6,0)+SUMIFS(Kit_BOM!$F$2:$F$65,Kit_BOM!$E$2:$E$65,$A22,Kit_BOM!$A$2:$A$65,$A$7,Kit_BOM!$G$2:$G$65,"Bestücken")*$C$7+IF($F$5="Ja",SUMIFS(Kit_BOM!$F$2:$F$65,Kit_BOM!$E$2:$E$65,$A22,Kit_BOM!$A$2:$A$65,$A$7,Kit_BOM!$G$2:$G$65,"Optional")*$C$7,0)+IF($F$6="Ja",SUMIFS(Kit_BOM!$F$2:$F$65,Kit_BOM!$E$2:$E$65,$A22,Kit_BOM!$A$2:$A$65,$A$7,Kit_BOM!$G$2:$G$65,"DNP")*$C$7,0)</f>
        <v>4</v>
      </c>
      <c r="F22" s="21">
        <f>IFERROR(VLOOKUP($A22,Parts!$A$2:$S$200,13,FALSE),"")</f>
        <v>0</v>
      </c>
      <c r="G22" s="21">
        <f t="shared" si="0"/>
        <v>4</v>
      </c>
      <c r="H22" s="38">
        <f>IFERROR(VLOOKUP($A22,Parts!$A$2:$S$200,11,FALSE),0)</f>
        <v>5.8</v>
      </c>
      <c r="I22" s="38">
        <f t="shared" si="1"/>
        <v>23.2</v>
      </c>
      <c r="J22" t="str">
        <f t="shared" si="2"/>
        <v>Reichelt bereit</v>
      </c>
      <c r="K22" t="str">
        <f>IFERROR(VLOOKUP($A22,Parts!$A$2:$S$200,10,FALSE),"")</f>
        <v>https://www.reichelt.de/de/de/shop/produkt/steck-printrelais_1_co_6_a_5_v_dc_sensitiv-259179?PROVID=2788&amp;gad_source=1&amp;gad_campaignid=21154720511&amp;gbraid=0AAAAADwnxtb50MtqKwtKae8MAeGQARqWX&amp;gclid=CjwKCAjw7p_UBhBlEiwAhpIs72D6cK8XQyuxcrvb0uftoYY3618BT3lTyYSWWSou1J99G9udBcpsbhoCJbcQAvD_BwE</v>
      </c>
    </row>
    <row r="23" spans="1:11" ht="26.25" customHeight="1">
      <c r="A23" t="s">
        <v>228</v>
      </c>
      <c r="B23" s="39" t="str">
        <f>IFERROR(VLOOKUP($A23,Parts!$A$2:$S$200,3,FALSE),"")</f>
        <v>I²C-EEPROM 2 Kbit mit vorprogrammierter EUI-64 und zwei Adresspins</v>
      </c>
      <c r="C23">
        <f>IFERROR(VLOOKUP($A23,Parts!$A$2:$S$200,8,FALSE),"")</f>
        <v>0</v>
      </c>
      <c r="D23">
        <f>IFERROR(VLOOKUP($A23,Parts!$A$2:$S$200,9,FALSE),"")</f>
        <v>0</v>
      </c>
      <c r="E23" s="21">
        <f>SUMIFS(Kit_BOM!$F$2:$F$65,Kit_BOM!$E$2:$E$65,$A23,Kit_BOM!$A$2:$A$65,$A$5,Kit_BOM!$G$2:$G$65,"Bestücken")*$C$5+IF($F$5="Ja",SUMIFS(Kit_BOM!$F$2:$F$65,Kit_BOM!$E$2:$E$65,$A23,Kit_BOM!$A$2:$A$65,$A$5,Kit_BOM!$G$2:$G$65,"Optional")*$C$5,0)+IF($F$6="Ja",SUMIFS(Kit_BOM!$F$2:$F$65,Kit_BOM!$E$2:$E$65,$A23,Kit_BOM!$A$2:$A$65,$A$5,Kit_BOM!$G$2:$G$65,"DNP")*$C$5,0)+SUMIFS(Kit_BOM!$F$2:$F$65,Kit_BOM!$E$2:$E$65,$A23,Kit_BOM!$A$2:$A$65,$A$6,Kit_BOM!$G$2:$G$65,"Bestücken")*$C$6+IF($F$5="Ja",SUMIFS(Kit_BOM!$F$2:$F$65,Kit_BOM!$E$2:$E$65,$A23,Kit_BOM!$A$2:$A$65,$A$6,Kit_BOM!$G$2:$G$65,"Optional")*$C$6,0)+IF($F$6="Ja",SUMIFS(Kit_BOM!$F$2:$F$65,Kit_BOM!$E$2:$E$65,$A23,Kit_BOM!$A$2:$A$65,$A$6,Kit_BOM!$G$2:$G$65,"DNP")*$C$6,0)+SUMIFS(Kit_BOM!$F$2:$F$65,Kit_BOM!$E$2:$E$65,$A23,Kit_BOM!$A$2:$A$65,$A$7,Kit_BOM!$G$2:$G$65,"Bestücken")*$C$7+IF($F$5="Ja",SUMIFS(Kit_BOM!$F$2:$F$65,Kit_BOM!$E$2:$E$65,$A23,Kit_BOM!$A$2:$A$65,$A$7,Kit_BOM!$G$2:$G$65,"Optional")*$C$7,0)+IF($F$6="Ja",SUMIFS(Kit_BOM!$F$2:$F$65,Kit_BOM!$E$2:$E$65,$A23,Kit_BOM!$A$2:$A$65,$A$7,Kit_BOM!$G$2:$G$65,"DNP")*$C$7,0)</f>
        <v>3</v>
      </c>
      <c r="F23" s="21">
        <f>IFERROR(VLOOKUP($A23,Parts!$A$2:$S$200,13,FALSE),"")</f>
        <v>0</v>
      </c>
      <c r="G23" s="21">
        <f t="shared" si="0"/>
        <v>3</v>
      </c>
      <c r="H23" s="38">
        <f>IFERROR(VLOOKUP($A23,Parts!$A$2:$S$200,11,FALSE),0)</f>
        <v>0</v>
      </c>
      <c r="I23" s="38">
        <f t="shared" si="1"/>
        <v>0</v>
      </c>
      <c r="J23" t="str">
        <f t="shared" si="2"/>
        <v>Anderer Lieferant</v>
      </c>
      <c r="K23">
        <f>IFERROR(VLOOKUP($A23,Parts!$A$2:$S$200,10,FALSE),"")</f>
        <v>0</v>
      </c>
    </row>
    <row r="24" spans="1:11" ht="15" customHeight="1">
      <c r="A24" t="s">
        <v>248</v>
      </c>
      <c r="B24" s="39" t="str">
        <f>IFERROR(VLOOKUP($A24,Parts!$A$2:$S$200,3,FALSE),"")</f>
        <v>JST-SH Stiftleiste, 4-polig, horizontal</v>
      </c>
      <c r="C24" t="str">
        <f>IFERROR(VLOOKUP($A24,Parts!$A$2:$S$200,8,FALSE),"")</f>
        <v>rs-online</v>
      </c>
      <c r="D24" t="str">
        <f>IFERROR(VLOOKUP($A24,Parts!$A$2:$S$200,9,FALSE),"")</f>
        <v>515-1513</v>
      </c>
      <c r="E24" s="21">
        <f>SUMIFS(Kit_BOM!$F$2:$F$65,Kit_BOM!$E$2:$E$65,$A24,Kit_BOM!$A$2:$A$65,$A$5,Kit_BOM!$G$2:$G$65,"Bestücken")*$C$5+IF($F$5="Ja",SUMIFS(Kit_BOM!$F$2:$F$65,Kit_BOM!$E$2:$E$65,$A24,Kit_BOM!$A$2:$A$65,$A$5,Kit_BOM!$G$2:$G$65,"Optional")*$C$5,0)+IF($F$6="Ja",SUMIFS(Kit_BOM!$F$2:$F$65,Kit_BOM!$E$2:$E$65,$A24,Kit_BOM!$A$2:$A$65,$A$5,Kit_BOM!$G$2:$G$65,"DNP")*$C$5,0)+SUMIFS(Kit_BOM!$F$2:$F$65,Kit_BOM!$E$2:$E$65,$A24,Kit_BOM!$A$2:$A$65,$A$6,Kit_BOM!$G$2:$G$65,"Bestücken")*$C$6+IF($F$5="Ja",SUMIFS(Kit_BOM!$F$2:$F$65,Kit_BOM!$E$2:$E$65,$A24,Kit_BOM!$A$2:$A$65,$A$6,Kit_BOM!$G$2:$G$65,"Optional")*$C$6,0)+IF($F$6="Ja",SUMIFS(Kit_BOM!$F$2:$F$65,Kit_BOM!$E$2:$E$65,$A24,Kit_BOM!$A$2:$A$65,$A$6,Kit_BOM!$G$2:$G$65,"DNP")*$C$6,0)+SUMIFS(Kit_BOM!$F$2:$F$65,Kit_BOM!$E$2:$E$65,$A24,Kit_BOM!$A$2:$A$65,$A$7,Kit_BOM!$G$2:$G$65,"Bestücken")*$C$7+IF($F$5="Ja",SUMIFS(Kit_BOM!$F$2:$F$65,Kit_BOM!$E$2:$E$65,$A24,Kit_BOM!$A$2:$A$65,$A$7,Kit_BOM!$G$2:$G$65,"Optional")*$C$7,0)+IF($F$6="Ja",SUMIFS(Kit_BOM!$F$2:$F$65,Kit_BOM!$E$2:$E$65,$A24,Kit_BOM!$A$2:$A$65,$A$7,Kit_BOM!$G$2:$G$65,"DNP")*$C$7,0)</f>
        <v>2</v>
      </c>
      <c r="F24" s="21">
        <f>IFERROR(VLOOKUP($A24,Parts!$A$2:$S$200,13,FALSE),"")</f>
        <v>10</v>
      </c>
      <c r="G24" s="21">
        <f t="shared" si="0"/>
        <v>10</v>
      </c>
      <c r="H24" s="38">
        <f>IFERROR(VLOOKUP($A24,Parts!$A$2:$S$200,11,FALSE),0)</f>
        <v>0.57999999999999996</v>
      </c>
      <c r="I24" s="38">
        <f t="shared" si="1"/>
        <v>5.8</v>
      </c>
      <c r="J24" t="str">
        <f t="shared" si="2"/>
        <v>Anderer Lieferant</v>
      </c>
      <c r="K24" t="str">
        <f>IFERROR(VLOOKUP($A24,Parts!$A$2:$S$200,10,FALSE),"")</f>
        <v>https://de.rs-online.com/web/p/leiterplatten-header/5151513?cm_mmc=DE-PLA-DS3A-_-google-_-CSS_DE_DE_PMAX_Catch+All-_--_-5151513&amp;matchtype=&amp;&amp;gclsrc=aw.ds&amp;gad_source=1&amp;gad_campaignid=20579356490&amp;gbraid=0AAAAADkeWNMTclazDyI9zcjcIGwAjXoW9&amp;gclid=Cj0KCQjwnbrUBhDOARIsAKKhPpdLcMySAoEWll9Yd6dc_BCjxUsLFQOO7peTYM0DUy9ctvB7N_5s3bUaAoLZEALw_wcB</v>
      </c>
    </row>
    <row r="25" spans="1:11" ht="15" customHeight="1">
      <c r="A25" t="s">
        <v>259</v>
      </c>
      <c r="B25" s="39" t="str">
        <f>IFERROR(VLOOKUP($A25,Parts!$A$2:$S$200,3,FALSE),"")</f>
        <v>16-Bit ADC mit I²C</v>
      </c>
      <c r="C25">
        <f>IFERROR(VLOOKUP($A25,Parts!$A$2:$S$200,8,FALSE),"")</f>
        <v>0</v>
      </c>
      <c r="D25">
        <f>IFERROR(VLOOKUP($A25,Parts!$A$2:$S$200,9,FALSE),"")</f>
        <v>0</v>
      </c>
      <c r="E25" s="21">
        <f>SUMIFS(Kit_BOM!$F$2:$F$65,Kit_BOM!$E$2:$E$65,$A25,Kit_BOM!$A$2:$A$65,$A$5,Kit_BOM!$G$2:$G$65,"Bestücken")*$C$5+IF($F$5="Ja",SUMIFS(Kit_BOM!$F$2:$F$65,Kit_BOM!$E$2:$E$65,$A25,Kit_BOM!$A$2:$A$65,$A$5,Kit_BOM!$G$2:$G$65,"Optional")*$C$5,0)+IF($F$6="Ja",SUMIFS(Kit_BOM!$F$2:$F$65,Kit_BOM!$E$2:$E$65,$A25,Kit_BOM!$A$2:$A$65,$A$5,Kit_BOM!$G$2:$G$65,"DNP")*$C$5,0)+SUMIFS(Kit_BOM!$F$2:$F$65,Kit_BOM!$E$2:$E$65,$A25,Kit_BOM!$A$2:$A$65,$A$6,Kit_BOM!$G$2:$G$65,"Bestücken")*$C$6+IF($F$5="Ja",SUMIFS(Kit_BOM!$F$2:$F$65,Kit_BOM!$E$2:$E$65,$A25,Kit_BOM!$A$2:$A$65,$A$6,Kit_BOM!$G$2:$G$65,"Optional")*$C$6,0)+IF($F$6="Ja",SUMIFS(Kit_BOM!$F$2:$F$65,Kit_BOM!$E$2:$E$65,$A25,Kit_BOM!$A$2:$A$65,$A$6,Kit_BOM!$G$2:$G$65,"DNP")*$C$6,0)+SUMIFS(Kit_BOM!$F$2:$F$65,Kit_BOM!$E$2:$E$65,$A25,Kit_BOM!$A$2:$A$65,$A$7,Kit_BOM!$G$2:$G$65,"Bestücken")*$C$7+IF($F$5="Ja",SUMIFS(Kit_BOM!$F$2:$F$65,Kit_BOM!$E$2:$E$65,$A25,Kit_BOM!$A$2:$A$65,$A$7,Kit_BOM!$G$2:$G$65,"Optional")*$C$7,0)+IF($F$6="Ja",SUMIFS(Kit_BOM!$F$2:$F$65,Kit_BOM!$E$2:$E$65,$A25,Kit_BOM!$A$2:$A$65,$A$7,Kit_BOM!$G$2:$G$65,"DNP")*$C$7,0)</f>
        <v>0</v>
      </c>
      <c r="F25" s="21">
        <f>IFERROR(VLOOKUP($A25,Parts!$A$2:$S$200,13,FALSE),"")</f>
        <v>0</v>
      </c>
      <c r="G25" s="21">
        <f t="shared" si="0"/>
        <v>0</v>
      </c>
      <c r="H25" s="38">
        <f>IFERROR(VLOOKUP($A25,Parts!$A$2:$S$200,11,FALSE),0)</f>
        <v>0</v>
      </c>
      <c r="I25" s="38">
        <f t="shared" si="1"/>
        <v>0</v>
      </c>
      <c r="J25" t="str">
        <f t="shared" si="2"/>
        <v>Nicht benötigt</v>
      </c>
      <c r="K25">
        <f>IFERROR(VLOOKUP($A25,Parts!$A$2:$S$200,10,FALSE),"")</f>
        <v>0</v>
      </c>
    </row>
    <row r="26" spans="1:11" ht="15" customHeight="1">
      <c r="A26" t="s">
        <v>266</v>
      </c>
      <c r="B26" s="39" t="str">
        <f>IFERROR(VLOOKUP($A26,Parts!$A$2:$S$200,3,FALSE),"")</f>
        <v>Keramikkondensator 1 µF SMD</v>
      </c>
      <c r="C26" t="str">
        <f>IFERROR(VLOOKUP($A26,Parts!$A$2:$S$200,8,FALSE),"")</f>
        <v>reichelt</v>
      </c>
      <c r="D26" t="str">
        <f>IFERROR(VLOOKUP($A26,Parts!$A$2:$S$200,9,FALSE),"")</f>
        <v>12065C105JAT2A</v>
      </c>
      <c r="E26" s="21">
        <f>SUMIFS(Kit_BOM!$F$2:$F$65,Kit_BOM!$E$2:$E$65,$A26,Kit_BOM!$A$2:$A$65,$A$5,Kit_BOM!$G$2:$G$65,"Bestücken")*$C$5+IF($F$5="Ja",SUMIFS(Kit_BOM!$F$2:$F$65,Kit_BOM!$E$2:$E$65,$A26,Kit_BOM!$A$2:$A$65,$A$5,Kit_BOM!$G$2:$G$65,"Optional")*$C$5,0)+IF($F$6="Ja",SUMIFS(Kit_BOM!$F$2:$F$65,Kit_BOM!$E$2:$E$65,$A26,Kit_BOM!$A$2:$A$65,$A$5,Kit_BOM!$G$2:$G$65,"DNP")*$C$5,0)+SUMIFS(Kit_BOM!$F$2:$F$65,Kit_BOM!$E$2:$E$65,$A26,Kit_BOM!$A$2:$A$65,$A$6,Kit_BOM!$G$2:$G$65,"Bestücken")*$C$6+IF($F$5="Ja",SUMIFS(Kit_BOM!$F$2:$F$65,Kit_BOM!$E$2:$E$65,$A26,Kit_BOM!$A$2:$A$65,$A$6,Kit_BOM!$G$2:$G$65,"Optional")*$C$6,0)+IF($F$6="Ja",SUMIFS(Kit_BOM!$F$2:$F$65,Kit_BOM!$E$2:$E$65,$A26,Kit_BOM!$A$2:$A$65,$A$6,Kit_BOM!$G$2:$G$65,"DNP")*$C$6,0)+SUMIFS(Kit_BOM!$F$2:$F$65,Kit_BOM!$E$2:$E$65,$A26,Kit_BOM!$A$2:$A$65,$A$7,Kit_BOM!$G$2:$G$65,"Bestücken")*$C$7+IF($F$5="Ja",SUMIFS(Kit_BOM!$F$2:$F$65,Kit_BOM!$E$2:$E$65,$A26,Kit_BOM!$A$2:$A$65,$A$7,Kit_BOM!$G$2:$G$65,"Optional")*$C$7,0)+IF($F$6="Ja",SUMIFS(Kit_BOM!$F$2:$F$65,Kit_BOM!$E$2:$E$65,$A26,Kit_BOM!$A$2:$A$65,$A$7,Kit_BOM!$G$2:$G$65,"DNP")*$C$7,0)</f>
        <v>0</v>
      </c>
      <c r="F26" s="21">
        <f>IFERROR(VLOOKUP($A26,Parts!$A$2:$S$200,13,FALSE),"")</f>
        <v>0</v>
      </c>
      <c r="G26" s="21">
        <f t="shared" si="0"/>
        <v>0</v>
      </c>
      <c r="H26" s="38">
        <f>IFERROR(VLOOKUP($A26,Parts!$A$2:$S$200,11,FALSE),0)</f>
        <v>0.16</v>
      </c>
      <c r="I26" s="38">
        <f t="shared" si="1"/>
        <v>0</v>
      </c>
      <c r="J26" t="str">
        <f t="shared" si="2"/>
        <v>Nicht benötigt</v>
      </c>
      <c r="K26" t="str">
        <f>IFERROR(VLOOKUP($A26,Parts!$A$2:$S$200,10,FALSE),"")</f>
        <v>https://www.reichelt.de/de/de/shop/produkt/mlcc_1206_1_f_50_v_-5_x7r-409277</v>
      </c>
    </row>
    <row r="27" spans="1:11" ht="15" customHeight="1">
      <c r="A27" t="s">
        <v>273</v>
      </c>
      <c r="B27" s="39" t="str">
        <f>IFERROR(VLOOKUP($A27,Parts!$A$2:$S$200,3,FALSE),"")</f>
        <v>Dual-Schottky-Diode BAT54S</v>
      </c>
      <c r="C27" t="str">
        <f>IFERROR(VLOOKUP($A27,Parts!$A$2:$S$200,8,FALSE),"")</f>
        <v>reichelt</v>
      </c>
      <c r="D27" t="str">
        <f>IFERROR(VLOOKUP($A27,Parts!$A$2:$S$200,9,FALSE),"")</f>
        <v>BAT 54S DIO</v>
      </c>
      <c r="E27" s="21">
        <f>SUMIFS(Kit_BOM!$F$2:$F$65,Kit_BOM!$E$2:$E$65,$A27,Kit_BOM!$A$2:$A$65,$A$5,Kit_BOM!$G$2:$G$65,"Bestücken")*$C$5+IF($F$5="Ja",SUMIFS(Kit_BOM!$F$2:$F$65,Kit_BOM!$E$2:$E$65,$A27,Kit_BOM!$A$2:$A$65,$A$5,Kit_BOM!$G$2:$G$65,"Optional")*$C$5,0)+IF($F$6="Ja",SUMIFS(Kit_BOM!$F$2:$F$65,Kit_BOM!$E$2:$E$65,$A27,Kit_BOM!$A$2:$A$65,$A$5,Kit_BOM!$G$2:$G$65,"DNP")*$C$5,0)+SUMIFS(Kit_BOM!$F$2:$F$65,Kit_BOM!$E$2:$E$65,$A27,Kit_BOM!$A$2:$A$65,$A$6,Kit_BOM!$G$2:$G$65,"Bestücken")*$C$6+IF($F$5="Ja",SUMIFS(Kit_BOM!$F$2:$F$65,Kit_BOM!$E$2:$E$65,$A27,Kit_BOM!$A$2:$A$65,$A$6,Kit_BOM!$G$2:$G$65,"Optional")*$C$6,0)+IF($F$6="Ja",SUMIFS(Kit_BOM!$F$2:$F$65,Kit_BOM!$E$2:$E$65,$A27,Kit_BOM!$A$2:$A$65,$A$6,Kit_BOM!$G$2:$G$65,"DNP")*$C$6,0)+SUMIFS(Kit_BOM!$F$2:$F$65,Kit_BOM!$E$2:$E$65,$A27,Kit_BOM!$A$2:$A$65,$A$7,Kit_BOM!$G$2:$G$65,"Bestücken")*$C$7+IF($F$5="Ja",SUMIFS(Kit_BOM!$F$2:$F$65,Kit_BOM!$E$2:$E$65,$A27,Kit_BOM!$A$2:$A$65,$A$7,Kit_BOM!$G$2:$G$65,"Optional")*$C$7,0)+IF($F$6="Ja",SUMIFS(Kit_BOM!$F$2:$F$65,Kit_BOM!$E$2:$E$65,$A27,Kit_BOM!$A$2:$A$65,$A$7,Kit_BOM!$G$2:$G$65,"DNP")*$C$7,0)</f>
        <v>0</v>
      </c>
      <c r="F27" s="21">
        <f>IFERROR(VLOOKUP($A27,Parts!$A$2:$S$200,13,FALSE),"")</f>
        <v>0</v>
      </c>
      <c r="G27" s="21">
        <f t="shared" si="0"/>
        <v>0</v>
      </c>
      <c r="H27" s="38">
        <f>IFERROR(VLOOKUP($A27,Parts!$A$2:$S$200,11,FALSE),0)</f>
        <v>0.04</v>
      </c>
      <c r="I27" s="38">
        <f t="shared" si="1"/>
        <v>0</v>
      </c>
      <c r="J27" t="str">
        <f t="shared" si="2"/>
        <v>Nicht benötigt</v>
      </c>
      <c r="K27" t="str">
        <f>IFERROR(VLOOKUP($A27,Parts!$A$2:$S$200,10,FALSE),"")</f>
        <v>https://www.reichelt.de/de/de/shop/produkt/schottkydiode_30_v_0_2_a_sot-23-219176</v>
      </c>
    </row>
    <row r="28" spans="1:11" ht="15" customHeight="1">
      <c r="A28" t="s">
        <v>290</v>
      </c>
      <c r="B28" s="39" t="str">
        <f>IFERROR(VLOOKUP($A28,Parts!$A$2:$S$200,3,FALSE),"")</f>
        <v>Buchsenleiste 1x2, vertikal</v>
      </c>
      <c r="C28">
        <f>IFERROR(VLOOKUP($A28,Parts!$A$2:$S$200,8,FALSE),"")</f>
        <v>0</v>
      </c>
      <c r="D28">
        <f>IFERROR(VLOOKUP($A28,Parts!$A$2:$S$200,9,FALSE),"")</f>
        <v>0</v>
      </c>
      <c r="E28" s="21">
        <f>SUMIFS(Kit_BOM!$F$2:$F$65,Kit_BOM!$E$2:$E$65,$A28,Kit_BOM!$A$2:$A$65,$A$5,Kit_BOM!$G$2:$G$65,"Bestücken")*$C$5+IF($F$5="Ja",SUMIFS(Kit_BOM!$F$2:$F$65,Kit_BOM!$E$2:$E$65,$A28,Kit_BOM!$A$2:$A$65,$A$5,Kit_BOM!$G$2:$G$65,"Optional")*$C$5,0)+IF($F$6="Ja",SUMIFS(Kit_BOM!$F$2:$F$65,Kit_BOM!$E$2:$E$65,$A28,Kit_BOM!$A$2:$A$65,$A$5,Kit_BOM!$G$2:$G$65,"DNP")*$C$5,0)+SUMIFS(Kit_BOM!$F$2:$F$65,Kit_BOM!$E$2:$E$65,$A28,Kit_BOM!$A$2:$A$65,$A$6,Kit_BOM!$G$2:$G$65,"Bestücken")*$C$6+IF($F$5="Ja",SUMIFS(Kit_BOM!$F$2:$F$65,Kit_BOM!$E$2:$E$65,$A28,Kit_BOM!$A$2:$A$65,$A$6,Kit_BOM!$G$2:$G$65,"Optional")*$C$6,0)+IF($F$6="Ja",SUMIFS(Kit_BOM!$F$2:$F$65,Kit_BOM!$E$2:$E$65,$A28,Kit_BOM!$A$2:$A$65,$A$6,Kit_BOM!$G$2:$G$65,"DNP")*$C$6,0)+SUMIFS(Kit_BOM!$F$2:$F$65,Kit_BOM!$E$2:$E$65,$A28,Kit_BOM!$A$2:$A$65,$A$7,Kit_BOM!$G$2:$G$65,"Bestücken")*$C$7+IF($F$5="Ja",SUMIFS(Kit_BOM!$F$2:$F$65,Kit_BOM!$E$2:$E$65,$A28,Kit_BOM!$A$2:$A$65,$A$7,Kit_BOM!$G$2:$G$65,"Optional")*$C$7,0)+IF($F$6="Ja",SUMIFS(Kit_BOM!$F$2:$F$65,Kit_BOM!$E$2:$E$65,$A28,Kit_BOM!$A$2:$A$65,$A$7,Kit_BOM!$G$2:$G$65,"DNP")*$C$7,0)</f>
        <v>0</v>
      </c>
      <c r="F28" s="21">
        <f>IFERROR(VLOOKUP($A28,Parts!$A$2:$S$200,13,FALSE),"")</f>
        <v>0</v>
      </c>
      <c r="G28" s="21">
        <f t="shared" si="0"/>
        <v>0</v>
      </c>
      <c r="H28" s="38">
        <f>IFERROR(VLOOKUP($A28,Parts!$A$2:$S$200,11,FALSE),0)</f>
        <v>0</v>
      </c>
      <c r="I28" s="38">
        <f t="shared" si="1"/>
        <v>0</v>
      </c>
      <c r="J28" t="str">
        <f t="shared" si="2"/>
        <v>Nicht benötigt</v>
      </c>
      <c r="K28">
        <f>IFERROR(VLOOKUP($A28,Parts!$A$2:$S$200,10,FALSE),"")</f>
        <v>0</v>
      </c>
    </row>
    <row r="29" spans="1:11" ht="26.25" customHeight="1">
      <c r="A29" t="s">
        <v>295</v>
      </c>
      <c r="B29" s="39" t="str">
        <f>IFERROR(VLOOKUP($A29,Parts!$A$2:$S$200,3,FALSE),"")</f>
        <v>Widerstand, Metallschicht, 150 Ohm, 0207, 250 mW, 0,1%</v>
      </c>
      <c r="C29" t="str">
        <f>IFERROR(VLOOKUP($A29,Parts!$A$2:$S$200,8,FALSE),"")</f>
        <v>reichelt</v>
      </c>
      <c r="D29" t="str">
        <f>IFERROR(VLOOKUP($A29,Parts!$A$2:$S$200,9,FALSE),"")</f>
        <v>ARC MRA0207 150R</v>
      </c>
      <c r="E29" s="21">
        <f>SUMIFS(Kit_BOM!$F$2:$F$65,Kit_BOM!$E$2:$E$65,$A29,Kit_BOM!$A$2:$A$65,$A$5,Kit_BOM!$G$2:$G$65,"Bestücken")*$C$5+IF($F$5="Ja",SUMIFS(Kit_BOM!$F$2:$F$65,Kit_BOM!$E$2:$E$65,$A29,Kit_BOM!$A$2:$A$65,$A$5,Kit_BOM!$G$2:$G$65,"Optional")*$C$5,0)+IF($F$6="Ja",SUMIFS(Kit_BOM!$F$2:$F$65,Kit_BOM!$E$2:$E$65,$A29,Kit_BOM!$A$2:$A$65,$A$5,Kit_BOM!$G$2:$G$65,"DNP")*$C$5,0)+SUMIFS(Kit_BOM!$F$2:$F$65,Kit_BOM!$E$2:$E$65,$A29,Kit_BOM!$A$2:$A$65,$A$6,Kit_BOM!$G$2:$G$65,"Bestücken")*$C$6+IF($F$5="Ja",SUMIFS(Kit_BOM!$F$2:$F$65,Kit_BOM!$E$2:$E$65,$A29,Kit_BOM!$A$2:$A$65,$A$6,Kit_BOM!$G$2:$G$65,"Optional")*$C$6,0)+IF($F$6="Ja",SUMIFS(Kit_BOM!$F$2:$F$65,Kit_BOM!$E$2:$E$65,$A29,Kit_BOM!$A$2:$A$65,$A$6,Kit_BOM!$G$2:$G$65,"DNP")*$C$6,0)+SUMIFS(Kit_BOM!$F$2:$F$65,Kit_BOM!$E$2:$E$65,$A29,Kit_BOM!$A$2:$A$65,$A$7,Kit_BOM!$G$2:$G$65,"Bestücken")*$C$7+IF($F$5="Ja",SUMIFS(Kit_BOM!$F$2:$F$65,Kit_BOM!$E$2:$E$65,$A29,Kit_BOM!$A$2:$A$65,$A$7,Kit_BOM!$G$2:$G$65,"Optional")*$C$7,0)+IF($F$6="Ja",SUMIFS(Kit_BOM!$F$2:$F$65,Kit_BOM!$E$2:$E$65,$A29,Kit_BOM!$A$2:$A$65,$A$7,Kit_BOM!$G$2:$G$65,"DNP")*$C$7,0)</f>
        <v>0</v>
      </c>
      <c r="F29" s="21">
        <f>IFERROR(VLOOKUP($A29,Parts!$A$2:$S$200,13,FALSE),"")</f>
        <v>0</v>
      </c>
      <c r="G29" s="21">
        <f t="shared" si="0"/>
        <v>0</v>
      </c>
      <c r="H29" s="38">
        <f>IFERROR(VLOOKUP($A29,Parts!$A$2:$S$200,11,FALSE),0)</f>
        <v>1.3</v>
      </c>
      <c r="I29" s="38">
        <f t="shared" si="1"/>
        <v>0</v>
      </c>
      <c r="J29" t="str">
        <f t="shared" si="2"/>
        <v>Nicht benötigt</v>
      </c>
      <c r="K29" t="str">
        <f>IFERROR(VLOOKUP($A29,Parts!$A$2:$S$200,10,FALSE),"")</f>
        <v>https://www.reichelt.de/de/de/shop/produkt/widerstand_metallschicht_150_ohm_0207_250_mw_0_1_-237515</v>
      </c>
    </row>
    <row r="30" spans="1:11" ht="15" customHeight="1">
      <c r="A30" t="s">
        <v>304</v>
      </c>
      <c r="B30" s="39" t="str">
        <f>IFERROR(VLOOKUP($A30,Parts!$A$2:$S$200,3,FALSE),"")</f>
        <v>Schnelle Schaltdiode 1N4148W</v>
      </c>
      <c r="C30" t="str">
        <f>IFERROR(VLOOKUP($A30,Parts!$A$2:$S$200,8,FALSE),"")</f>
        <v>reichelt</v>
      </c>
      <c r="D30" t="str">
        <f>IFERROR(VLOOKUP($A30,Parts!$A$2:$S$200,9,FALSE),"")</f>
        <v>1N 4148W DIO</v>
      </c>
      <c r="E30" s="21">
        <f>SUMIFS(Kit_BOM!$F$2:$F$65,Kit_BOM!$E$2:$E$65,$A30,Kit_BOM!$A$2:$A$65,$A$5,Kit_BOM!$G$2:$G$65,"Bestücken")*$C$5+IF($F$5="Ja",SUMIFS(Kit_BOM!$F$2:$F$65,Kit_BOM!$E$2:$E$65,$A30,Kit_BOM!$A$2:$A$65,$A$5,Kit_BOM!$G$2:$G$65,"Optional")*$C$5,0)+IF($F$6="Ja",SUMIFS(Kit_BOM!$F$2:$F$65,Kit_BOM!$E$2:$E$65,$A30,Kit_BOM!$A$2:$A$65,$A$5,Kit_BOM!$G$2:$G$65,"DNP")*$C$5,0)+SUMIFS(Kit_BOM!$F$2:$F$65,Kit_BOM!$E$2:$E$65,$A30,Kit_BOM!$A$2:$A$65,$A$6,Kit_BOM!$G$2:$G$65,"Bestücken")*$C$6+IF($F$5="Ja",SUMIFS(Kit_BOM!$F$2:$F$65,Kit_BOM!$E$2:$E$65,$A30,Kit_BOM!$A$2:$A$65,$A$6,Kit_BOM!$G$2:$G$65,"Optional")*$C$6,0)+IF($F$6="Ja",SUMIFS(Kit_BOM!$F$2:$F$65,Kit_BOM!$E$2:$E$65,$A30,Kit_BOM!$A$2:$A$65,$A$6,Kit_BOM!$G$2:$G$65,"DNP")*$C$6,0)+SUMIFS(Kit_BOM!$F$2:$F$65,Kit_BOM!$E$2:$E$65,$A30,Kit_BOM!$A$2:$A$65,$A$7,Kit_BOM!$G$2:$G$65,"Bestücken")*$C$7+IF($F$5="Ja",SUMIFS(Kit_BOM!$F$2:$F$65,Kit_BOM!$E$2:$E$65,$A30,Kit_BOM!$A$2:$A$65,$A$7,Kit_BOM!$G$2:$G$65,"Optional")*$C$7,0)+IF($F$6="Ja",SUMIFS(Kit_BOM!$F$2:$F$65,Kit_BOM!$E$2:$E$65,$A30,Kit_BOM!$A$2:$A$65,$A$7,Kit_BOM!$G$2:$G$65,"DNP")*$C$7,0)</f>
        <v>4</v>
      </c>
      <c r="F30" s="21">
        <f>IFERROR(VLOOKUP($A30,Parts!$A$2:$S$200,13,FALSE),"")</f>
        <v>0</v>
      </c>
      <c r="G30" s="21">
        <f t="shared" si="0"/>
        <v>4</v>
      </c>
      <c r="H30" s="38">
        <f>IFERROR(VLOOKUP($A30,Parts!$A$2:$S$200,11,FALSE),0)</f>
        <v>0.02</v>
      </c>
      <c r="I30" s="38">
        <f t="shared" si="1"/>
        <v>0.08</v>
      </c>
      <c r="J30" t="str">
        <f t="shared" si="2"/>
        <v>Reichelt bereit</v>
      </c>
      <c r="K30" t="str">
        <f>IFERROR(VLOOKUP($A30,Parts!$A$2:$S$200,10,FALSE),"")</f>
        <v>https://www.reichelt.de/de/de/shop/produkt/kleinsignal-schalt-diode_100_v_150_ma_sod-123-219382</v>
      </c>
    </row>
    <row r="31" spans="1:11" ht="15" customHeight="1">
      <c r="A31" t="s">
        <v>311</v>
      </c>
      <c r="B31" s="39" t="str">
        <f>IFERROR(VLOOKUP($A31,Parts!$A$2:$S$200,3,FALSE),"")</f>
        <v>Schraubklemme 1x3, horizontal</v>
      </c>
      <c r="C31">
        <f>IFERROR(VLOOKUP($A31,Parts!$A$2:$S$200,8,FALSE),"")</f>
        <v>0</v>
      </c>
      <c r="D31">
        <f>IFERROR(VLOOKUP($A31,Parts!$A$2:$S$200,9,FALSE),"")</f>
        <v>0</v>
      </c>
      <c r="E31" s="21">
        <f>SUMIFS(Kit_BOM!$F$2:$F$65,Kit_BOM!$E$2:$E$65,$A31,Kit_BOM!$A$2:$A$65,$A$5,Kit_BOM!$G$2:$G$65,"Bestücken")*$C$5+IF($F$5="Ja",SUMIFS(Kit_BOM!$F$2:$F$65,Kit_BOM!$E$2:$E$65,$A31,Kit_BOM!$A$2:$A$65,$A$5,Kit_BOM!$G$2:$G$65,"Optional")*$C$5,0)+IF($F$6="Ja",SUMIFS(Kit_BOM!$F$2:$F$65,Kit_BOM!$E$2:$E$65,$A31,Kit_BOM!$A$2:$A$65,$A$5,Kit_BOM!$G$2:$G$65,"DNP")*$C$5,0)+SUMIFS(Kit_BOM!$F$2:$F$65,Kit_BOM!$E$2:$E$65,$A31,Kit_BOM!$A$2:$A$65,$A$6,Kit_BOM!$G$2:$G$65,"Bestücken")*$C$6+IF($F$5="Ja",SUMIFS(Kit_BOM!$F$2:$F$65,Kit_BOM!$E$2:$E$65,$A31,Kit_BOM!$A$2:$A$65,$A$6,Kit_BOM!$G$2:$G$65,"Optional")*$C$6,0)+IF($F$6="Ja",SUMIFS(Kit_BOM!$F$2:$F$65,Kit_BOM!$E$2:$E$65,$A31,Kit_BOM!$A$2:$A$65,$A$6,Kit_BOM!$G$2:$G$65,"DNP")*$C$6,0)+SUMIFS(Kit_BOM!$F$2:$F$65,Kit_BOM!$E$2:$E$65,$A31,Kit_BOM!$A$2:$A$65,$A$7,Kit_BOM!$G$2:$G$65,"Bestücken")*$C$7+IF($F$5="Ja",SUMIFS(Kit_BOM!$F$2:$F$65,Kit_BOM!$E$2:$E$65,$A31,Kit_BOM!$A$2:$A$65,$A$7,Kit_BOM!$G$2:$G$65,"Optional")*$C$7,0)+IF($F$6="Ja",SUMIFS(Kit_BOM!$F$2:$F$65,Kit_BOM!$E$2:$E$65,$A31,Kit_BOM!$A$2:$A$65,$A$7,Kit_BOM!$G$2:$G$65,"DNP")*$C$7,0)</f>
        <v>4</v>
      </c>
      <c r="F31" s="21">
        <f>IFERROR(VLOOKUP($A31,Parts!$A$2:$S$200,13,FALSE),"")</f>
        <v>0</v>
      </c>
      <c r="G31" s="21">
        <f t="shared" si="0"/>
        <v>4</v>
      </c>
      <c r="H31" s="38">
        <f>IFERROR(VLOOKUP($A31,Parts!$A$2:$S$200,11,FALSE),0)</f>
        <v>0</v>
      </c>
      <c r="I31" s="38">
        <f t="shared" si="1"/>
        <v>0</v>
      </c>
      <c r="J31" t="str">
        <f t="shared" si="2"/>
        <v>Anderer Lieferant</v>
      </c>
      <c r="K31">
        <f>IFERROR(VLOOKUP($A31,Parts!$A$2:$S$200,10,FALSE),"")</f>
        <v>0</v>
      </c>
    </row>
    <row r="32" spans="1:11" ht="15" customHeight="1">
      <c r="A32" t="s">
        <v>318</v>
      </c>
      <c r="B32" s="39" t="str">
        <f>IFERROR(VLOOKUP($A32,Parts!$A$2:$S$200,3,FALSE),"")</f>
        <v>NPN-Transistor BC817</v>
      </c>
      <c r="C32" t="str">
        <f>IFERROR(VLOOKUP($A32,Parts!$A$2:$S$200,8,FALSE),"")</f>
        <v>reichelt</v>
      </c>
      <c r="D32" t="str">
        <f>IFERROR(VLOOKUP($A32,Parts!$A$2:$S$200,9,FALSE),"")</f>
        <v>BC 817-25 DIO</v>
      </c>
      <c r="E32" s="21">
        <f>SUMIFS(Kit_BOM!$F$2:$F$65,Kit_BOM!$E$2:$E$65,$A32,Kit_BOM!$A$2:$A$65,$A$5,Kit_BOM!$G$2:$G$65,"Bestücken")*$C$5+IF($F$5="Ja",SUMIFS(Kit_BOM!$F$2:$F$65,Kit_BOM!$E$2:$E$65,$A32,Kit_BOM!$A$2:$A$65,$A$5,Kit_BOM!$G$2:$G$65,"Optional")*$C$5,0)+IF($F$6="Ja",SUMIFS(Kit_BOM!$F$2:$F$65,Kit_BOM!$E$2:$E$65,$A32,Kit_BOM!$A$2:$A$65,$A$5,Kit_BOM!$G$2:$G$65,"DNP")*$C$5,0)+SUMIFS(Kit_BOM!$F$2:$F$65,Kit_BOM!$E$2:$E$65,$A32,Kit_BOM!$A$2:$A$65,$A$6,Kit_BOM!$G$2:$G$65,"Bestücken")*$C$6+IF($F$5="Ja",SUMIFS(Kit_BOM!$F$2:$F$65,Kit_BOM!$E$2:$E$65,$A32,Kit_BOM!$A$2:$A$65,$A$6,Kit_BOM!$G$2:$G$65,"Optional")*$C$6,0)+IF($F$6="Ja",SUMIFS(Kit_BOM!$F$2:$F$65,Kit_BOM!$E$2:$E$65,$A32,Kit_BOM!$A$2:$A$65,$A$6,Kit_BOM!$G$2:$G$65,"DNP")*$C$6,0)+SUMIFS(Kit_BOM!$F$2:$F$65,Kit_BOM!$E$2:$E$65,$A32,Kit_BOM!$A$2:$A$65,$A$7,Kit_BOM!$G$2:$G$65,"Bestücken")*$C$7+IF($F$5="Ja",SUMIFS(Kit_BOM!$F$2:$F$65,Kit_BOM!$E$2:$E$65,$A32,Kit_BOM!$A$2:$A$65,$A$7,Kit_BOM!$G$2:$G$65,"Optional")*$C$7,0)+IF($F$6="Ja",SUMIFS(Kit_BOM!$F$2:$F$65,Kit_BOM!$E$2:$E$65,$A32,Kit_BOM!$A$2:$A$65,$A$7,Kit_BOM!$G$2:$G$65,"DNP")*$C$7,0)</f>
        <v>4</v>
      </c>
      <c r="F32" s="21">
        <f>IFERROR(VLOOKUP($A32,Parts!$A$2:$S$200,13,FALSE),"")</f>
        <v>0</v>
      </c>
      <c r="G32" s="21">
        <f t="shared" si="0"/>
        <v>4</v>
      </c>
      <c r="H32" s="38">
        <f>IFERROR(VLOOKUP($A32,Parts!$A$2:$S$200,11,FALSE),0)</f>
        <v>0.02</v>
      </c>
      <c r="I32" s="38">
        <f t="shared" si="1"/>
        <v>0.08</v>
      </c>
      <c r="J32" t="str">
        <f t="shared" si="2"/>
        <v>Reichelt bereit</v>
      </c>
      <c r="K32" t="str">
        <f>IFERROR(VLOOKUP($A32,Parts!$A$2:$S$200,10,FALSE),"")</f>
        <v>https://www.reichelt.de/de/de/shop/produkt/bipolartransistor_npn_45v_0_5a_0_25w_sot-23-219186</v>
      </c>
    </row>
    <row r="33" spans="1:11" ht="15" customHeight="1">
      <c r="A33" t="s">
        <v>326</v>
      </c>
      <c r="B33" s="39" t="str">
        <f>IFERROR(VLOOKUP($A33,Parts!$A$2:$S$200,3,FALSE),"")</f>
        <v>Widerstand 1 kΩ SMD</v>
      </c>
      <c r="C33" t="str">
        <f>IFERROR(VLOOKUP($A33,Parts!$A$2:$S$200,8,FALSE),"")</f>
        <v>reichelt</v>
      </c>
      <c r="D33" t="str">
        <f>IFERROR(VLOOKUP($A33,Parts!$A$2:$S$200,9,FALSE),"")</f>
        <v>VIS CRCW12061K0</v>
      </c>
      <c r="E33" s="21">
        <f>SUMIFS(Kit_BOM!$F$2:$F$65,Kit_BOM!$E$2:$E$65,$A33,Kit_BOM!$A$2:$A$65,$A$5,Kit_BOM!$G$2:$G$65,"Bestücken")*$C$5+IF($F$5="Ja",SUMIFS(Kit_BOM!$F$2:$F$65,Kit_BOM!$E$2:$E$65,$A33,Kit_BOM!$A$2:$A$65,$A$5,Kit_BOM!$G$2:$G$65,"Optional")*$C$5,0)+IF($F$6="Ja",SUMIFS(Kit_BOM!$F$2:$F$65,Kit_BOM!$E$2:$E$65,$A33,Kit_BOM!$A$2:$A$65,$A$5,Kit_BOM!$G$2:$G$65,"DNP")*$C$5,0)+SUMIFS(Kit_BOM!$F$2:$F$65,Kit_BOM!$E$2:$E$65,$A33,Kit_BOM!$A$2:$A$65,$A$6,Kit_BOM!$G$2:$G$65,"Bestücken")*$C$6+IF($F$5="Ja",SUMIFS(Kit_BOM!$F$2:$F$65,Kit_BOM!$E$2:$E$65,$A33,Kit_BOM!$A$2:$A$65,$A$6,Kit_BOM!$G$2:$G$65,"Optional")*$C$6,0)+IF($F$6="Ja",SUMIFS(Kit_BOM!$F$2:$F$65,Kit_BOM!$E$2:$E$65,$A33,Kit_BOM!$A$2:$A$65,$A$6,Kit_BOM!$G$2:$G$65,"DNP")*$C$6,0)+SUMIFS(Kit_BOM!$F$2:$F$65,Kit_BOM!$E$2:$E$65,$A33,Kit_BOM!$A$2:$A$65,$A$7,Kit_BOM!$G$2:$G$65,"Bestücken")*$C$7+IF($F$5="Ja",SUMIFS(Kit_BOM!$F$2:$F$65,Kit_BOM!$E$2:$E$65,$A33,Kit_BOM!$A$2:$A$65,$A$7,Kit_BOM!$G$2:$G$65,"Optional")*$C$7,0)+IF($F$6="Ja",SUMIFS(Kit_BOM!$F$2:$F$65,Kit_BOM!$E$2:$E$65,$A33,Kit_BOM!$A$2:$A$65,$A$7,Kit_BOM!$G$2:$G$65,"DNP")*$C$7,0)</f>
        <v>4</v>
      </c>
      <c r="F33" s="21">
        <f>IFERROR(VLOOKUP($A33,Parts!$A$2:$S$200,13,FALSE),"")</f>
        <v>0</v>
      </c>
      <c r="G33" s="21">
        <f t="shared" si="0"/>
        <v>4</v>
      </c>
      <c r="H33" s="38">
        <f>IFERROR(VLOOKUP($A33,Parts!$A$2:$S$200,11,FALSE),0)</f>
        <v>0.14000000000000001</v>
      </c>
      <c r="I33" s="38">
        <f t="shared" si="1"/>
        <v>0.56000000000000005</v>
      </c>
      <c r="J33" t="str">
        <f t="shared" si="2"/>
        <v>Reichelt bereit</v>
      </c>
      <c r="K33" t="str">
        <f>IFERROR(VLOOKUP($A33,Parts!$A$2:$S$200,10,FALSE),"")</f>
        <v>https://www.reichelt.de/de/de/shop/produkt/smd-widerstand_1206_1_0_kohm_250_mw_1_-238107?PROVID=2788&amp;gad_source=1&amp;gad_campaignid=1622074784&amp;gbraid=0AAAAADwnxtbRDWe6ThqPkANhw_ak4jWBw&amp;gclid=Cj0KCQjwnbrUBhDOARIsAKKhPpdctdiA6tqULvTn2sTUS6FqmJC1_J6HoVQmYOjjMGhSPlfi9dK4bSQaAmesEALw_wcB</v>
      </c>
    </row>
    <row r="34" spans="1:11" ht="15" customHeight="1">
      <c r="A34" t="s">
        <v>443</v>
      </c>
      <c r="B34" s="39" t="str">
        <f>IFERROR(VLOOKUP($A34,Parts!$A$2:$S$200,3,FALSE),"")</f>
        <v>Buchsenleiste 2x7, 2,54 mm, vertikal</v>
      </c>
      <c r="C34" t="str">
        <f>IFERROR(VLOOKUP($A34,Parts!$A$2:$S$200,8,FALSE),"")</f>
        <v>DigiKey</v>
      </c>
      <c r="D34" t="str">
        <f>IFERROR(VLOOKUP($A34,Parts!$A$2:$S$200,9,FALSE),"")</f>
        <v>732-61301421821-ND</v>
      </c>
      <c r="E34" s="21">
        <f>SUMIFS(Kit_BOM!$F$2:$F$65,Kit_BOM!$E$2:$E$65,$A34,Kit_BOM!$A$2:$A$65,$A$5,Kit_BOM!$G$2:$G$65,"Bestücken")*$C$5+IF($F$5="Ja",SUMIFS(Kit_BOM!$F$2:$F$65,Kit_BOM!$E$2:$E$65,$A34,Kit_BOM!$A$2:$A$65,$A$5,Kit_BOM!$G$2:$G$65,"Optional")*$C$5,0)+IF($F$6="Ja",SUMIFS(Kit_BOM!$F$2:$F$65,Kit_BOM!$E$2:$E$65,$A34,Kit_BOM!$A$2:$A$65,$A$5,Kit_BOM!$G$2:$G$65,"DNP")*$C$5,0)+SUMIFS(Kit_BOM!$F$2:$F$65,Kit_BOM!$E$2:$E$65,$A34,Kit_BOM!$A$2:$A$65,$A$6,Kit_BOM!$G$2:$G$65,"Bestücken")*$C$6+IF($F$5="Ja",SUMIFS(Kit_BOM!$F$2:$F$65,Kit_BOM!$E$2:$E$65,$A34,Kit_BOM!$A$2:$A$65,$A$6,Kit_BOM!$G$2:$G$65,"Optional")*$C$6,0)+IF($F$6="Ja",SUMIFS(Kit_BOM!$F$2:$F$65,Kit_BOM!$E$2:$E$65,$A34,Kit_BOM!$A$2:$A$65,$A$6,Kit_BOM!$G$2:$G$65,"DNP")*$C$6,0)+SUMIFS(Kit_BOM!$F$2:$F$65,Kit_BOM!$E$2:$E$65,$A34,Kit_BOM!$A$2:$A$65,$A$7,Kit_BOM!$G$2:$G$65,"Bestücken")*$C$7+IF($F$5="Ja",SUMIFS(Kit_BOM!$F$2:$F$65,Kit_BOM!$E$2:$E$65,$A34,Kit_BOM!$A$2:$A$65,$A$7,Kit_BOM!$G$2:$G$65,"Optional")*$C$7,0)+IF($F$6="Ja",SUMIFS(Kit_BOM!$F$2:$F$65,Kit_BOM!$E$2:$E$65,$A34,Kit_BOM!$A$2:$A$65,$A$7,Kit_BOM!$G$2:$G$65,"DNP")*$C$7,0)</f>
        <v>2</v>
      </c>
      <c r="F34" s="21">
        <f>IFERROR(VLOOKUP($A34,Parts!$A$2:$S$200,13,FALSE),"")</f>
        <v>0</v>
      </c>
      <c r="G34" s="21">
        <f t="shared" si="0"/>
        <v>2</v>
      </c>
      <c r="H34" s="38">
        <f>IFERROR(VLOOKUP($A34,Parts!$A$2:$S$200,11,FALSE),0)</f>
        <v>0.56000000000000005</v>
      </c>
      <c r="I34" s="38">
        <f t="shared" si="1"/>
        <v>1.1200000000000001</v>
      </c>
      <c r="J34" t="str">
        <f t="shared" si="2"/>
        <v>Anderer Lieferant</v>
      </c>
      <c r="K34" t="str">
        <f>IFERROR(VLOOKUP($A34,Parts!$A$2:$S$200,10,FALSE),"")</f>
        <v>https://www.digikey.de/de/products/detail/w%C3%BCrth-elektronik/61301421821/16608590</v>
      </c>
    </row>
    <row r="35" spans="1:11" ht="15" customHeight="1">
      <c r="A35" t="s">
        <v>457</v>
      </c>
      <c r="B35" s="39" t="str">
        <f>IFERROR(VLOOKUP($A35,Parts!$A$2:$S$200,3,FALSE),"")</f>
        <v>Schottky-Diode SS14, SMA</v>
      </c>
      <c r="C35" t="str">
        <f>IFERROR(VLOOKUP($A35,Parts!$A$2:$S$200,8,FALSE),"")</f>
        <v>reichelt</v>
      </c>
      <c r="D35" t="str">
        <f>IFERROR(VLOOKUP($A35,Parts!$A$2:$S$200,9,FALSE),"")</f>
        <v>SS 14 VIS</v>
      </c>
      <c r="E35" s="21">
        <f>SUMIFS(Kit_BOM!$F$2:$F$65,Kit_BOM!$E$2:$E$65,$A35,Kit_BOM!$A$2:$A$65,$A$5,Kit_BOM!$G$2:$G$65,"Bestücken")*$C$5+IF($F$5="Ja",SUMIFS(Kit_BOM!$F$2:$F$65,Kit_BOM!$E$2:$E$65,$A35,Kit_BOM!$A$2:$A$65,$A$5,Kit_BOM!$G$2:$G$65,"Optional")*$C$5,0)+IF($F$6="Ja",SUMIFS(Kit_BOM!$F$2:$F$65,Kit_BOM!$E$2:$E$65,$A35,Kit_BOM!$A$2:$A$65,$A$5,Kit_BOM!$G$2:$G$65,"DNP")*$C$5,0)+SUMIFS(Kit_BOM!$F$2:$F$65,Kit_BOM!$E$2:$E$65,$A35,Kit_BOM!$A$2:$A$65,$A$6,Kit_BOM!$G$2:$G$65,"Bestücken")*$C$6+IF($F$5="Ja",SUMIFS(Kit_BOM!$F$2:$F$65,Kit_BOM!$E$2:$E$65,$A35,Kit_BOM!$A$2:$A$65,$A$6,Kit_BOM!$G$2:$G$65,"Optional")*$C$6,0)+IF($F$6="Ja",SUMIFS(Kit_BOM!$F$2:$F$65,Kit_BOM!$E$2:$E$65,$A35,Kit_BOM!$A$2:$A$65,$A$6,Kit_BOM!$G$2:$G$65,"DNP")*$C$6,0)+SUMIFS(Kit_BOM!$F$2:$F$65,Kit_BOM!$E$2:$E$65,$A35,Kit_BOM!$A$2:$A$65,$A$7,Kit_BOM!$G$2:$G$65,"Bestücken")*$C$7+IF($F$5="Ja",SUMIFS(Kit_BOM!$F$2:$F$65,Kit_BOM!$E$2:$E$65,$A35,Kit_BOM!$A$2:$A$65,$A$7,Kit_BOM!$G$2:$G$65,"Optional")*$C$7,0)+IF($F$6="Ja",SUMIFS(Kit_BOM!$F$2:$F$65,Kit_BOM!$E$2:$E$65,$A35,Kit_BOM!$A$2:$A$65,$A$7,Kit_BOM!$G$2:$G$65,"DNP")*$C$7,0)</f>
        <v>2</v>
      </c>
      <c r="F35" s="21">
        <f>IFERROR(VLOOKUP($A35,Parts!$A$2:$S$200,13,FALSE),"")</f>
        <v>0</v>
      </c>
      <c r="G35" s="21">
        <f t="shared" si="0"/>
        <v>2</v>
      </c>
      <c r="H35" s="38">
        <f>IFERROR(VLOOKUP($A35,Parts!$A$2:$S$200,11,FALSE),0)</f>
        <v>0.18</v>
      </c>
      <c r="I35" s="38">
        <f t="shared" si="1"/>
        <v>0.36</v>
      </c>
      <c r="J35" t="str">
        <f t="shared" si="2"/>
        <v>Reichelt bereit</v>
      </c>
      <c r="K35" t="str">
        <f>IFERROR(VLOOKUP($A35,Parts!$A$2:$S$200,10,FALSE),"")</f>
        <v>https://www.reichelt.de/de/de/shop/produkt/schottkydiode_40_v_1_a_do-214ac-219612</v>
      </c>
    </row>
    <row r="36" spans="1:11" ht="15" customHeight="1">
      <c r="A36" t="s">
        <v>466</v>
      </c>
      <c r="B36" s="39" t="str">
        <f>IFERROR(VLOOKUP($A36,Parts!$A$2:$S$200,3,FALSE),"")</f>
        <v>Elektrolytkondensator 10 µF SMD</v>
      </c>
      <c r="C36" t="str">
        <f>IFERROR(VLOOKUP($A36,Parts!$A$2:$S$200,8,FALSE),"")</f>
        <v>reichelt</v>
      </c>
      <c r="D36" t="str">
        <f>IFERROR(VLOOKUP($A36,Parts!$A$2:$S$200,9,FALSE),"")</f>
        <v>S-V 10U 25</v>
      </c>
      <c r="E36" s="21">
        <f>SUMIFS(Kit_BOM!$F$2:$F$65,Kit_BOM!$E$2:$E$65,$A36,Kit_BOM!$A$2:$A$65,$A$5,Kit_BOM!$G$2:$G$65,"Bestücken")*$C$5+IF($F$5="Ja",SUMIFS(Kit_BOM!$F$2:$F$65,Kit_BOM!$E$2:$E$65,$A36,Kit_BOM!$A$2:$A$65,$A$5,Kit_BOM!$G$2:$G$65,"Optional")*$C$5,0)+IF($F$6="Ja",SUMIFS(Kit_BOM!$F$2:$F$65,Kit_BOM!$E$2:$E$65,$A36,Kit_BOM!$A$2:$A$65,$A$5,Kit_BOM!$G$2:$G$65,"DNP")*$C$5,0)+SUMIFS(Kit_BOM!$F$2:$F$65,Kit_BOM!$E$2:$E$65,$A36,Kit_BOM!$A$2:$A$65,$A$6,Kit_BOM!$G$2:$G$65,"Bestücken")*$C$6+IF($F$5="Ja",SUMIFS(Kit_BOM!$F$2:$F$65,Kit_BOM!$E$2:$E$65,$A36,Kit_BOM!$A$2:$A$65,$A$6,Kit_BOM!$G$2:$G$65,"Optional")*$C$6,0)+IF($F$6="Ja",SUMIFS(Kit_BOM!$F$2:$F$65,Kit_BOM!$E$2:$E$65,$A36,Kit_BOM!$A$2:$A$65,$A$6,Kit_BOM!$G$2:$G$65,"DNP")*$C$6,0)+SUMIFS(Kit_BOM!$F$2:$F$65,Kit_BOM!$E$2:$E$65,$A36,Kit_BOM!$A$2:$A$65,$A$7,Kit_BOM!$G$2:$G$65,"Bestücken")*$C$7+IF($F$5="Ja",SUMIFS(Kit_BOM!$F$2:$F$65,Kit_BOM!$E$2:$E$65,$A36,Kit_BOM!$A$2:$A$65,$A$7,Kit_BOM!$G$2:$G$65,"Optional")*$C$7,0)+IF($F$6="Ja",SUMIFS(Kit_BOM!$F$2:$F$65,Kit_BOM!$E$2:$E$65,$A36,Kit_BOM!$A$2:$A$65,$A$7,Kit_BOM!$G$2:$G$65,"DNP")*$C$7,0)</f>
        <v>1</v>
      </c>
      <c r="F36" s="21">
        <f>IFERROR(VLOOKUP($A36,Parts!$A$2:$S$200,13,FALSE),"")</f>
        <v>0</v>
      </c>
      <c r="G36" s="21">
        <f t="shared" si="0"/>
        <v>1</v>
      </c>
      <c r="H36" s="38">
        <f>IFERROR(VLOOKUP($A36,Parts!$A$2:$S$200,11,FALSE),0)</f>
        <v>0.18</v>
      </c>
      <c r="I36" s="38">
        <f t="shared" si="1"/>
        <v>0.18</v>
      </c>
      <c r="J36" t="str">
        <f t="shared" si="2"/>
        <v>Reichelt bereit</v>
      </c>
      <c r="K36" t="str">
        <f>IFERROR(VLOOKUP($A36,Parts!$A$2:$S$200,10,FALSE),"")</f>
        <v>https://www.reichelt.de/de/de/shop/produkt/smd-elko_10_f_-20_25_v_85_5_x_5_4_mm-228459</v>
      </c>
    </row>
    <row r="37" spans="1:11" ht="15" customHeight="1">
      <c r="A37" t="s">
        <v>476</v>
      </c>
      <c r="B37" s="39" t="str">
        <f>IFERROR(VLOOKUP($A37,Parts!$A$2:$S$200,3,FALSE),"")</f>
        <v>EnvNode Mini PCB Rev 0.2</v>
      </c>
      <c r="C37" t="str">
        <f>IFERROR(VLOOKUP($A37,Parts!$A$2:$S$200,8,FALSE),"")</f>
        <v>JLCPCB</v>
      </c>
      <c r="D37">
        <f>IFERROR(VLOOKUP($A37,Parts!$A$2:$S$200,9,FALSE),"")</f>
        <v>0</v>
      </c>
      <c r="E37" s="21">
        <f>SUMIFS(Kit_BOM!$F$2:$F$65,Kit_BOM!$E$2:$E$65,$A37,Kit_BOM!$A$2:$A$65,$A$5,Kit_BOM!$G$2:$G$65,"Bestücken")*$C$5+IF($F$5="Ja",SUMIFS(Kit_BOM!$F$2:$F$65,Kit_BOM!$E$2:$E$65,$A37,Kit_BOM!$A$2:$A$65,$A$5,Kit_BOM!$G$2:$G$65,"Optional")*$C$5,0)+IF($F$6="Ja",SUMIFS(Kit_BOM!$F$2:$F$65,Kit_BOM!$E$2:$E$65,$A37,Kit_BOM!$A$2:$A$65,$A$5,Kit_BOM!$G$2:$G$65,"DNP")*$C$5,0)+SUMIFS(Kit_BOM!$F$2:$F$65,Kit_BOM!$E$2:$E$65,$A37,Kit_BOM!$A$2:$A$65,$A$6,Kit_BOM!$G$2:$G$65,"Bestücken")*$C$6+IF($F$5="Ja",SUMIFS(Kit_BOM!$F$2:$F$65,Kit_BOM!$E$2:$E$65,$A37,Kit_BOM!$A$2:$A$65,$A$6,Kit_BOM!$G$2:$G$65,"Optional")*$C$6,0)+IF($F$6="Ja",SUMIFS(Kit_BOM!$F$2:$F$65,Kit_BOM!$E$2:$E$65,$A37,Kit_BOM!$A$2:$A$65,$A$6,Kit_BOM!$G$2:$G$65,"DNP")*$C$6,0)+SUMIFS(Kit_BOM!$F$2:$F$65,Kit_BOM!$E$2:$E$65,$A37,Kit_BOM!$A$2:$A$65,$A$7,Kit_BOM!$G$2:$G$65,"Bestücken")*$C$7+IF($F$5="Ja",SUMIFS(Kit_BOM!$F$2:$F$65,Kit_BOM!$E$2:$E$65,$A37,Kit_BOM!$A$2:$A$65,$A$7,Kit_BOM!$G$2:$G$65,"Optional")*$C$7,0)+IF($F$6="Ja",SUMIFS(Kit_BOM!$F$2:$F$65,Kit_BOM!$E$2:$E$65,$A37,Kit_BOM!$A$2:$A$65,$A$7,Kit_BOM!$G$2:$G$65,"DNP")*$C$7,0)</f>
        <v>1</v>
      </c>
      <c r="F37" s="21">
        <f>IFERROR(VLOOKUP($A37,Parts!$A$2:$S$200,13,FALSE),"")</f>
        <v>0</v>
      </c>
      <c r="G37" s="21">
        <f t="shared" si="0"/>
        <v>1</v>
      </c>
      <c r="H37" s="38">
        <f>IFERROR(VLOOKUP($A37,Parts!$A$2:$S$200,11,FALSE),0)</f>
        <v>0</v>
      </c>
      <c r="I37" s="38">
        <f t="shared" si="1"/>
        <v>0</v>
      </c>
      <c r="J37" t="str">
        <f t="shared" si="2"/>
        <v>Anderer Lieferant</v>
      </c>
      <c r="K37">
        <f>IFERROR(VLOOKUP($A37,Parts!$A$2:$S$200,10,FALSE),"")</f>
        <v>0</v>
      </c>
    </row>
    <row r="38" spans="1:11" ht="26.25" customHeight="1">
      <c r="A38" t="s">
        <v>491</v>
      </c>
      <c r="B38" s="39" t="str">
        <f>IFERROR(VLOOKUP($A38,Parts!$A$2:$S$200,3,FALSE),"")</f>
        <v>Stiftleiste 2x7, 2,54 mm, vertikal, Bottom-Mount</v>
      </c>
      <c r="C38" t="str">
        <f>IFERROR(VLOOKUP($A38,Parts!$A$2:$S$200,8,FALSE),"")</f>
        <v>Reichelt</v>
      </c>
      <c r="D38" t="str">
        <f>IFERROR(VLOOKUP($A38,Parts!$A$2:$S$200,9,FALSE),"")</f>
        <v>ECON SL14G2</v>
      </c>
      <c r="E38" s="21">
        <f>SUMIFS(Kit_BOM!$F$2:$F$65,Kit_BOM!$E$2:$E$65,$A38,Kit_BOM!$A$2:$A$65,$A$5,Kit_BOM!$G$2:$G$65,"Bestücken")*$C$5+IF($F$5="Ja",SUMIFS(Kit_BOM!$F$2:$F$65,Kit_BOM!$E$2:$E$65,$A38,Kit_BOM!$A$2:$A$65,$A$5,Kit_BOM!$G$2:$G$65,"Optional")*$C$5,0)+IF($F$6="Ja",SUMIFS(Kit_BOM!$F$2:$F$65,Kit_BOM!$E$2:$E$65,$A38,Kit_BOM!$A$2:$A$65,$A$5,Kit_BOM!$G$2:$G$65,"DNP")*$C$5,0)+SUMIFS(Kit_BOM!$F$2:$F$65,Kit_BOM!$E$2:$E$65,$A38,Kit_BOM!$A$2:$A$65,$A$6,Kit_BOM!$G$2:$G$65,"Bestücken")*$C$6+IF($F$5="Ja",SUMIFS(Kit_BOM!$F$2:$F$65,Kit_BOM!$E$2:$E$65,$A38,Kit_BOM!$A$2:$A$65,$A$6,Kit_BOM!$G$2:$G$65,"Optional")*$C$6,0)+IF($F$6="Ja",SUMIFS(Kit_BOM!$F$2:$F$65,Kit_BOM!$E$2:$E$65,$A38,Kit_BOM!$A$2:$A$65,$A$6,Kit_BOM!$G$2:$G$65,"DNP")*$C$6,0)+SUMIFS(Kit_BOM!$F$2:$F$65,Kit_BOM!$E$2:$E$65,$A38,Kit_BOM!$A$2:$A$65,$A$7,Kit_BOM!$G$2:$G$65,"Bestücken")*$C$7+IF($F$5="Ja",SUMIFS(Kit_BOM!$F$2:$F$65,Kit_BOM!$E$2:$E$65,$A38,Kit_BOM!$A$2:$A$65,$A$7,Kit_BOM!$G$2:$G$65,"Optional")*$C$7,0)+IF($F$6="Ja",SUMIFS(Kit_BOM!$F$2:$F$65,Kit_BOM!$E$2:$E$65,$A38,Kit_BOM!$A$2:$A$65,$A$7,Kit_BOM!$G$2:$G$65,"DNP")*$C$7,0)</f>
        <v>2</v>
      </c>
      <c r="F38" s="21">
        <f>IFERROR(VLOOKUP($A38,Parts!$A$2:$S$200,13,FALSE),"")</f>
        <v>0</v>
      </c>
      <c r="G38" s="21">
        <f t="shared" si="0"/>
        <v>2</v>
      </c>
      <c r="H38" s="38">
        <f>IFERROR(VLOOKUP($A38,Parts!$A$2:$S$200,11,FALSE),0)</f>
        <v>0.3</v>
      </c>
      <c r="I38" s="38">
        <f t="shared" si="1"/>
        <v>0.6</v>
      </c>
      <c r="J38" t="str">
        <f t="shared" si="2"/>
        <v>Reichelt bereit</v>
      </c>
      <c r="K38" t="str">
        <f>IFERROR(VLOOKUP($A38,Parts!$A$2:$S$200,10,FALSE),"")</f>
        <v>https://www.reichelt.de/de/de/shop/produkt/stiftleiste_2_x_7_polig_gerade_rastermass_2_54_mm-404299</v>
      </c>
    </row>
    <row r="39" spans="1:11" ht="15" customHeight="1">
      <c r="A39" t="s">
        <v>527</v>
      </c>
      <c r="B39" s="39" t="str">
        <f>IFERROR(VLOOKUP($A39,Parts!$A$2:$S$200,3,FALSE),"")</f>
        <v>LED SMD 1206, rot</v>
      </c>
      <c r="C39" t="str">
        <f>IFERROR(VLOOKUP($A39,Parts!$A$2:$S$200,8,FALSE),"")</f>
        <v>reichelt</v>
      </c>
      <c r="D39" t="str">
        <f>IFERROR(VLOOKUP($A39,Parts!$A$2:$S$200,9,FALSE),"")</f>
        <v>KBT KP-3216SURC</v>
      </c>
      <c r="E39" s="21">
        <f>SUMIFS(Kit_BOM!$F$2:$F$65,Kit_BOM!$E$2:$E$65,$A39,Kit_BOM!$A$2:$A$65,$A$5,Kit_BOM!$G$2:$G$65,"Bestücken")*$C$5+IF($F$5="Ja",SUMIFS(Kit_BOM!$F$2:$F$65,Kit_BOM!$E$2:$E$65,$A39,Kit_BOM!$A$2:$A$65,$A$5,Kit_BOM!$G$2:$G$65,"Optional")*$C$5,0)+IF($F$6="Ja",SUMIFS(Kit_BOM!$F$2:$F$65,Kit_BOM!$E$2:$E$65,$A39,Kit_BOM!$A$2:$A$65,$A$5,Kit_BOM!$G$2:$G$65,"DNP")*$C$5,0)+SUMIFS(Kit_BOM!$F$2:$F$65,Kit_BOM!$E$2:$E$65,$A39,Kit_BOM!$A$2:$A$65,$A$6,Kit_BOM!$G$2:$G$65,"Bestücken")*$C$6+IF($F$5="Ja",SUMIFS(Kit_BOM!$F$2:$F$65,Kit_BOM!$E$2:$E$65,$A39,Kit_BOM!$A$2:$A$65,$A$6,Kit_BOM!$G$2:$G$65,"Optional")*$C$6,0)+IF($F$6="Ja",SUMIFS(Kit_BOM!$F$2:$F$65,Kit_BOM!$E$2:$E$65,$A39,Kit_BOM!$A$2:$A$65,$A$6,Kit_BOM!$G$2:$G$65,"DNP")*$C$6,0)+SUMIFS(Kit_BOM!$F$2:$F$65,Kit_BOM!$E$2:$E$65,$A39,Kit_BOM!$A$2:$A$65,$A$7,Kit_BOM!$G$2:$G$65,"Bestücken")*$C$7+IF($F$5="Ja",SUMIFS(Kit_BOM!$F$2:$F$65,Kit_BOM!$E$2:$E$65,$A39,Kit_BOM!$A$2:$A$65,$A$7,Kit_BOM!$G$2:$G$65,"Optional")*$C$7,0)+IF($F$6="Ja",SUMIFS(Kit_BOM!$F$2:$F$65,Kit_BOM!$E$2:$E$65,$A39,Kit_BOM!$A$2:$A$65,$A$7,Kit_BOM!$G$2:$G$65,"DNP")*$C$7,0)</f>
        <v>4</v>
      </c>
      <c r="F39" s="21">
        <f>IFERROR(VLOOKUP($A39,Parts!$A$2:$S$200,13,FALSE),"")</f>
        <v>0</v>
      </c>
      <c r="G39" s="21">
        <f t="shared" si="0"/>
        <v>4</v>
      </c>
      <c r="H39" s="38">
        <f>IFERROR(VLOOKUP($A39,Parts!$A$2:$S$200,11,FALSE),0)</f>
        <v>0.11</v>
      </c>
      <c r="I39" s="38">
        <f t="shared" si="1"/>
        <v>0.44</v>
      </c>
      <c r="J39" t="str">
        <f t="shared" si="2"/>
        <v>Reichelt bereit</v>
      </c>
      <c r="K39" t="str">
        <f>IFERROR(VLOOKUP($A39,Parts!$A$2:$S$200,10,FALSE),"")</f>
        <v>https://www.reichelt.de/de/de/shop/produkt/smd-led_1206_hyper-rot_250_mcd_645_nm_140_-231713</v>
      </c>
    </row>
    <row r="40" spans="1:11" ht="15" customHeight="1">
      <c r="A40" t="s">
        <v>540</v>
      </c>
      <c r="B40" s="39" t="str">
        <f>IFERROR(VLOOKUP($A40,Parts!$A$2:$S$200,3,FALSE),"")</f>
        <v>Widerstand 1,5 kΩ SMD</v>
      </c>
      <c r="C40" t="str">
        <f>IFERROR(VLOOKUP($A40,Parts!$A$2:$S$200,8,FALSE),"")</f>
        <v>Reichelt</v>
      </c>
      <c r="D40" t="str">
        <f>IFERROR(VLOOKUP($A40,Parts!$A$2:$S$200,9,FALSE),"")</f>
        <v>VIS CRCW12061K5</v>
      </c>
      <c r="E40" s="21">
        <f>SUMIFS(Kit_BOM!$F$2:$F$65,Kit_BOM!$E$2:$E$65,$A40,Kit_BOM!$A$2:$A$65,$A$5,Kit_BOM!$G$2:$G$65,"Bestücken")*$C$5+IF($F$5="Ja",SUMIFS(Kit_BOM!$F$2:$F$65,Kit_BOM!$E$2:$E$65,$A40,Kit_BOM!$A$2:$A$65,$A$5,Kit_BOM!$G$2:$G$65,"Optional")*$C$5,0)+IF($F$6="Ja",SUMIFS(Kit_BOM!$F$2:$F$65,Kit_BOM!$E$2:$E$65,$A40,Kit_BOM!$A$2:$A$65,$A$5,Kit_BOM!$G$2:$G$65,"DNP")*$C$5,0)+SUMIFS(Kit_BOM!$F$2:$F$65,Kit_BOM!$E$2:$E$65,$A40,Kit_BOM!$A$2:$A$65,$A$6,Kit_BOM!$G$2:$G$65,"Bestücken")*$C$6+IF($F$5="Ja",SUMIFS(Kit_BOM!$F$2:$F$65,Kit_BOM!$E$2:$E$65,$A40,Kit_BOM!$A$2:$A$65,$A$6,Kit_BOM!$G$2:$G$65,"Optional")*$C$6,0)+IF($F$6="Ja",SUMIFS(Kit_BOM!$F$2:$F$65,Kit_BOM!$E$2:$E$65,$A40,Kit_BOM!$A$2:$A$65,$A$6,Kit_BOM!$G$2:$G$65,"DNP")*$C$6,0)+SUMIFS(Kit_BOM!$F$2:$F$65,Kit_BOM!$E$2:$E$65,$A40,Kit_BOM!$A$2:$A$65,$A$7,Kit_BOM!$G$2:$G$65,"Bestücken")*$C$7+IF($F$5="Ja",SUMIFS(Kit_BOM!$F$2:$F$65,Kit_BOM!$E$2:$E$65,$A40,Kit_BOM!$A$2:$A$65,$A$7,Kit_BOM!$G$2:$G$65,"Optional")*$C$7,0)+IF($F$6="Ja",SUMIFS(Kit_BOM!$F$2:$F$65,Kit_BOM!$E$2:$E$65,$A40,Kit_BOM!$A$2:$A$65,$A$7,Kit_BOM!$G$2:$G$65,"DNP")*$C$7,0)</f>
        <v>4</v>
      </c>
      <c r="F40" s="21">
        <f>IFERROR(VLOOKUP($A40,Parts!$A$2:$S$200,13,FALSE),"")</f>
        <v>0</v>
      </c>
      <c r="G40" s="21">
        <f t="shared" si="0"/>
        <v>4</v>
      </c>
      <c r="H40" s="38">
        <f>IFERROR(VLOOKUP($A40,Parts!$A$2:$S$200,11,FALSE),0)</f>
        <v>0.14000000000000001</v>
      </c>
      <c r="I40" s="38">
        <f t="shared" si="1"/>
        <v>0.56000000000000005</v>
      </c>
      <c r="J40" t="str">
        <f t="shared" si="2"/>
        <v>Reichelt bereit</v>
      </c>
      <c r="K40" t="str">
        <f>IFERROR(VLOOKUP($A40,Parts!$A$2:$S$200,10,FALSE),"")</f>
        <v>https://www.reichelt.de/de/de/shop/produkt/smd-widerstand_1206_1_5_kohm_250_mw_1_-238108</v>
      </c>
    </row>
    <row r="41" spans="1:11" ht="15" customHeight="1">
      <c r="A41" t="s">
        <v>550</v>
      </c>
      <c r="B41" s="39" t="str">
        <f>IFERROR(VLOOKUP($A41,Parts!$A$2:$S$200,3,FALSE),"")</f>
        <v>DuoRelay FullSize PCB Rev 0.2</v>
      </c>
      <c r="C41" t="str">
        <f>IFERROR(VLOOKUP($A41,Parts!$A$2:$S$200,8,FALSE),"")</f>
        <v>JLCPCB</v>
      </c>
      <c r="D41">
        <f>IFERROR(VLOOKUP($A41,Parts!$A$2:$S$200,9,FALSE),"")</f>
        <v>0</v>
      </c>
      <c r="E41" s="21">
        <f>SUMIFS(Kit_BOM!$F$2:$F$65,Kit_BOM!$E$2:$E$65,$A41,Kit_BOM!$A$2:$A$65,$A$5,Kit_BOM!$G$2:$G$65,"Bestücken")*$C$5+IF($F$5="Ja",SUMIFS(Kit_BOM!$F$2:$F$65,Kit_BOM!$E$2:$E$65,$A41,Kit_BOM!$A$2:$A$65,$A$5,Kit_BOM!$G$2:$G$65,"Optional")*$C$5,0)+IF($F$6="Ja",SUMIFS(Kit_BOM!$F$2:$F$65,Kit_BOM!$E$2:$E$65,$A41,Kit_BOM!$A$2:$A$65,$A$5,Kit_BOM!$G$2:$G$65,"DNP")*$C$5,0)+SUMIFS(Kit_BOM!$F$2:$F$65,Kit_BOM!$E$2:$E$65,$A41,Kit_BOM!$A$2:$A$65,$A$6,Kit_BOM!$G$2:$G$65,"Bestücken")*$C$6+IF($F$5="Ja",SUMIFS(Kit_BOM!$F$2:$F$65,Kit_BOM!$E$2:$E$65,$A41,Kit_BOM!$A$2:$A$65,$A$6,Kit_BOM!$G$2:$G$65,"Optional")*$C$6,0)+IF($F$6="Ja",SUMIFS(Kit_BOM!$F$2:$F$65,Kit_BOM!$E$2:$E$65,$A41,Kit_BOM!$A$2:$A$65,$A$6,Kit_BOM!$G$2:$G$65,"DNP")*$C$6,0)+SUMIFS(Kit_BOM!$F$2:$F$65,Kit_BOM!$E$2:$E$65,$A41,Kit_BOM!$A$2:$A$65,$A$7,Kit_BOM!$G$2:$G$65,"Bestücken")*$C$7+IF($F$5="Ja",SUMIFS(Kit_BOM!$F$2:$F$65,Kit_BOM!$E$2:$E$65,$A41,Kit_BOM!$A$2:$A$65,$A$7,Kit_BOM!$G$2:$G$65,"Optional")*$C$7,0)+IF($F$6="Ja",SUMIFS(Kit_BOM!$F$2:$F$65,Kit_BOM!$E$2:$E$65,$A41,Kit_BOM!$A$2:$A$65,$A$7,Kit_BOM!$G$2:$G$65,"DNP")*$C$7,0)</f>
        <v>2</v>
      </c>
      <c r="F41" s="21">
        <f>IFERROR(VLOOKUP($A41,Parts!$A$2:$S$200,13,FALSE),"")</f>
        <v>0</v>
      </c>
      <c r="G41" s="21">
        <f t="shared" si="0"/>
        <v>2</v>
      </c>
      <c r="H41" s="38">
        <f>IFERROR(VLOOKUP($A41,Parts!$A$2:$S$200,11,FALSE),0)</f>
        <v>0</v>
      </c>
      <c r="I41" s="38">
        <f t="shared" si="1"/>
        <v>0</v>
      </c>
      <c r="J41" t="str">
        <f t="shared" si="2"/>
        <v>Anderer Lieferant</v>
      </c>
      <c r="K41">
        <f>IFERROR(VLOOKUP($A41,Parts!$A$2:$S$200,10,FALSE),"")</f>
        <v>0</v>
      </c>
    </row>
    <row r="42" spans="1:11" ht="15" customHeight="1">
      <c r="A42" t="s">
        <v>554</v>
      </c>
      <c r="B42" s="39" t="str">
        <f>IFERROR(VLOOKUP($A42,Parts!$A$2:$S$200,3,FALSE),"")</f>
        <v>Keramikkondensator 4,7 µF SMD</v>
      </c>
      <c r="C42" t="str">
        <f>IFERROR(VLOOKUP($A42,Parts!$A$2:$S$200,8,FALSE),"")</f>
        <v>Reichelt</v>
      </c>
      <c r="D42" t="str">
        <f>IFERROR(VLOOKUP($A42,Parts!$A$2:$S$200,9,FALSE),"")</f>
        <v>CL31B475KAHNNNE</v>
      </c>
      <c r="E42" s="21">
        <f>SUMIFS(Kit_BOM!$F$2:$F$65,Kit_BOM!$E$2:$E$65,$A42,Kit_BOM!$A$2:$A$65,$A$5,Kit_BOM!$G$2:$G$65,"Bestücken")*$C$5+IF($F$5="Ja",SUMIFS(Kit_BOM!$F$2:$F$65,Kit_BOM!$E$2:$E$65,$A42,Kit_BOM!$A$2:$A$65,$A$5,Kit_BOM!$G$2:$G$65,"Optional")*$C$5,0)+IF($F$6="Ja",SUMIFS(Kit_BOM!$F$2:$F$65,Kit_BOM!$E$2:$E$65,$A42,Kit_BOM!$A$2:$A$65,$A$5,Kit_BOM!$G$2:$G$65,"DNP")*$C$5,0)+SUMIFS(Kit_BOM!$F$2:$F$65,Kit_BOM!$E$2:$E$65,$A42,Kit_BOM!$A$2:$A$65,$A$6,Kit_BOM!$G$2:$G$65,"Bestücken")*$C$6+IF($F$5="Ja",SUMIFS(Kit_BOM!$F$2:$F$65,Kit_BOM!$E$2:$E$65,$A42,Kit_BOM!$A$2:$A$65,$A$6,Kit_BOM!$G$2:$G$65,"Optional")*$C$6,0)+IF($F$6="Ja",SUMIFS(Kit_BOM!$F$2:$F$65,Kit_BOM!$E$2:$E$65,$A42,Kit_BOM!$A$2:$A$65,$A$6,Kit_BOM!$G$2:$G$65,"DNP")*$C$6,0)+SUMIFS(Kit_BOM!$F$2:$F$65,Kit_BOM!$E$2:$E$65,$A42,Kit_BOM!$A$2:$A$65,$A$7,Kit_BOM!$G$2:$G$65,"Bestücken")*$C$7+IF($F$5="Ja",SUMIFS(Kit_BOM!$F$2:$F$65,Kit_BOM!$E$2:$E$65,$A42,Kit_BOM!$A$2:$A$65,$A$7,Kit_BOM!$G$2:$G$65,"Optional")*$C$7,0)+IF($F$6="Ja",SUMIFS(Kit_BOM!$F$2:$F$65,Kit_BOM!$E$2:$E$65,$A42,Kit_BOM!$A$2:$A$65,$A$7,Kit_BOM!$G$2:$G$65,"DNP")*$C$7,0)</f>
        <v>0</v>
      </c>
      <c r="F42" s="21">
        <f>IFERROR(VLOOKUP($A42,Parts!$A$2:$S$200,13,FALSE),"")</f>
        <v>0</v>
      </c>
      <c r="G42" s="21">
        <f t="shared" si="0"/>
        <v>0</v>
      </c>
      <c r="H42" s="38">
        <f>IFERROR(VLOOKUP($A42,Parts!$A$2:$S$200,11,FALSE),0)</f>
        <v>0.14000000000000001</v>
      </c>
      <c r="I42" s="38">
        <f t="shared" si="1"/>
        <v>0</v>
      </c>
      <c r="J42" t="str">
        <f t="shared" si="2"/>
        <v>Nicht benötigt</v>
      </c>
      <c r="K42" t="str">
        <f>IFERROR(VLOOKUP($A42,Parts!$A$2:$S$200,10,FALSE),"")</f>
        <v>https://www.reichelt.de/de/de/shop/produkt/mlcc_1206_4_7uf_25v_x7r_-10_h1_6_mm-429143</v>
      </c>
    </row>
    <row r="43" spans="1:11" ht="15" customHeight="1">
      <c r="A43" t="s">
        <v>563</v>
      </c>
      <c r="B43" s="39" t="str">
        <f>IFERROR(VLOOKUP($A43,Parts!$A$2:$S$200,3,FALSE),"")</f>
        <v>Keramikkondensator 4,7 µF SMD</v>
      </c>
      <c r="C43" t="str">
        <f>IFERROR(VLOOKUP($A43,Parts!$A$2:$S$200,8,FALSE),"")</f>
        <v>Reichelt</v>
      </c>
      <c r="D43" t="str">
        <f>IFERROR(VLOOKUP($A43,Parts!$A$2:$S$200,9,FALSE),"")</f>
        <v>CL32B475KBJVPNE</v>
      </c>
      <c r="E43" s="21">
        <f>SUMIFS(Kit_BOM!$F$2:$F$65,Kit_BOM!$E$2:$E$65,$A43,Kit_BOM!$A$2:$A$65,$A$5,Kit_BOM!$G$2:$G$65,"Bestücken")*$C$5+IF($F$5="Ja",SUMIFS(Kit_BOM!$F$2:$F$65,Kit_BOM!$E$2:$E$65,$A43,Kit_BOM!$A$2:$A$65,$A$5,Kit_BOM!$G$2:$G$65,"Optional")*$C$5,0)+IF($F$6="Ja",SUMIFS(Kit_BOM!$F$2:$F$65,Kit_BOM!$E$2:$E$65,$A43,Kit_BOM!$A$2:$A$65,$A$5,Kit_BOM!$G$2:$G$65,"DNP")*$C$5,0)+SUMIFS(Kit_BOM!$F$2:$F$65,Kit_BOM!$E$2:$E$65,$A43,Kit_BOM!$A$2:$A$65,$A$6,Kit_BOM!$G$2:$G$65,"Bestücken")*$C$6+IF($F$5="Ja",SUMIFS(Kit_BOM!$F$2:$F$65,Kit_BOM!$E$2:$E$65,$A43,Kit_BOM!$A$2:$A$65,$A$6,Kit_BOM!$G$2:$G$65,"Optional")*$C$6,0)+IF($F$6="Ja",SUMIFS(Kit_BOM!$F$2:$F$65,Kit_BOM!$E$2:$E$65,$A43,Kit_BOM!$A$2:$A$65,$A$6,Kit_BOM!$G$2:$G$65,"DNP")*$C$6,0)+SUMIFS(Kit_BOM!$F$2:$F$65,Kit_BOM!$E$2:$E$65,$A43,Kit_BOM!$A$2:$A$65,$A$7,Kit_BOM!$G$2:$G$65,"Bestücken")*$C$7+IF($F$5="Ja",SUMIFS(Kit_BOM!$F$2:$F$65,Kit_BOM!$E$2:$E$65,$A43,Kit_BOM!$A$2:$A$65,$A$7,Kit_BOM!$G$2:$G$65,"Optional")*$C$7,0)+IF($F$6="Ja",SUMIFS(Kit_BOM!$F$2:$F$65,Kit_BOM!$E$2:$E$65,$A43,Kit_BOM!$A$2:$A$65,$A$7,Kit_BOM!$G$2:$G$65,"DNP")*$C$7,0)</f>
        <v>0</v>
      </c>
      <c r="F43" s="21">
        <f>IFERROR(VLOOKUP($A43,Parts!$A$2:$S$200,13,FALSE),"")</f>
        <v>0</v>
      </c>
      <c r="G43" s="21">
        <f t="shared" si="0"/>
        <v>0</v>
      </c>
      <c r="H43" s="38">
        <f>IFERROR(VLOOKUP($A43,Parts!$A$2:$S$200,11,FALSE),0)</f>
        <v>1.19</v>
      </c>
      <c r="I43" s="38">
        <f t="shared" si="1"/>
        <v>0</v>
      </c>
      <c r="J43" t="str">
        <f t="shared" si="2"/>
        <v>Nicht benötigt</v>
      </c>
      <c r="K43" t="str">
        <f>IFERROR(VLOOKUP($A43,Parts!$A$2:$S$200,10,FALSE),"")</f>
        <v>https://www.reichelt.de/de/de/shop/produkt/mlcc_1210_4_7_f_50v_x7r_-10_-438066</v>
      </c>
    </row>
    <row r="44" spans="1:11" ht="15" customHeight="1">
      <c r="A44" t="s">
        <v>571</v>
      </c>
      <c r="B44" s="39" t="str">
        <f>IFERROR(VLOOKUP($A44,Parts!$A$2:$S$200,3,FALSE),"")</f>
        <v>Schottky-Diode SMD</v>
      </c>
      <c r="C44">
        <f>IFERROR(VLOOKUP($A44,Parts!$A$2:$S$200,8,FALSE),"")</f>
        <v>0</v>
      </c>
      <c r="D44">
        <f>IFERROR(VLOOKUP($A44,Parts!$A$2:$S$200,9,FALSE),"")</f>
        <v>0</v>
      </c>
      <c r="E44" s="21">
        <f>SUMIFS(Kit_BOM!$F$2:$F$65,Kit_BOM!$E$2:$E$65,$A44,Kit_BOM!$A$2:$A$65,$A$5,Kit_BOM!$G$2:$G$65,"Bestücken")*$C$5+IF($F$5="Ja",SUMIFS(Kit_BOM!$F$2:$F$65,Kit_BOM!$E$2:$E$65,$A44,Kit_BOM!$A$2:$A$65,$A$5,Kit_BOM!$G$2:$G$65,"Optional")*$C$5,0)+IF($F$6="Ja",SUMIFS(Kit_BOM!$F$2:$F$65,Kit_BOM!$E$2:$E$65,$A44,Kit_BOM!$A$2:$A$65,$A$5,Kit_BOM!$G$2:$G$65,"DNP")*$C$5,0)+SUMIFS(Kit_BOM!$F$2:$F$65,Kit_BOM!$E$2:$E$65,$A44,Kit_BOM!$A$2:$A$65,$A$6,Kit_BOM!$G$2:$G$65,"Bestücken")*$C$6+IF($F$5="Ja",SUMIFS(Kit_BOM!$F$2:$F$65,Kit_BOM!$E$2:$E$65,$A44,Kit_BOM!$A$2:$A$65,$A$6,Kit_BOM!$G$2:$G$65,"Optional")*$C$6,0)+IF($F$6="Ja",SUMIFS(Kit_BOM!$F$2:$F$65,Kit_BOM!$E$2:$E$65,$A44,Kit_BOM!$A$2:$A$65,$A$6,Kit_BOM!$G$2:$G$65,"DNP")*$C$6,0)+SUMIFS(Kit_BOM!$F$2:$F$65,Kit_BOM!$E$2:$E$65,$A44,Kit_BOM!$A$2:$A$65,$A$7,Kit_BOM!$G$2:$G$65,"Bestücken")*$C$7+IF($F$5="Ja",SUMIFS(Kit_BOM!$F$2:$F$65,Kit_BOM!$E$2:$E$65,$A44,Kit_BOM!$A$2:$A$65,$A$7,Kit_BOM!$G$2:$G$65,"Optional")*$C$7,0)+IF($F$6="Ja",SUMIFS(Kit_BOM!$F$2:$F$65,Kit_BOM!$E$2:$E$65,$A44,Kit_BOM!$A$2:$A$65,$A$7,Kit_BOM!$G$2:$G$65,"DNP")*$C$7,0)</f>
        <v>0</v>
      </c>
      <c r="F44" s="21">
        <f>IFERROR(VLOOKUP($A44,Parts!$A$2:$S$200,13,FALSE),"")</f>
        <v>0</v>
      </c>
      <c r="G44" s="21">
        <f t="shared" si="0"/>
        <v>0</v>
      </c>
      <c r="H44" s="38">
        <f>IFERROR(VLOOKUP($A44,Parts!$A$2:$S$200,11,FALSE),0)</f>
        <v>0</v>
      </c>
      <c r="I44" s="38">
        <f t="shared" si="1"/>
        <v>0</v>
      </c>
      <c r="J44" t="str">
        <f t="shared" si="2"/>
        <v>Nicht benötigt</v>
      </c>
      <c r="K44">
        <f>IFERROR(VLOOKUP($A44,Parts!$A$2:$S$200,10,FALSE),"")</f>
        <v>0</v>
      </c>
    </row>
    <row r="45" spans="1:11" ht="15" customHeight="1">
      <c r="A45" t="s">
        <v>578</v>
      </c>
      <c r="B45" s="39" t="str">
        <f>IFERROR(VLOOKUP($A45,Parts!$A$2:$S$200,3,FALSE),"")</f>
        <v>Leistungsinduktivität 0,68 µH</v>
      </c>
      <c r="C45" t="str">
        <f>IFERROR(VLOOKUP($A45,Parts!$A$2:$S$200,8,FALSE),"")</f>
        <v>Mouser</v>
      </c>
      <c r="D45" t="str">
        <f>IFERROR(VLOOKUP($A45,Parts!$A$2:$S$200,9,FALSE),"")</f>
        <v>710-744383560068</v>
      </c>
      <c r="E45" s="21">
        <f>SUMIFS(Kit_BOM!$F$2:$F$65,Kit_BOM!$E$2:$E$65,$A45,Kit_BOM!$A$2:$A$65,$A$5,Kit_BOM!$G$2:$G$65,"Bestücken")*$C$5+IF($F$5="Ja",SUMIFS(Kit_BOM!$F$2:$F$65,Kit_BOM!$E$2:$E$65,$A45,Kit_BOM!$A$2:$A$65,$A$5,Kit_BOM!$G$2:$G$65,"Optional")*$C$5,0)+IF($F$6="Ja",SUMIFS(Kit_BOM!$F$2:$F$65,Kit_BOM!$E$2:$E$65,$A45,Kit_BOM!$A$2:$A$65,$A$5,Kit_BOM!$G$2:$G$65,"DNP")*$C$5,0)+SUMIFS(Kit_BOM!$F$2:$F$65,Kit_BOM!$E$2:$E$65,$A45,Kit_BOM!$A$2:$A$65,$A$6,Kit_BOM!$G$2:$G$65,"Bestücken")*$C$6+IF($F$5="Ja",SUMIFS(Kit_BOM!$F$2:$F$65,Kit_BOM!$E$2:$E$65,$A45,Kit_BOM!$A$2:$A$65,$A$6,Kit_BOM!$G$2:$G$65,"Optional")*$C$6,0)+IF($F$6="Ja",SUMIFS(Kit_BOM!$F$2:$F$65,Kit_BOM!$E$2:$E$65,$A45,Kit_BOM!$A$2:$A$65,$A$6,Kit_BOM!$G$2:$G$65,"DNP")*$C$6,0)+SUMIFS(Kit_BOM!$F$2:$F$65,Kit_BOM!$E$2:$E$65,$A45,Kit_BOM!$A$2:$A$65,$A$7,Kit_BOM!$G$2:$G$65,"Bestücken")*$C$7+IF($F$5="Ja",SUMIFS(Kit_BOM!$F$2:$F$65,Kit_BOM!$E$2:$E$65,$A45,Kit_BOM!$A$2:$A$65,$A$7,Kit_BOM!$G$2:$G$65,"Optional")*$C$7,0)+IF($F$6="Ja",SUMIFS(Kit_BOM!$F$2:$F$65,Kit_BOM!$E$2:$E$65,$A45,Kit_BOM!$A$2:$A$65,$A$7,Kit_BOM!$G$2:$G$65,"DNP")*$C$7,0)</f>
        <v>0</v>
      </c>
      <c r="F45" s="21">
        <f>IFERROR(VLOOKUP($A45,Parts!$A$2:$S$200,13,FALSE),"")</f>
        <v>0</v>
      </c>
      <c r="G45" s="21">
        <f t="shared" si="0"/>
        <v>0</v>
      </c>
      <c r="H45" s="38">
        <f>IFERROR(VLOOKUP($A45,Parts!$A$2:$S$200,11,FALSE),0)</f>
        <v>1.66</v>
      </c>
      <c r="I45" s="38">
        <f t="shared" si="1"/>
        <v>0</v>
      </c>
      <c r="J45" t="str">
        <f t="shared" si="2"/>
        <v>Nicht benötigt</v>
      </c>
      <c r="K45" t="str">
        <f>IFERROR(VLOOKUP($A45,Parts!$A$2:$S$200,10,FALSE),"")</f>
        <v>https://eu.mouser.com/en/ProductDetail/Wurth-Elektronik/744383560068</v>
      </c>
    </row>
    <row r="46" spans="1:11" ht="15" customHeight="1">
      <c r="A46" t="s">
        <v>591</v>
      </c>
      <c r="B46" s="39" t="str">
        <f>IFERROR(VLOOKUP($A46,Parts!$A$2:$S$200,3,FALSE),"")</f>
        <v>Widerstand 1 MΩ SMD</v>
      </c>
      <c r="C46" t="str">
        <f>IFERROR(VLOOKUP($A46,Parts!$A$2:$S$200,8,FALSE),"")</f>
        <v>Reichelt</v>
      </c>
      <c r="D46" t="str">
        <f>IFERROR(VLOOKUP($A46,Parts!$A$2:$S$200,9,FALSE),"")</f>
        <v>VIS CRCW12061M0</v>
      </c>
      <c r="E46" s="21">
        <f>SUMIFS(Kit_BOM!$F$2:$F$65,Kit_BOM!$E$2:$E$65,$A46,Kit_BOM!$A$2:$A$65,$A$5,Kit_BOM!$G$2:$G$65,"Bestücken")*$C$5+IF($F$5="Ja",SUMIFS(Kit_BOM!$F$2:$F$65,Kit_BOM!$E$2:$E$65,$A46,Kit_BOM!$A$2:$A$65,$A$5,Kit_BOM!$G$2:$G$65,"Optional")*$C$5,0)+IF($F$6="Ja",SUMIFS(Kit_BOM!$F$2:$F$65,Kit_BOM!$E$2:$E$65,$A46,Kit_BOM!$A$2:$A$65,$A$5,Kit_BOM!$G$2:$G$65,"DNP")*$C$5,0)+SUMIFS(Kit_BOM!$F$2:$F$65,Kit_BOM!$E$2:$E$65,$A46,Kit_BOM!$A$2:$A$65,$A$6,Kit_BOM!$G$2:$G$65,"Bestücken")*$C$6+IF($F$5="Ja",SUMIFS(Kit_BOM!$F$2:$F$65,Kit_BOM!$E$2:$E$65,$A46,Kit_BOM!$A$2:$A$65,$A$6,Kit_BOM!$G$2:$G$65,"Optional")*$C$6,0)+IF($F$6="Ja",SUMIFS(Kit_BOM!$F$2:$F$65,Kit_BOM!$E$2:$E$65,$A46,Kit_BOM!$A$2:$A$65,$A$6,Kit_BOM!$G$2:$G$65,"DNP")*$C$6,0)+SUMIFS(Kit_BOM!$F$2:$F$65,Kit_BOM!$E$2:$E$65,$A46,Kit_BOM!$A$2:$A$65,$A$7,Kit_BOM!$G$2:$G$65,"Bestücken")*$C$7+IF($F$5="Ja",SUMIFS(Kit_BOM!$F$2:$F$65,Kit_BOM!$E$2:$E$65,$A46,Kit_BOM!$A$2:$A$65,$A$7,Kit_BOM!$G$2:$G$65,"Optional")*$C$7,0)+IF($F$6="Ja",SUMIFS(Kit_BOM!$F$2:$F$65,Kit_BOM!$E$2:$E$65,$A46,Kit_BOM!$A$2:$A$65,$A$7,Kit_BOM!$G$2:$G$65,"DNP")*$C$7,0)</f>
        <v>0</v>
      </c>
      <c r="F46" s="21">
        <f>IFERROR(VLOOKUP($A46,Parts!$A$2:$S$200,13,FALSE),"")</f>
        <v>0</v>
      </c>
      <c r="G46" s="21">
        <f t="shared" si="0"/>
        <v>0</v>
      </c>
      <c r="H46" s="38">
        <f>IFERROR(VLOOKUP($A46,Parts!$A$2:$S$200,11,FALSE),0)</f>
        <v>0.18</v>
      </c>
      <c r="I46" s="38">
        <f t="shared" si="1"/>
        <v>0</v>
      </c>
      <c r="J46" t="str">
        <f t="shared" si="2"/>
        <v>Nicht benötigt</v>
      </c>
      <c r="K46" t="str">
        <f>IFERROR(VLOOKUP($A46,Parts!$A$2:$S$200,10,FALSE),"")</f>
        <v>https://www.reichelt.de/de/de/shop/produkt/smd-widerstand_1206_1_0_mohm_250_mw_1_-238109</v>
      </c>
    </row>
    <row r="47" spans="1:11" ht="15" customHeight="1">
      <c r="A47" t="s">
        <v>600</v>
      </c>
      <c r="B47" s="39" t="str">
        <f>IFERROR(VLOOKUP($A47,Parts!$A$2:$S$200,3,FALSE),"")</f>
        <v>Widerstand 71,5 kΩ SMD</v>
      </c>
      <c r="C47" t="str">
        <f>IFERROR(VLOOKUP($A47,Parts!$A$2:$S$200,8,FALSE),"")</f>
        <v>DigiKey</v>
      </c>
      <c r="D47">
        <f>IFERROR(VLOOKUP($A47,Parts!$A$2:$S$200,9,FALSE),"")</f>
        <v>0</v>
      </c>
      <c r="E47" s="21">
        <f>SUMIFS(Kit_BOM!$F$2:$F$65,Kit_BOM!$E$2:$E$65,$A47,Kit_BOM!$A$2:$A$65,$A$5,Kit_BOM!$G$2:$G$65,"Bestücken")*$C$5+IF($F$5="Ja",SUMIFS(Kit_BOM!$F$2:$F$65,Kit_BOM!$E$2:$E$65,$A47,Kit_BOM!$A$2:$A$65,$A$5,Kit_BOM!$G$2:$G$65,"Optional")*$C$5,0)+IF($F$6="Ja",SUMIFS(Kit_BOM!$F$2:$F$65,Kit_BOM!$E$2:$E$65,$A47,Kit_BOM!$A$2:$A$65,$A$5,Kit_BOM!$G$2:$G$65,"DNP")*$C$5,0)+SUMIFS(Kit_BOM!$F$2:$F$65,Kit_BOM!$E$2:$E$65,$A47,Kit_BOM!$A$2:$A$65,$A$6,Kit_BOM!$G$2:$G$65,"Bestücken")*$C$6+IF($F$5="Ja",SUMIFS(Kit_BOM!$F$2:$F$65,Kit_BOM!$E$2:$E$65,$A47,Kit_BOM!$A$2:$A$65,$A$6,Kit_BOM!$G$2:$G$65,"Optional")*$C$6,0)+IF($F$6="Ja",SUMIFS(Kit_BOM!$F$2:$F$65,Kit_BOM!$E$2:$E$65,$A47,Kit_BOM!$A$2:$A$65,$A$6,Kit_BOM!$G$2:$G$65,"DNP")*$C$6,0)+SUMIFS(Kit_BOM!$F$2:$F$65,Kit_BOM!$E$2:$E$65,$A47,Kit_BOM!$A$2:$A$65,$A$7,Kit_BOM!$G$2:$G$65,"Bestücken")*$C$7+IF($F$5="Ja",SUMIFS(Kit_BOM!$F$2:$F$65,Kit_BOM!$E$2:$E$65,$A47,Kit_BOM!$A$2:$A$65,$A$7,Kit_BOM!$G$2:$G$65,"Optional")*$C$7,0)+IF($F$6="Ja",SUMIFS(Kit_BOM!$F$2:$F$65,Kit_BOM!$E$2:$E$65,$A47,Kit_BOM!$A$2:$A$65,$A$7,Kit_BOM!$G$2:$G$65,"DNP")*$C$7,0)</f>
        <v>0</v>
      </c>
      <c r="F47" s="21">
        <f>IFERROR(VLOOKUP($A47,Parts!$A$2:$S$200,13,FALSE),"")</f>
        <v>0</v>
      </c>
      <c r="G47" s="21">
        <f t="shared" si="0"/>
        <v>0</v>
      </c>
      <c r="H47" s="38">
        <f>IFERROR(VLOOKUP($A47,Parts!$A$2:$S$200,11,FALSE),0)</f>
        <v>0.09</v>
      </c>
      <c r="I47" s="38">
        <f t="shared" si="1"/>
        <v>0</v>
      </c>
      <c r="J47" t="str">
        <f t="shared" si="2"/>
        <v>Nicht benötigt</v>
      </c>
      <c r="K47" t="str">
        <f>IFERROR(VLOOKUP($A47,Parts!$A$2:$S$200,10,FALSE),"")</f>
        <v>https://www.digikey.de/de/products/filter/chipwiderstand-oberfl%C3%A4chenmontage/71-5-kohms/52</v>
      </c>
    </row>
    <row r="48" spans="1:11" ht="15" customHeight="1">
      <c r="A48" t="s">
        <v>609</v>
      </c>
      <c r="B48" s="39" t="str">
        <f>IFERROR(VLOOKUP($A48,Parts!$A$2:$S$200,3,FALSE),"")</f>
        <v>Widerstand 220 kΩ SMD</v>
      </c>
      <c r="C48" t="str">
        <f>IFERROR(VLOOKUP($A48,Parts!$A$2:$S$200,8,FALSE),"")</f>
        <v>TME</v>
      </c>
      <c r="D48" t="str">
        <f>IFERROR(VLOOKUP($A48,Parts!$A$2:$S$200,9,FALSE),"")</f>
        <v>WR12X2203FTL</v>
      </c>
      <c r="E48" s="21">
        <f>SUMIFS(Kit_BOM!$F$2:$F$65,Kit_BOM!$E$2:$E$65,$A48,Kit_BOM!$A$2:$A$65,$A$5,Kit_BOM!$G$2:$G$65,"Bestücken")*$C$5+IF($F$5="Ja",SUMIFS(Kit_BOM!$F$2:$F$65,Kit_BOM!$E$2:$E$65,$A48,Kit_BOM!$A$2:$A$65,$A$5,Kit_BOM!$G$2:$G$65,"Optional")*$C$5,0)+IF($F$6="Ja",SUMIFS(Kit_BOM!$F$2:$F$65,Kit_BOM!$E$2:$E$65,$A48,Kit_BOM!$A$2:$A$65,$A$5,Kit_BOM!$G$2:$G$65,"DNP")*$C$5,0)+SUMIFS(Kit_BOM!$F$2:$F$65,Kit_BOM!$E$2:$E$65,$A48,Kit_BOM!$A$2:$A$65,$A$6,Kit_BOM!$G$2:$G$65,"Bestücken")*$C$6+IF($F$5="Ja",SUMIFS(Kit_BOM!$F$2:$F$65,Kit_BOM!$E$2:$E$65,$A48,Kit_BOM!$A$2:$A$65,$A$6,Kit_BOM!$G$2:$G$65,"Optional")*$C$6,0)+IF($F$6="Ja",SUMIFS(Kit_BOM!$F$2:$F$65,Kit_BOM!$E$2:$E$65,$A48,Kit_BOM!$A$2:$A$65,$A$6,Kit_BOM!$G$2:$G$65,"DNP")*$C$6,0)+SUMIFS(Kit_BOM!$F$2:$F$65,Kit_BOM!$E$2:$E$65,$A48,Kit_BOM!$A$2:$A$65,$A$7,Kit_BOM!$G$2:$G$65,"Bestücken")*$C$7+IF($F$5="Ja",SUMIFS(Kit_BOM!$F$2:$F$65,Kit_BOM!$E$2:$E$65,$A48,Kit_BOM!$A$2:$A$65,$A$7,Kit_BOM!$G$2:$G$65,"Optional")*$C$7,0)+IF($F$6="Ja",SUMIFS(Kit_BOM!$F$2:$F$65,Kit_BOM!$E$2:$E$65,$A48,Kit_BOM!$A$2:$A$65,$A$7,Kit_BOM!$G$2:$G$65,"DNP")*$C$7,0)</f>
        <v>0</v>
      </c>
      <c r="F48" s="21">
        <f>IFERROR(VLOOKUP($A48,Parts!$A$2:$S$200,13,FALSE),"")</f>
        <v>0</v>
      </c>
      <c r="G48" s="21">
        <f t="shared" si="0"/>
        <v>0</v>
      </c>
      <c r="H48" s="38">
        <f>IFERROR(VLOOKUP($A48,Parts!$A$2:$S$200,11,FALSE),0)</f>
        <v>7.0000000000000007E-2</v>
      </c>
      <c r="I48" s="38">
        <f t="shared" si="1"/>
        <v>0</v>
      </c>
      <c r="J48" t="str">
        <f t="shared" si="2"/>
        <v>Nicht benötigt</v>
      </c>
      <c r="K48" t="str">
        <f>IFERROR(VLOOKUP($A48,Parts!$A$2:$S$200,10,FALSE),"")</f>
        <v>https://www.tme.eu/de/details/wr12x2203ftl/smd-widerstaende/walsin/</v>
      </c>
    </row>
    <row r="49" spans="1:11" ht="15" customHeight="1">
      <c r="A49" t="s">
        <v>620</v>
      </c>
      <c r="B49" s="39" t="str">
        <f>IFERROR(VLOOKUP($A49,Parts!$A$2:$S$200,3,FALSE),"")</f>
        <v>Schiebeschalter DPDT</v>
      </c>
      <c r="C49" t="str">
        <f>IFERROR(VLOOKUP($A49,Parts!$A$2:$S$200,8,FALSE),"")</f>
        <v>Mouser</v>
      </c>
      <c r="D49" t="str">
        <f>IFERROR(VLOOKUP($A49,Parts!$A$2:$S$200,9,FALSE),"")</f>
        <v>611-OS202011MS2QS1</v>
      </c>
      <c r="E49" s="21">
        <f>SUMIFS(Kit_BOM!$F$2:$F$65,Kit_BOM!$E$2:$E$65,$A49,Kit_BOM!$A$2:$A$65,$A$5,Kit_BOM!$G$2:$G$65,"Bestücken")*$C$5+IF($F$5="Ja",SUMIFS(Kit_BOM!$F$2:$F$65,Kit_BOM!$E$2:$E$65,$A49,Kit_BOM!$A$2:$A$65,$A$5,Kit_BOM!$G$2:$G$65,"Optional")*$C$5,0)+IF($F$6="Ja",SUMIFS(Kit_BOM!$F$2:$F$65,Kit_BOM!$E$2:$E$65,$A49,Kit_BOM!$A$2:$A$65,$A$5,Kit_BOM!$G$2:$G$65,"DNP")*$C$5,0)+SUMIFS(Kit_BOM!$F$2:$F$65,Kit_BOM!$E$2:$E$65,$A49,Kit_BOM!$A$2:$A$65,$A$6,Kit_BOM!$G$2:$G$65,"Bestücken")*$C$6+IF($F$5="Ja",SUMIFS(Kit_BOM!$F$2:$F$65,Kit_BOM!$E$2:$E$65,$A49,Kit_BOM!$A$2:$A$65,$A$6,Kit_BOM!$G$2:$G$65,"Optional")*$C$6,0)+IF($F$6="Ja",SUMIFS(Kit_BOM!$F$2:$F$65,Kit_BOM!$E$2:$E$65,$A49,Kit_BOM!$A$2:$A$65,$A$6,Kit_BOM!$G$2:$G$65,"DNP")*$C$6,0)+SUMIFS(Kit_BOM!$F$2:$F$65,Kit_BOM!$E$2:$E$65,$A49,Kit_BOM!$A$2:$A$65,$A$7,Kit_BOM!$G$2:$G$65,"Bestücken")*$C$7+IF($F$5="Ja",SUMIFS(Kit_BOM!$F$2:$F$65,Kit_BOM!$E$2:$E$65,$A49,Kit_BOM!$A$2:$A$65,$A$7,Kit_BOM!$G$2:$G$65,"Optional")*$C$7,0)+IF($F$6="Ja",SUMIFS(Kit_BOM!$F$2:$F$65,Kit_BOM!$E$2:$E$65,$A49,Kit_BOM!$A$2:$A$65,$A$7,Kit_BOM!$G$2:$G$65,"DNP")*$C$7,0)</f>
        <v>0</v>
      </c>
      <c r="F49" s="21">
        <f>IFERROR(VLOOKUP($A49,Parts!$A$2:$S$200,13,FALSE),"")</f>
        <v>0</v>
      </c>
      <c r="G49" s="21">
        <f t="shared" si="0"/>
        <v>0</v>
      </c>
      <c r="H49" s="38">
        <f>IFERROR(VLOOKUP($A49,Parts!$A$2:$S$200,11,FALSE),0)</f>
        <v>0.92</v>
      </c>
      <c r="I49" s="38">
        <f t="shared" si="1"/>
        <v>0</v>
      </c>
      <c r="J49" t="str">
        <f t="shared" si="2"/>
        <v>Nicht benötigt</v>
      </c>
      <c r="K49" t="str">
        <f>IFERROR(VLOOKUP($A49,Parts!$A$2:$S$200,10,FALSE),"")</f>
        <v>https://www.mouser.de/de/c/electromechanical/switches/slide-switches/?q=OS202011MS2QS1</v>
      </c>
    </row>
    <row r="50" spans="1:11" ht="15" customHeight="1">
      <c r="A50" t="s">
        <v>632</v>
      </c>
      <c r="B50" s="39" t="str">
        <f>IFERROR(VLOOKUP($A50,Parts!$A$2:$S$200,3,FALSE),"")</f>
        <v>Boost-Regler LT8330</v>
      </c>
      <c r="C50" t="str">
        <f>IFERROR(VLOOKUP($A50,Parts!$A$2:$S$200,8,FALSE),"")</f>
        <v>Mouser</v>
      </c>
      <c r="D50" t="str">
        <f>IFERROR(VLOOKUP($A50,Parts!$A$2:$S$200,9,FALSE),"")</f>
        <v>584-LT8330ES6#TRMPBF</v>
      </c>
      <c r="E50" s="21">
        <f>SUMIFS(Kit_BOM!$F$2:$F$65,Kit_BOM!$E$2:$E$65,$A50,Kit_BOM!$A$2:$A$65,$A$5,Kit_BOM!$G$2:$G$65,"Bestücken")*$C$5+IF($F$5="Ja",SUMIFS(Kit_BOM!$F$2:$F$65,Kit_BOM!$E$2:$E$65,$A50,Kit_BOM!$A$2:$A$65,$A$5,Kit_BOM!$G$2:$G$65,"Optional")*$C$5,0)+IF($F$6="Ja",SUMIFS(Kit_BOM!$F$2:$F$65,Kit_BOM!$E$2:$E$65,$A50,Kit_BOM!$A$2:$A$65,$A$5,Kit_BOM!$G$2:$G$65,"DNP")*$C$5,0)+SUMIFS(Kit_BOM!$F$2:$F$65,Kit_BOM!$E$2:$E$65,$A50,Kit_BOM!$A$2:$A$65,$A$6,Kit_BOM!$G$2:$G$65,"Bestücken")*$C$6+IF($F$5="Ja",SUMIFS(Kit_BOM!$F$2:$F$65,Kit_BOM!$E$2:$E$65,$A50,Kit_BOM!$A$2:$A$65,$A$6,Kit_BOM!$G$2:$G$65,"Optional")*$C$6,0)+IF($F$6="Ja",SUMIFS(Kit_BOM!$F$2:$F$65,Kit_BOM!$E$2:$E$65,$A50,Kit_BOM!$A$2:$A$65,$A$6,Kit_BOM!$G$2:$G$65,"DNP")*$C$6,0)+SUMIFS(Kit_BOM!$F$2:$F$65,Kit_BOM!$E$2:$E$65,$A50,Kit_BOM!$A$2:$A$65,$A$7,Kit_BOM!$G$2:$G$65,"Bestücken")*$C$7+IF($F$5="Ja",SUMIFS(Kit_BOM!$F$2:$F$65,Kit_BOM!$E$2:$E$65,$A50,Kit_BOM!$A$2:$A$65,$A$7,Kit_BOM!$G$2:$G$65,"Optional")*$C$7,0)+IF($F$6="Ja",SUMIFS(Kit_BOM!$F$2:$F$65,Kit_BOM!$E$2:$E$65,$A50,Kit_BOM!$A$2:$A$65,$A$7,Kit_BOM!$G$2:$G$65,"DNP")*$C$7,0)</f>
        <v>0</v>
      </c>
      <c r="F50" s="21">
        <f>IFERROR(VLOOKUP($A50,Parts!$A$2:$S$200,13,FALSE),"")</f>
        <v>0</v>
      </c>
      <c r="G50" s="21">
        <f t="shared" si="0"/>
        <v>0</v>
      </c>
      <c r="H50" s="38">
        <f>IFERROR(VLOOKUP($A50,Parts!$A$2:$S$200,11,FALSE),0)</f>
        <v>7.11</v>
      </c>
      <c r="I50" s="38">
        <f t="shared" si="1"/>
        <v>0</v>
      </c>
      <c r="J50" t="str">
        <f t="shared" si="2"/>
        <v>Nicht benötigt</v>
      </c>
      <c r="K50" t="str">
        <f>IFERROR(VLOOKUP($A50,Parts!$A$2:$S$200,10,FALSE),"")</f>
        <v>https://www.mouser.de/ProductDetail/Analog-Devices/LT8330ES6TRMPBF</v>
      </c>
    </row>
    <row r="51" spans="1:11" ht="15" customHeight="1">
      <c r="A51" t="s">
        <v>643</v>
      </c>
      <c r="B51" s="39" t="str">
        <f>IFERROR(VLOOKUP($A51,Parts!$A$2:$S$200,3,FALSE),"")</f>
        <v>AnalogHydroPressure FullSize PCB Rev 0.2</v>
      </c>
      <c r="C51" t="str">
        <f>IFERROR(VLOOKUP($A51,Parts!$A$2:$S$200,8,FALSE),"")</f>
        <v>JLCPCB</v>
      </c>
      <c r="D51">
        <f>IFERROR(VLOOKUP($A51,Parts!$A$2:$S$200,9,FALSE),"")</f>
        <v>0</v>
      </c>
      <c r="E51" s="21">
        <f>SUMIFS(Kit_BOM!$F$2:$F$65,Kit_BOM!$E$2:$E$65,$A51,Kit_BOM!$A$2:$A$65,$A$5,Kit_BOM!$G$2:$G$65,"Bestücken")*$C$5+IF($F$5="Ja",SUMIFS(Kit_BOM!$F$2:$F$65,Kit_BOM!$E$2:$E$65,$A51,Kit_BOM!$A$2:$A$65,$A$5,Kit_BOM!$G$2:$G$65,"Optional")*$C$5,0)+IF($F$6="Ja",SUMIFS(Kit_BOM!$F$2:$F$65,Kit_BOM!$E$2:$E$65,$A51,Kit_BOM!$A$2:$A$65,$A$5,Kit_BOM!$G$2:$G$65,"DNP")*$C$5,0)+SUMIFS(Kit_BOM!$F$2:$F$65,Kit_BOM!$E$2:$E$65,$A51,Kit_BOM!$A$2:$A$65,$A$6,Kit_BOM!$G$2:$G$65,"Bestücken")*$C$6+IF($F$5="Ja",SUMIFS(Kit_BOM!$F$2:$F$65,Kit_BOM!$E$2:$E$65,$A51,Kit_BOM!$A$2:$A$65,$A$6,Kit_BOM!$G$2:$G$65,"Optional")*$C$6,0)+IF($F$6="Ja",SUMIFS(Kit_BOM!$F$2:$F$65,Kit_BOM!$E$2:$E$65,$A51,Kit_BOM!$A$2:$A$65,$A$6,Kit_BOM!$G$2:$G$65,"DNP")*$C$6,0)+SUMIFS(Kit_BOM!$F$2:$F$65,Kit_BOM!$E$2:$E$65,$A51,Kit_BOM!$A$2:$A$65,$A$7,Kit_BOM!$G$2:$G$65,"Bestücken")*$C$7+IF($F$5="Ja",SUMIFS(Kit_BOM!$F$2:$F$65,Kit_BOM!$E$2:$E$65,$A51,Kit_BOM!$A$2:$A$65,$A$7,Kit_BOM!$G$2:$G$65,"Optional")*$C$7,0)+IF($F$6="Ja",SUMIFS(Kit_BOM!$F$2:$F$65,Kit_BOM!$E$2:$E$65,$A51,Kit_BOM!$A$2:$A$65,$A$7,Kit_BOM!$G$2:$G$65,"DNP")*$C$7,0)</f>
        <v>0</v>
      </c>
      <c r="F51" s="21">
        <f>IFERROR(VLOOKUP($A51,Parts!$A$2:$S$200,13,FALSE),"")</f>
        <v>0</v>
      </c>
      <c r="G51" s="21">
        <f t="shared" si="0"/>
        <v>0</v>
      </c>
      <c r="H51" s="38">
        <f>IFERROR(VLOOKUP($A51,Parts!$A$2:$S$200,11,FALSE),0)</f>
        <v>0</v>
      </c>
      <c r="I51" s="38">
        <f t="shared" si="1"/>
        <v>0</v>
      </c>
      <c r="J51" t="str">
        <f t="shared" si="2"/>
        <v>Nicht benötigt</v>
      </c>
      <c r="K51">
        <f>IFERROR(VLOOKUP($A51,Parts!$A$2:$S$200,10,FALSE),"")</f>
        <v>0</v>
      </c>
    </row>
    <row r="52" spans="1:11">
      <c r="A52" t="s">
        <v>703</v>
      </c>
      <c r="I52" s="38">
        <f>SUBTOTAL(109,OrderListTable[Bestellwert_EUR])</f>
        <v>59.989999999999995</v>
      </c>
      <c r="K52">
        <f>SUBTOTAL(103,OrderListTable[URL])</f>
        <v>38</v>
      </c>
    </row>
  </sheetData>
  <mergeCells count="3">
    <mergeCell ref="A1:K1"/>
    <mergeCell ref="A2:K2"/>
    <mergeCell ref="F8:K9"/>
  </mergeCells>
  <conditionalFormatting sqref="A14:K51">
    <cfRule type="expression" dxfId="3" priority="4">
      <formula>$E14=0</formula>
    </cfRule>
  </conditionalFormatting>
  <conditionalFormatting sqref="J14:J51">
    <cfRule type="containsText" dxfId="2" priority="1" operator="containsText" text="Reichelt bereit"/>
    <cfRule type="containsText" dxfId="1" priority="2" operator="containsText" text="Anderer Lieferant"/>
    <cfRule type="containsText" dxfId="0" priority="3" operator="containsText" text="Supplier-PN fehlt"/>
  </conditionalFormatting>
  <dataValidations count="2">
    <dataValidation type="whole" sqref="C5:C7" xr:uid="{00000000-0002-0000-0300-000000000000}">
      <formula1>0</formula1>
      <formula2>999</formula2>
    </dataValidation>
    <dataValidation type="list" sqref="F5:F6" xr:uid="{00000000-0002-0000-0300-000001000000}">
      <formula1>"Nein,Ja"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Parts</vt:lpstr>
      <vt:lpstr>Kits</vt:lpstr>
      <vt:lpstr>Kit_BOM</vt:lpstr>
      <vt:lpstr>Order_List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Lutz Thielemann</cp:lastModifiedBy>
  <dcterms:modified xsi:type="dcterms:W3CDTF">2026-09-01T12:22:37Z</dcterms:modified>
</cp:coreProperties>
</file>