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Volumes/Daten/Development/EnvNode/hardware/"/>
    </mc:Choice>
  </mc:AlternateContent>
  <xr:revisionPtr revIDLastSave="0" documentId="13_ncr:1_{6DD456B9-7E52-E841-BDD3-DB191F75EF79}" xr6:coauthVersionLast="47" xr6:coauthVersionMax="47" xr10:uidLastSave="{00000000-0000-0000-0000-000000000000}"/>
  <bookViews>
    <workbookView xWindow="0" yWindow="500" windowWidth="38400" windowHeight="20100" activeTab="2" xr2:uid="{00000000-000D-0000-FFFF-FFFF00000000}"/>
  </bookViews>
  <sheets>
    <sheet name="Parts" sheetId="1" r:id="rId1"/>
    <sheet name="Kits" sheetId="2" r:id="rId2"/>
    <sheet name="Kit_BOM" sheetId="3" r:id="rId3"/>
    <sheet name="Order_List" sheetId="4" r:id="rId4"/>
    <sheet name="Stock" sheetId="6" r:id="rId5"/>
    <sheet name="Etiketten_Druck" sheetId="7" r:id="rId6"/>
    <sheet name="Part_Suppliers" sheetId="8" r:id="rId7"/>
    <sheet name="Suppliers" sheetId="9" r:id="rId8"/>
    <sheet name="Part_Alternatives" sheetId="10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3" i="4" l="1"/>
  <c r="C55" i="4"/>
  <c r="E11" i="8"/>
  <c r="K4" i="10"/>
  <c r="J4" i="10"/>
  <c r="I4" i="10"/>
  <c r="S64" i="4" s="1"/>
  <c r="H4" i="10"/>
  <c r="R64" i="4" s="1"/>
  <c r="K3" i="10"/>
  <c r="J3" i="10"/>
  <c r="I3" i="10"/>
  <c r="H3" i="10"/>
  <c r="K2" i="10"/>
  <c r="J2" i="10"/>
  <c r="I2" i="10"/>
  <c r="H2" i="10"/>
  <c r="L129" i="8"/>
  <c r="K129" i="8"/>
  <c r="L128" i="8"/>
  <c r="K128" i="8"/>
  <c r="L127" i="8"/>
  <c r="K127" i="8"/>
  <c r="L126" i="8"/>
  <c r="K126" i="8"/>
  <c r="L125" i="8"/>
  <c r="K125" i="8"/>
  <c r="L124" i="8"/>
  <c r="K124" i="8"/>
  <c r="L123" i="8"/>
  <c r="K123" i="8"/>
  <c r="L122" i="8"/>
  <c r="K122" i="8"/>
  <c r="L121" i="8"/>
  <c r="K121" i="8"/>
  <c r="L120" i="8"/>
  <c r="K120" i="8"/>
  <c r="L119" i="8"/>
  <c r="K119" i="8"/>
  <c r="L118" i="8"/>
  <c r="K118" i="8"/>
  <c r="L117" i="8"/>
  <c r="K117" i="8"/>
  <c r="L116" i="8"/>
  <c r="K116" i="8"/>
  <c r="L115" i="8"/>
  <c r="K115" i="8"/>
  <c r="L114" i="8"/>
  <c r="K114" i="8"/>
  <c r="L113" i="8"/>
  <c r="K113" i="8"/>
  <c r="L112" i="8"/>
  <c r="K112" i="8"/>
  <c r="L111" i="8"/>
  <c r="K111" i="8"/>
  <c r="L110" i="8"/>
  <c r="K110" i="8"/>
  <c r="L109" i="8"/>
  <c r="K109" i="8"/>
  <c r="L108" i="8"/>
  <c r="K108" i="8"/>
  <c r="L107" i="8"/>
  <c r="K107" i="8"/>
  <c r="L106" i="8"/>
  <c r="K106" i="8"/>
  <c r="L105" i="8"/>
  <c r="K105" i="8"/>
  <c r="L104" i="8"/>
  <c r="K104" i="8"/>
  <c r="L103" i="8"/>
  <c r="K103" i="8"/>
  <c r="L102" i="8"/>
  <c r="K102" i="8"/>
  <c r="L101" i="8"/>
  <c r="K101" i="8"/>
  <c r="L100" i="8"/>
  <c r="K100" i="8"/>
  <c r="L99" i="8"/>
  <c r="K99" i="8"/>
  <c r="L98" i="8"/>
  <c r="K98" i="8"/>
  <c r="L97" i="8"/>
  <c r="K97" i="8"/>
  <c r="L96" i="8"/>
  <c r="K96" i="8"/>
  <c r="L95" i="8"/>
  <c r="K95" i="8"/>
  <c r="L94" i="8"/>
  <c r="K94" i="8"/>
  <c r="L93" i="8"/>
  <c r="K93" i="8"/>
  <c r="L92" i="8"/>
  <c r="K92" i="8"/>
  <c r="L91" i="8"/>
  <c r="K91" i="8"/>
  <c r="L90" i="8"/>
  <c r="K90" i="8"/>
  <c r="L89" i="8"/>
  <c r="K89" i="8"/>
  <c r="L88" i="8"/>
  <c r="K88" i="8"/>
  <c r="L87" i="8"/>
  <c r="K87" i="8"/>
  <c r="L86" i="8"/>
  <c r="K86" i="8"/>
  <c r="L85" i="8"/>
  <c r="K85" i="8"/>
  <c r="L84" i="8"/>
  <c r="K84" i="8"/>
  <c r="L83" i="8"/>
  <c r="K83" i="8"/>
  <c r="L82" i="8"/>
  <c r="K82" i="8"/>
  <c r="L81" i="8"/>
  <c r="K81" i="8"/>
  <c r="L80" i="8"/>
  <c r="K80" i="8"/>
  <c r="L79" i="8"/>
  <c r="K79" i="8"/>
  <c r="L78" i="8"/>
  <c r="K78" i="8"/>
  <c r="L77" i="8"/>
  <c r="K77" i="8"/>
  <c r="L76" i="8"/>
  <c r="K76" i="8"/>
  <c r="L75" i="8"/>
  <c r="K75" i="8"/>
  <c r="L74" i="8"/>
  <c r="K74" i="8"/>
  <c r="L73" i="8"/>
  <c r="K73" i="8"/>
  <c r="L72" i="8"/>
  <c r="K72" i="8"/>
  <c r="L71" i="8"/>
  <c r="K71" i="8"/>
  <c r="L70" i="8"/>
  <c r="K70" i="8"/>
  <c r="L69" i="8"/>
  <c r="K69" i="8"/>
  <c r="L68" i="8"/>
  <c r="K68" i="8"/>
  <c r="L67" i="8"/>
  <c r="K67" i="8"/>
  <c r="L66" i="8"/>
  <c r="K66" i="8"/>
  <c r="L65" i="8"/>
  <c r="K65" i="8"/>
  <c r="L64" i="8"/>
  <c r="K64" i="8"/>
  <c r="L63" i="8"/>
  <c r="K63" i="8"/>
  <c r="L62" i="8"/>
  <c r="K62" i="8"/>
  <c r="L61" i="8"/>
  <c r="K61" i="8"/>
  <c r="L60" i="8"/>
  <c r="K60" i="8"/>
  <c r="L59" i="8"/>
  <c r="K59" i="8"/>
  <c r="L58" i="8"/>
  <c r="K58" i="8"/>
  <c r="L57" i="8"/>
  <c r="K57" i="8"/>
  <c r="L56" i="8"/>
  <c r="K56" i="8"/>
  <c r="L55" i="8"/>
  <c r="K55" i="8"/>
  <c r="L54" i="8"/>
  <c r="K54" i="8"/>
  <c r="L53" i="8"/>
  <c r="K53" i="8"/>
  <c r="L52" i="8"/>
  <c r="K52" i="8"/>
  <c r="L51" i="8"/>
  <c r="K51" i="8"/>
  <c r="L50" i="8"/>
  <c r="K50" i="8"/>
  <c r="L49" i="8"/>
  <c r="K49" i="8"/>
  <c r="L48" i="8"/>
  <c r="K48" i="8"/>
  <c r="L47" i="8"/>
  <c r="K47" i="8"/>
  <c r="L46" i="8"/>
  <c r="K46" i="8"/>
  <c r="L45" i="8"/>
  <c r="K45" i="8"/>
  <c r="L44" i="8"/>
  <c r="K44" i="8"/>
  <c r="L43" i="8"/>
  <c r="K43" i="8"/>
  <c r="L42" i="8"/>
  <c r="K42" i="8"/>
  <c r="L41" i="8"/>
  <c r="K41" i="8"/>
  <c r="L40" i="8"/>
  <c r="K40" i="8"/>
  <c r="L39" i="8"/>
  <c r="K39" i="8"/>
  <c r="L38" i="8"/>
  <c r="K38" i="8"/>
  <c r="L37" i="8"/>
  <c r="K37" i="8"/>
  <c r="L36" i="8"/>
  <c r="K36" i="8"/>
  <c r="L35" i="8"/>
  <c r="K35" i="8"/>
  <c r="L34" i="8"/>
  <c r="K34" i="8"/>
  <c r="L33" i="8"/>
  <c r="K33" i="8"/>
  <c r="L32" i="8"/>
  <c r="K32" i="8"/>
  <c r="L31" i="8"/>
  <c r="K31" i="8"/>
  <c r="L30" i="8"/>
  <c r="K30" i="8"/>
  <c r="L29" i="8"/>
  <c r="K29" i="8"/>
  <c r="L28" i="8"/>
  <c r="K28" i="8"/>
  <c r="L27" i="8"/>
  <c r="K27" i="8"/>
  <c r="L26" i="8"/>
  <c r="K26" i="8"/>
  <c r="L25" i="8"/>
  <c r="K25" i="8"/>
  <c r="L24" i="8"/>
  <c r="K24" i="8"/>
  <c r="L23" i="8"/>
  <c r="K23" i="8"/>
  <c r="L22" i="8"/>
  <c r="K22" i="8"/>
  <c r="L21" i="8"/>
  <c r="K21" i="8"/>
  <c r="L20" i="8"/>
  <c r="K20" i="8"/>
  <c r="L19" i="8"/>
  <c r="K19" i="8"/>
  <c r="L18" i="8"/>
  <c r="K18" i="8"/>
  <c r="L17" i="8"/>
  <c r="K17" i="8"/>
  <c r="L16" i="8"/>
  <c r="K16" i="8"/>
  <c r="L15" i="8"/>
  <c r="K15" i="8"/>
  <c r="L14" i="8"/>
  <c r="K14" i="8"/>
  <c r="L13" i="8"/>
  <c r="K13" i="8"/>
  <c r="L12" i="8"/>
  <c r="K12" i="8"/>
  <c r="L11" i="8"/>
  <c r="K11" i="8"/>
  <c r="L10" i="8"/>
  <c r="K10" i="8"/>
  <c r="L9" i="8"/>
  <c r="K9" i="8"/>
  <c r="L8" i="8"/>
  <c r="K8" i="8"/>
  <c r="L7" i="8"/>
  <c r="K7" i="8"/>
  <c r="L6" i="8"/>
  <c r="K6" i="8"/>
  <c r="L5" i="8"/>
  <c r="K5" i="8"/>
  <c r="L4" i="8"/>
  <c r="I130" i="6" s="1"/>
  <c r="K4" i="8"/>
  <c r="L3" i="8"/>
  <c r="K3" i="8"/>
  <c r="L2" i="8"/>
  <c r="K2" i="8"/>
  <c r="S500" i="6"/>
  <c r="S499" i="6"/>
  <c r="S498" i="6"/>
  <c r="S497" i="6"/>
  <c r="S496" i="6"/>
  <c r="S495" i="6"/>
  <c r="S494" i="6"/>
  <c r="S493" i="6"/>
  <c r="S492" i="6"/>
  <c r="S491" i="6"/>
  <c r="S490" i="6"/>
  <c r="S489" i="6"/>
  <c r="S488" i="6"/>
  <c r="S487" i="6"/>
  <c r="S486" i="6"/>
  <c r="S485" i="6"/>
  <c r="S484" i="6"/>
  <c r="S483" i="6"/>
  <c r="S482" i="6"/>
  <c r="S481" i="6"/>
  <c r="S480" i="6"/>
  <c r="S479" i="6"/>
  <c r="S478" i="6"/>
  <c r="S477" i="6"/>
  <c r="S476" i="6"/>
  <c r="S475" i="6"/>
  <c r="S474" i="6"/>
  <c r="S473" i="6"/>
  <c r="S472" i="6"/>
  <c r="S471" i="6"/>
  <c r="S470" i="6"/>
  <c r="S469" i="6"/>
  <c r="S468" i="6"/>
  <c r="S467" i="6"/>
  <c r="S466" i="6"/>
  <c r="S465" i="6"/>
  <c r="S464" i="6"/>
  <c r="S463" i="6"/>
  <c r="S462" i="6"/>
  <c r="S461" i="6"/>
  <c r="S460" i="6"/>
  <c r="S459" i="6"/>
  <c r="S458" i="6"/>
  <c r="S457" i="6"/>
  <c r="S456" i="6"/>
  <c r="S455" i="6"/>
  <c r="S454" i="6"/>
  <c r="S453" i="6"/>
  <c r="S452" i="6"/>
  <c r="S451" i="6"/>
  <c r="S450" i="6"/>
  <c r="S449" i="6"/>
  <c r="S448" i="6"/>
  <c r="S447" i="6"/>
  <c r="S446" i="6"/>
  <c r="S445" i="6"/>
  <c r="S444" i="6"/>
  <c r="S443" i="6"/>
  <c r="S442" i="6"/>
  <c r="S441" i="6"/>
  <c r="S440" i="6"/>
  <c r="S439" i="6"/>
  <c r="S438" i="6"/>
  <c r="S437" i="6"/>
  <c r="S436" i="6"/>
  <c r="S435" i="6"/>
  <c r="S434" i="6"/>
  <c r="S433" i="6"/>
  <c r="S432" i="6"/>
  <c r="S431" i="6"/>
  <c r="S430" i="6"/>
  <c r="S429" i="6"/>
  <c r="S428" i="6"/>
  <c r="S427" i="6"/>
  <c r="S426" i="6"/>
  <c r="S425" i="6"/>
  <c r="S424" i="6"/>
  <c r="S423" i="6"/>
  <c r="S422" i="6"/>
  <c r="S421" i="6"/>
  <c r="S420" i="6"/>
  <c r="S419" i="6"/>
  <c r="S418" i="6"/>
  <c r="S417" i="6"/>
  <c r="S416" i="6"/>
  <c r="S415" i="6"/>
  <c r="S414" i="6"/>
  <c r="S413" i="6"/>
  <c r="S412" i="6"/>
  <c r="S411" i="6"/>
  <c r="S410" i="6"/>
  <c r="S409" i="6"/>
  <c r="S408" i="6"/>
  <c r="S407" i="6"/>
  <c r="S406" i="6"/>
  <c r="S405" i="6"/>
  <c r="S404" i="6"/>
  <c r="S403" i="6"/>
  <c r="S402" i="6"/>
  <c r="S401" i="6"/>
  <c r="S400" i="6"/>
  <c r="S399" i="6"/>
  <c r="S398" i="6"/>
  <c r="S397" i="6"/>
  <c r="S396" i="6"/>
  <c r="S395" i="6"/>
  <c r="S394" i="6"/>
  <c r="S393" i="6"/>
  <c r="S392" i="6"/>
  <c r="S391" i="6"/>
  <c r="S390" i="6"/>
  <c r="S389" i="6"/>
  <c r="S388" i="6"/>
  <c r="S387" i="6"/>
  <c r="S386" i="6"/>
  <c r="S385" i="6"/>
  <c r="S384" i="6"/>
  <c r="S383" i="6"/>
  <c r="S382" i="6"/>
  <c r="S381" i="6"/>
  <c r="S380" i="6"/>
  <c r="S379" i="6"/>
  <c r="S378" i="6"/>
  <c r="S377" i="6"/>
  <c r="S376" i="6"/>
  <c r="S375" i="6"/>
  <c r="S374" i="6"/>
  <c r="S373" i="6"/>
  <c r="S372" i="6"/>
  <c r="S371" i="6"/>
  <c r="S370" i="6"/>
  <c r="S369" i="6"/>
  <c r="S368" i="6"/>
  <c r="S367" i="6"/>
  <c r="S366" i="6"/>
  <c r="S365" i="6"/>
  <c r="S364" i="6"/>
  <c r="S363" i="6"/>
  <c r="S362" i="6"/>
  <c r="S361" i="6"/>
  <c r="S360" i="6"/>
  <c r="S359" i="6"/>
  <c r="S358" i="6"/>
  <c r="S357" i="6"/>
  <c r="S356" i="6"/>
  <c r="S355" i="6"/>
  <c r="S354" i="6"/>
  <c r="S353" i="6"/>
  <c r="S352" i="6"/>
  <c r="S351" i="6"/>
  <c r="S350" i="6"/>
  <c r="S349" i="6"/>
  <c r="S348" i="6"/>
  <c r="S347" i="6"/>
  <c r="S346" i="6"/>
  <c r="S345" i="6"/>
  <c r="S344" i="6"/>
  <c r="S343" i="6"/>
  <c r="S342" i="6"/>
  <c r="S341" i="6"/>
  <c r="S340" i="6"/>
  <c r="S339" i="6"/>
  <c r="S338" i="6"/>
  <c r="S337" i="6"/>
  <c r="S336" i="6"/>
  <c r="S335" i="6"/>
  <c r="S334" i="6"/>
  <c r="S333" i="6"/>
  <c r="S332" i="6"/>
  <c r="S331" i="6"/>
  <c r="S330" i="6"/>
  <c r="S329" i="6"/>
  <c r="S328" i="6"/>
  <c r="S327" i="6"/>
  <c r="S326" i="6"/>
  <c r="S325" i="6"/>
  <c r="S324" i="6"/>
  <c r="S323" i="6"/>
  <c r="S322" i="6"/>
  <c r="S321" i="6"/>
  <c r="S320" i="6"/>
  <c r="S319" i="6"/>
  <c r="S318" i="6"/>
  <c r="S317" i="6"/>
  <c r="S316" i="6"/>
  <c r="S315" i="6"/>
  <c r="S314" i="6"/>
  <c r="S313" i="6"/>
  <c r="S312" i="6"/>
  <c r="S311" i="6"/>
  <c r="S310" i="6"/>
  <c r="S309" i="6"/>
  <c r="S308" i="6"/>
  <c r="S307" i="6"/>
  <c r="S306" i="6"/>
  <c r="S305" i="6"/>
  <c r="S304" i="6"/>
  <c r="S303" i="6"/>
  <c r="S302" i="6"/>
  <c r="S301" i="6"/>
  <c r="S300" i="6"/>
  <c r="S299" i="6"/>
  <c r="S298" i="6"/>
  <c r="S297" i="6"/>
  <c r="S296" i="6"/>
  <c r="S295" i="6"/>
  <c r="S294" i="6"/>
  <c r="S293" i="6"/>
  <c r="S292" i="6"/>
  <c r="S291" i="6"/>
  <c r="S290" i="6"/>
  <c r="S289" i="6"/>
  <c r="S288" i="6"/>
  <c r="S287" i="6"/>
  <c r="S286" i="6"/>
  <c r="S285" i="6"/>
  <c r="S284" i="6"/>
  <c r="S283" i="6"/>
  <c r="S282" i="6"/>
  <c r="S281" i="6"/>
  <c r="S280" i="6"/>
  <c r="S279" i="6"/>
  <c r="S278" i="6"/>
  <c r="S277" i="6"/>
  <c r="S276" i="6"/>
  <c r="S275" i="6"/>
  <c r="S274" i="6"/>
  <c r="S273" i="6"/>
  <c r="S272" i="6"/>
  <c r="S271" i="6"/>
  <c r="S270" i="6"/>
  <c r="S269" i="6"/>
  <c r="S268" i="6"/>
  <c r="S267" i="6"/>
  <c r="S266" i="6"/>
  <c r="S265" i="6"/>
  <c r="S264" i="6"/>
  <c r="S263" i="6"/>
  <c r="S262" i="6"/>
  <c r="S261" i="6"/>
  <c r="S260" i="6"/>
  <c r="S259" i="6"/>
  <c r="S258" i="6"/>
  <c r="S257" i="6"/>
  <c r="S256" i="6"/>
  <c r="S255" i="6"/>
  <c r="S254" i="6"/>
  <c r="S253" i="6"/>
  <c r="S252" i="6"/>
  <c r="S251" i="6"/>
  <c r="S250" i="6"/>
  <c r="S249" i="6"/>
  <c r="S248" i="6"/>
  <c r="S247" i="6"/>
  <c r="S246" i="6"/>
  <c r="S245" i="6"/>
  <c r="S244" i="6"/>
  <c r="S243" i="6"/>
  <c r="S242" i="6"/>
  <c r="S241" i="6"/>
  <c r="S240" i="6"/>
  <c r="S239" i="6"/>
  <c r="S238" i="6"/>
  <c r="S237" i="6"/>
  <c r="S236" i="6"/>
  <c r="S235" i="6"/>
  <c r="S234" i="6"/>
  <c r="S233" i="6"/>
  <c r="S232" i="6"/>
  <c r="S231" i="6"/>
  <c r="S230" i="6"/>
  <c r="S229" i="6"/>
  <c r="S228" i="6"/>
  <c r="S227" i="6"/>
  <c r="S226" i="6"/>
  <c r="S225" i="6"/>
  <c r="S224" i="6"/>
  <c r="S223" i="6"/>
  <c r="S222" i="6"/>
  <c r="S221" i="6"/>
  <c r="S220" i="6"/>
  <c r="S219" i="6"/>
  <c r="S218" i="6"/>
  <c r="S217" i="6"/>
  <c r="S216" i="6"/>
  <c r="S215" i="6"/>
  <c r="S214" i="6"/>
  <c r="S213" i="6"/>
  <c r="S212" i="6"/>
  <c r="S211" i="6"/>
  <c r="S210" i="6"/>
  <c r="S209" i="6"/>
  <c r="S208" i="6"/>
  <c r="S207" i="6"/>
  <c r="S206" i="6"/>
  <c r="S205" i="6"/>
  <c r="S204" i="6"/>
  <c r="S203" i="6"/>
  <c r="S202" i="6"/>
  <c r="S201" i="6"/>
  <c r="S200" i="6"/>
  <c r="S199" i="6"/>
  <c r="S198" i="6"/>
  <c r="S197" i="6"/>
  <c r="S196" i="6"/>
  <c r="S195" i="6"/>
  <c r="S194" i="6"/>
  <c r="S193" i="6"/>
  <c r="S192" i="6"/>
  <c r="S191" i="6"/>
  <c r="S190" i="6"/>
  <c r="S189" i="6"/>
  <c r="S188" i="6"/>
  <c r="S187" i="6"/>
  <c r="S186" i="6"/>
  <c r="S185" i="6"/>
  <c r="S184" i="6"/>
  <c r="S183" i="6"/>
  <c r="S182" i="6"/>
  <c r="S181" i="6"/>
  <c r="S180" i="6"/>
  <c r="S179" i="6"/>
  <c r="S178" i="6"/>
  <c r="S177" i="6"/>
  <c r="S176" i="6"/>
  <c r="S175" i="6"/>
  <c r="S174" i="6"/>
  <c r="S173" i="6"/>
  <c r="S172" i="6"/>
  <c r="S171" i="6"/>
  <c r="S170" i="6"/>
  <c r="S169" i="6"/>
  <c r="S168" i="6"/>
  <c r="S167" i="6"/>
  <c r="S166" i="6"/>
  <c r="S165" i="6"/>
  <c r="S164" i="6"/>
  <c r="S163" i="6"/>
  <c r="S162" i="6"/>
  <c r="S161" i="6"/>
  <c r="S160" i="6"/>
  <c r="S159" i="6"/>
  <c r="S158" i="6"/>
  <c r="S157" i="6"/>
  <c r="S156" i="6"/>
  <c r="S155" i="6"/>
  <c r="S154" i="6"/>
  <c r="S153" i="6"/>
  <c r="S152" i="6"/>
  <c r="S151" i="6"/>
  <c r="S150" i="6"/>
  <c r="S149" i="6"/>
  <c r="S148" i="6"/>
  <c r="S147" i="6"/>
  <c r="S146" i="6"/>
  <c r="S145" i="6"/>
  <c r="S144" i="6"/>
  <c r="S143" i="6"/>
  <c r="S142" i="6"/>
  <c r="S141" i="6"/>
  <c r="S140" i="6"/>
  <c r="S139" i="6"/>
  <c r="S138" i="6"/>
  <c r="S137" i="6"/>
  <c r="S136" i="6"/>
  <c r="S135" i="6"/>
  <c r="S134" i="6"/>
  <c r="S133" i="6"/>
  <c r="S132" i="6"/>
  <c r="S131" i="6"/>
  <c r="M131" i="6"/>
  <c r="L131" i="6"/>
  <c r="I131" i="6"/>
  <c r="G131" i="6"/>
  <c r="F131" i="6"/>
  <c r="E131" i="6"/>
  <c r="D131" i="6"/>
  <c r="C131" i="6"/>
  <c r="B131" i="6"/>
  <c r="S130" i="6"/>
  <c r="M130" i="6"/>
  <c r="L130" i="6"/>
  <c r="H130" i="6"/>
  <c r="G130" i="6"/>
  <c r="F130" i="6"/>
  <c r="E130" i="6"/>
  <c r="D130" i="6"/>
  <c r="C130" i="6"/>
  <c r="B130" i="6"/>
  <c r="S129" i="6"/>
  <c r="M129" i="6"/>
  <c r="L129" i="6"/>
  <c r="I129" i="6"/>
  <c r="H129" i="6"/>
  <c r="G129" i="6"/>
  <c r="F129" i="6"/>
  <c r="E129" i="6"/>
  <c r="D129" i="6"/>
  <c r="C129" i="6"/>
  <c r="B129" i="6"/>
  <c r="S128" i="6"/>
  <c r="M128" i="6"/>
  <c r="L128" i="6"/>
  <c r="I128" i="6"/>
  <c r="H128" i="6"/>
  <c r="G128" i="6"/>
  <c r="F128" i="6"/>
  <c r="E128" i="6"/>
  <c r="D128" i="6"/>
  <c r="C128" i="6"/>
  <c r="B128" i="6"/>
  <c r="S127" i="6"/>
  <c r="M127" i="6"/>
  <c r="L127" i="6"/>
  <c r="I127" i="6"/>
  <c r="H127" i="6"/>
  <c r="G127" i="6"/>
  <c r="F127" i="6"/>
  <c r="E127" i="6"/>
  <c r="D127" i="6"/>
  <c r="C127" i="6"/>
  <c r="B127" i="6"/>
  <c r="S126" i="6"/>
  <c r="M126" i="6"/>
  <c r="L126" i="6"/>
  <c r="I126" i="6"/>
  <c r="H126" i="6"/>
  <c r="G126" i="6"/>
  <c r="F126" i="6"/>
  <c r="E126" i="6"/>
  <c r="D126" i="6"/>
  <c r="C126" i="6"/>
  <c r="B126" i="6"/>
  <c r="S125" i="6"/>
  <c r="M125" i="6"/>
  <c r="L125" i="6"/>
  <c r="I125" i="6"/>
  <c r="H125" i="6"/>
  <c r="G125" i="6"/>
  <c r="F125" i="6"/>
  <c r="E125" i="6"/>
  <c r="D125" i="6"/>
  <c r="C125" i="6"/>
  <c r="B125" i="6"/>
  <c r="S124" i="6"/>
  <c r="M124" i="6"/>
  <c r="L124" i="6"/>
  <c r="I124" i="6"/>
  <c r="H124" i="6"/>
  <c r="G124" i="6"/>
  <c r="F124" i="6"/>
  <c r="E124" i="6"/>
  <c r="D124" i="6"/>
  <c r="C124" i="6"/>
  <c r="B124" i="6"/>
  <c r="S123" i="6"/>
  <c r="M123" i="6"/>
  <c r="L123" i="6"/>
  <c r="I123" i="6"/>
  <c r="H123" i="6"/>
  <c r="G123" i="6"/>
  <c r="F123" i="6"/>
  <c r="E123" i="6"/>
  <c r="D123" i="6"/>
  <c r="C123" i="6"/>
  <c r="B123" i="6"/>
  <c r="S122" i="6"/>
  <c r="M122" i="6"/>
  <c r="L122" i="6"/>
  <c r="I122" i="6"/>
  <c r="H122" i="6"/>
  <c r="G122" i="6"/>
  <c r="F122" i="6"/>
  <c r="E122" i="6"/>
  <c r="D122" i="6"/>
  <c r="C122" i="6"/>
  <c r="B122" i="6"/>
  <c r="S121" i="6"/>
  <c r="M121" i="6"/>
  <c r="L121" i="6"/>
  <c r="I121" i="6"/>
  <c r="H121" i="6"/>
  <c r="G121" i="6"/>
  <c r="F121" i="6"/>
  <c r="E121" i="6"/>
  <c r="D121" i="6"/>
  <c r="C121" i="6"/>
  <c r="B121" i="6"/>
  <c r="S120" i="6"/>
  <c r="M120" i="6"/>
  <c r="L120" i="6"/>
  <c r="I120" i="6"/>
  <c r="H120" i="6"/>
  <c r="G120" i="6"/>
  <c r="F120" i="6"/>
  <c r="E120" i="6"/>
  <c r="D120" i="6"/>
  <c r="C120" i="6"/>
  <c r="B120" i="6"/>
  <c r="S119" i="6"/>
  <c r="M119" i="6"/>
  <c r="L119" i="6"/>
  <c r="I119" i="6"/>
  <c r="H119" i="6"/>
  <c r="G119" i="6"/>
  <c r="F119" i="6"/>
  <c r="E119" i="6"/>
  <c r="D119" i="6"/>
  <c r="C119" i="6"/>
  <c r="B119" i="6"/>
  <c r="S118" i="6"/>
  <c r="M118" i="6"/>
  <c r="L118" i="6"/>
  <c r="I118" i="6"/>
  <c r="H118" i="6"/>
  <c r="G118" i="6"/>
  <c r="F118" i="6"/>
  <c r="E118" i="6"/>
  <c r="D118" i="6"/>
  <c r="C118" i="6"/>
  <c r="B118" i="6"/>
  <c r="S117" i="6"/>
  <c r="M117" i="6"/>
  <c r="L117" i="6"/>
  <c r="I117" i="6"/>
  <c r="H117" i="6"/>
  <c r="G117" i="6"/>
  <c r="F117" i="6"/>
  <c r="E117" i="6"/>
  <c r="D117" i="6"/>
  <c r="C117" i="6"/>
  <c r="B117" i="6"/>
  <c r="S116" i="6"/>
  <c r="M116" i="6"/>
  <c r="L116" i="6"/>
  <c r="I116" i="6"/>
  <c r="H116" i="6"/>
  <c r="G116" i="6"/>
  <c r="F116" i="6"/>
  <c r="E116" i="6"/>
  <c r="D116" i="6"/>
  <c r="C116" i="6"/>
  <c r="B116" i="6"/>
  <c r="S115" i="6"/>
  <c r="M115" i="6"/>
  <c r="L115" i="6"/>
  <c r="I115" i="6"/>
  <c r="H115" i="6"/>
  <c r="G115" i="6"/>
  <c r="F115" i="6"/>
  <c r="E115" i="6"/>
  <c r="D115" i="6"/>
  <c r="C115" i="6"/>
  <c r="B115" i="6"/>
  <c r="S114" i="6"/>
  <c r="M114" i="6"/>
  <c r="L114" i="6"/>
  <c r="I114" i="6"/>
  <c r="H114" i="6"/>
  <c r="G114" i="6"/>
  <c r="F114" i="6"/>
  <c r="E114" i="6"/>
  <c r="D114" i="6"/>
  <c r="C114" i="6"/>
  <c r="B114" i="6"/>
  <c r="S113" i="6"/>
  <c r="M113" i="6"/>
  <c r="L113" i="6"/>
  <c r="I113" i="6"/>
  <c r="H113" i="6"/>
  <c r="G113" i="6"/>
  <c r="F113" i="6"/>
  <c r="E113" i="6"/>
  <c r="D113" i="6"/>
  <c r="C113" i="6"/>
  <c r="B113" i="6"/>
  <c r="S112" i="6"/>
  <c r="M112" i="6"/>
  <c r="L112" i="6"/>
  <c r="I112" i="6"/>
  <c r="H112" i="6"/>
  <c r="G112" i="6"/>
  <c r="F112" i="6"/>
  <c r="E112" i="6"/>
  <c r="D112" i="6"/>
  <c r="C112" i="6"/>
  <c r="B112" i="6"/>
  <c r="S111" i="6"/>
  <c r="M111" i="6"/>
  <c r="L111" i="6"/>
  <c r="I111" i="6"/>
  <c r="H111" i="6"/>
  <c r="G111" i="6"/>
  <c r="F111" i="6"/>
  <c r="E111" i="6"/>
  <c r="D111" i="6"/>
  <c r="C111" i="6"/>
  <c r="B111" i="6"/>
  <c r="S110" i="6"/>
  <c r="M110" i="6"/>
  <c r="L110" i="6"/>
  <c r="I110" i="6"/>
  <c r="H110" i="6"/>
  <c r="G110" i="6"/>
  <c r="F110" i="6"/>
  <c r="E110" i="6"/>
  <c r="D110" i="6"/>
  <c r="C110" i="6"/>
  <c r="B110" i="6"/>
  <c r="S109" i="6"/>
  <c r="M109" i="6"/>
  <c r="L109" i="6"/>
  <c r="I109" i="6"/>
  <c r="H109" i="6"/>
  <c r="G109" i="6"/>
  <c r="F109" i="6"/>
  <c r="E109" i="6"/>
  <c r="D109" i="6"/>
  <c r="C109" i="6"/>
  <c r="B109" i="6"/>
  <c r="S108" i="6"/>
  <c r="M108" i="6"/>
  <c r="L108" i="6"/>
  <c r="I108" i="6"/>
  <c r="H108" i="6"/>
  <c r="G108" i="6"/>
  <c r="F108" i="6"/>
  <c r="E108" i="6"/>
  <c r="D108" i="6"/>
  <c r="C108" i="6"/>
  <c r="B108" i="6"/>
  <c r="S107" i="6"/>
  <c r="M107" i="6"/>
  <c r="L107" i="6"/>
  <c r="I107" i="6"/>
  <c r="H107" i="6"/>
  <c r="G107" i="6"/>
  <c r="F107" i="6"/>
  <c r="E107" i="6"/>
  <c r="D107" i="6"/>
  <c r="C107" i="6"/>
  <c r="B107" i="6"/>
  <c r="S106" i="6"/>
  <c r="M106" i="6"/>
  <c r="L106" i="6"/>
  <c r="I106" i="6"/>
  <c r="H106" i="6"/>
  <c r="G106" i="6"/>
  <c r="F106" i="6"/>
  <c r="E106" i="6"/>
  <c r="D106" i="6"/>
  <c r="C106" i="6"/>
  <c r="B106" i="6"/>
  <c r="S105" i="6"/>
  <c r="M105" i="6"/>
  <c r="L105" i="6"/>
  <c r="I105" i="6"/>
  <c r="H105" i="6"/>
  <c r="G105" i="6"/>
  <c r="F105" i="6"/>
  <c r="E105" i="6"/>
  <c r="D105" i="6"/>
  <c r="C105" i="6"/>
  <c r="B105" i="6"/>
  <c r="S104" i="6"/>
  <c r="M104" i="6"/>
  <c r="L104" i="6"/>
  <c r="I104" i="6"/>
  <c r="H104" i="6"/>
  <c r="G104" i="6"/>
  <c r="F104" i="6"/>
  <c r="E104" i="6"/>
  <c r="D104" i="6"/>
  <c r="C104" i="6"/>
  <c r="B104" i="6"/>
  <c r="S103" i="6"/>
  <c r="M103" i="6"/>
  <c r="L103" i="6"/>
  <c r="I103" i="6"/>
  <c r="H103" i="6"/>
  <c r="G103" i="6"/>
  <c r="F103" i="6"/>
  <c r="E103" i="6"/>
  <c r="D103" i="6"/>
  <c r="C103" i="6"/>
  <c r="B103" i="6"/>
  <c r="S102" i="6"/>
  <c r="M102" i="6"/>
  <c r="L102" i="6"/>
  <c r="I102" i="6"/>
  <c r="H102" i="6"/>
  <c r="G102" i="6"/>
  <c r="F102" i="6"/>
  <c r="E102" i="6"/>
  <c r="D102" i="6"/>
  <c r="C102" i="6"/>
  <c r="B102" i="6"/>
  <c r="S101" i="6"/>
  <c r="M101" i="6"/>
  <c r="L101" i="6"/>
  <c r="I101" i="6"/>
  <c r="H101" i="6"/>
  <c r="G101" i="6"/>
  <c r="F101" i="6"/>
  <c r="E101" i="6"/>
  <c r="D101" i="6"/>
  <c r="C101" i="6"/>
  <c r="B101" i="6"/>
  <c r="S100" i="6"/>
  <c r="M100" i="6"/>
  <c r="L100" i="6"/>
  <c r="I100" i="6"/>
  <c r="H100" i="6"/>
  <c r="G100" i="6"/>
  <c r="F100" i="6"/>
  <c r="E100" i="6"/>
  <c r="D100" i="6"/>
  <c r="C100" i="6"/>
  <c r="B100" i="6"/>
  <c r="S99" i="6"/>
  <c r="M99" i="6"/>
  <c r="L99" i="6"/>
  <c r="I99" i="6"/>
  <c r="H99" i="6"/>
  <c r="G99" i="6"/>
  <c r="F99" i="6"/>
  <c r="E99" i="6"/>
  <c r="D99" i="6"/>
  <c r="C99" i="6"/>
  <c r="B99" i="6"/>
  <c r="S98" i="6"/>
  <c r="M98" i="6"/>
  <c r="L98" i="6"/>
  <c r="I98" i="6"/>
  <c r="H98" i="6"/>
  <c r="G98" i="6"/>
  <c r="F98" i="6"/>
  <c r="E98" i="6"/>
  <c r="D98" i="6"/>
  <c r="C98" i="6"/>
  <c r="B98" i="6"/>
  <c r="S97" i="6"/>
  <c r="M97" i="6"/>
  <c r="L97" i="6"/>
  <c r="I97" i="6"/>
  <c r="H97" i="6"/>
  <c r="G97" i="6"/>
  <c r="F97" i="6"/>
  <c r="E97" i="6"/>
  <c r="D97" i="6"/>
  <c r="C97" i="6"/>
  <c r="B97" i="6"/>
  <c r="S96" i="6"/>
  <c r="M96" i="6"/>
  <c r="L96" i="6"/>
  <c r="I96" i="6"/>
  <c r="H96" i="6"/>
  <c r="G96" i="6"/>
  <c r="F96" i="6"/>
  <c r="E96" i="6"/>
  <c r="D96" i="6"/>
  <c r="C96" i="6"/>
  <c r="B96" i="6"/>
  <c r="S95" i="6"/>
  <c r="M95" i="6"/>
  <c r="L95" i="6"/>
  <c r="I95" i="6"/>
  <c r="H95" i="6"/>
  <c r="G95" i="6"/>
  <c r="F95" i="6"/>
  <c r="E95" i="6"/>
  <c r="D95" i="6"/>
  <c r="C95" i="6"/>
  <c r="B95" i="6"/>
  <c r="S94" i="6"/>
  <c r="M94" i="6"/>
  <c r="L94" i="6"/>
  <c r="I94" i="6"/>
  <c r="H94" i="6"/>
  <c r="G94" i="6"/>
  <c r="F94" i="6"/>
  <c r="E94" i="6"/>
  <c r="D94" i="6"/>
  <c r="C94" i="6"/>
  <c r="B94" i="6"/>
  <c r="S93" i="6"/>
  <c r="M93" i="6"/>
  <c r="L93" i="6"/>
  <c r="I93" i="6"/>
  <c r="H93" i="6"/>
  <c r="G93" i="6"/>
  <c r="F93" i="6"/>
  <c r="E93" i="6"/>
  <c r="D93" i="6"/>
  <c r="C93" i="6"/>
  <c r="B93" i="6"/>
  <c r="S92" i="6"/>
  <c r="M92" i="6"/>
  <c r="L92" i="6"/>
  <c r="I92" i="6"/>
  <c r="H92" i="6"/>
  <c r="G92" i="6"/>
  <c r="F92" i="6"/>
  <c r="E92" i="6"/>
  <c r="D92" i="6"/>
  <c r="C92" i="6"/>
  <c r="B92" i="6"/>
  <c r="S91" i="6"/>
  <c r="M91" i="6"/>
  <c r="L91" i="6"/>
  <c r="I91" i="6"/>
  <c r="H91" i="6"/>
  <c r="G91" i="6"/>
  <c r="F91" i="6"/>
  <c r="E91" i="6"/>
  <c r="D91" i="6"/>
  <c r="C91" i="6"/>
  <c r="B91" i="6"/>
  <c r="S90" i="6"/>
  <c r="M90" i="6"/>
  <c r="L90" i="6"/>
  <c r="I90" i="6"/>
  <c r="H90" i="6"/>
  <c r="G90" i="6"/>
  <c r="F90" i="6"/>
  <c r="E90" i="6"/>
  <c r="D90" i="6"/>
  <c r="C90" i="6"/>
  <c r="B90" i="6"/>
  <c r="S89" i="6"/>
  <c r="M89" i="6"/>
  <c r="L89" i="6"/>
  <c r="I89" i="6"/>
  <c r="H89" i="6"/>
  <c r="G89" i="6"/>
  <c r="F89" i="6"/>
  <c r="E89" i="6"/>
  <c r="D89" i="6"/>
  <c r="C89" i="6"/>
  <c r="B89" i="6"/>
  <c r="S88" i="6"/>
  <c r="M88" i="6"/>
  <c r="L88" i="6"/>
  <c r="I88" i="6"/>
  <c r="H88" i="6"/>
  <c r="G88" i="6"/>
  <c r="F88" i="6"/>
  <c r="E88" i="6"/>
  <c r="D88" i="6"/>
  <c r="C88" i="6"/>
  <c r="B88" i="6"/>
  <c r="S87" i="6"/>
  <c r="M87" i="6"/>
  <c r="L87" i="6"/>
  <c r="I87" i="6"/>
  <c r="H87" i="6"/>
  <c r="G87" i="6"/>
  <c r="F87" i="6"/>
  <c r="E87" i="6"/>
  <c r="D87" i="6"/>
  <c r="C87" i="6"/>
  <c r="B87" i="6"/>
  <c r="S86" i="6"/>
  <c r="M86" i="6"/>
  <c r="L86" i="6"/>
  <c r="I86" i="6"/>
  <c r="H86" i="6"/>
  <c r="G86" i="6"/>
  <c r="F86" i="6"/>
  <c r="E86" i="6"/>
  <c r="D86" i="6"/>
  <c r="C86" i="6"/>
  <c r="B86" i="6"/>
  <c r="S85" i="6"/>
  <c r="M85" i="6"/>
  <c r="L85" i="6"/>
  <c r="I85" i="6"/>
  <c r="H85" i="6"/>
  <c r="G85" i="6"/>
  <c r="F85" i="6"/>
  <c r="E85" i="6"/>
  <c r="D85" i="6"/>
  <c r="C85" i="6"/>
  <c r="B85" i="6"/>
  <c r="S84" i="6"/>
  <c r="M84" i="6"/>
  <c r="L84" i="6"/>
  <c r="I84" i="6"/>
  <c r="H84" i="6"/>
  <c r="G84" i="6"/>
  <c r="F84" i="6"/>
  <c r="E84" i="6"/>
  <c r="D84" i="6"/>
  <c r="C84" i="6"/>
  <c r="B84" i="6"/>
  <c r="S83" i="6"/>
  <c r="M83" i="6"/>
  <c r="L83" i="6"/>
  <c r="I83" i="6"/>
  <c r="H83" i="6"/>
  <c r="G83" i="6"/>
  <c r="F83" i="6"/>
  <c r="E83" i="6"/>
  <c r="D83" i="6"/>
  <c r="C83" i="6"/>
  <c r="B83" i="6"/>
  <c r="S82" i="6"/>
  <c r="M82" i="6"/>
  <c r="L82" i="6"/>
  <c r="I82" i="6"/>
  <c r="H82" i="6"/>
  <c r="G82" i="6"/>
  <c r="F82" i="6"/>
  <c r="E82" i="6"/>
  <c r="D82" i="6"/>
  <c r="C82" i="6"/>
  <c r="B82" i="6"/>
  <c r="S81" i="6"/>
  <c r="M81" i="6"/>
  <c r="L81" i="6"/>
  <c r="I81" i="6"/>
  <c r="H81" i="6"/>
  <c r="G81" i="6"/>
  <c r="F81" i="6"/>
  <c r="E81" i="6"/>
  <c r="D81" i="6"/>
  <c r="C81" i="6"/>
  <c r="B81" i="6"/>
  <c r="S80" i="6"/>
  <c r="M80" i="6"/>
  <c r="L80" i="6"/>
  <c r="I80" i="6"/>
  <c r="H80" i="6"/>
  <c r="G80" i="6"/>
  <c r="F80" i="6"/>
  <c r="E80" i="6"/>
  <c r="D80" i="6"/>
  <c r="C80" i="6"/>
  <c r="B80" i="6"/>
  <c r="S79" i="6"/>
  <c r="M79" i="6"/>
  <c r="L79" i="6"/>
  <c r="I79" i="6"/>
  <c r="H79" i="6"/>
  <c r="G79" i="6"/>
  <c r="F79" i="6"/>
  <c r="E79" i="6"/>
  <c r="D79" i="6"/>
  <c r="C79" i="6"/>
  <c r="B79" i="6"/>
  <c r="S78" i="6"/>
  <c r="M78" i="6"/>
  <c r="L78" i="6"/>
  <c r="I78" i="6"/>
  <c r="H78" i="6"/>
  <c r="G78" i="6"/>
  <c r="F78" i="6"/>
  <c r="E78" i="6"/>
  <c r="D78" i="6"/>
  <c r="C78" i="6"/>
  <c r="B78" i="6"/>
  <c r="S77" i="6"/>
  <c r="M77" i="6"/>
  <c r="L77" i="6"/>
  <c r="I77" i="6"/>
  <c r="H77" i="6"/>
  <c r="G77" i="6"/>
  <c r="F77" i="6"/>
  <c r="E77" i="6"/>
  <c r="D77" i="6"/>
  <c r="C77" i="6"/>
  <c r="B77" i="6"/>
  <c r="S76" i="6"/>
  <c r="M76" i="6"/>
  <c r="L76" i="6"/>
  <c r="I76" i="6"/>
  <c r="H76" i="6"/>
  <c r="G76" i="6"/>
  <c r="F76" i="6"/>
  <c r="E76" i="6"/>
  <c r="D76" i="6"/>
  <c r="C76" i="6"/>
  <c r="B76" i="6"/>
  <c r="S75" i="6"/>
  <c r="M75" i="6"/>
  <c r="L75" i="6"/>
  <c r="I75" i="6"/>
  <c r="H75" i="6"/>
  <c r="G75" i="6"/>
  <c r="F75" i="6"/>
  <c r="E75" i="6"/>
  <c r="D75" i="6"/>
  <c r="C75" i="6"/>
  <c r="B75" i="6"/>
  <c r="S74" i="6"/>
  <c r="M74" i="6"/>
  <c r="L74" i="6"/>
  <c r="I74" i="6"/>
  <c r="H74" i="6"/>
  <c r="G74" i="6"/>
  <c r="F74" i="6"/>
  <c r="E74" i="6"/>
  <c r="D74" i="6"/>
  <c r="C74" i="6"/>
  <c r="B74" i="6"/>
  <c r="S73" i="6"/>
  <c r="M73" i="6"/>
  <c r="L73" i="6"/>
  <c r="I73" i="6"/>
  <c r="H73" i="6"/>
  <c r="G73" i="6"/>
  <c r="F73" i="6"/>
  <c r="E73" i="6"/>
  <c r="D73" i="6"/>
  <c r="C73" i="6"/>
  <c r="B73" i="6"/>
  <c r="S72" i="6"/>
  <c r="M72" i="6"/>
  <c r="L72" i="6"/>
  <c r="I72" i="6"/>
  <c r="H72" i="6"/>
  <c r="G72" i="6"/>
  <c r="F72" i="6"/>
  <c r="E72" i="6"/>
  <c r="D72" i="6"/>
  <c r="C72" i="6"/>
  <c r="B72" i="6"/>
  <c r="S71" i="6"/>
  <c r="M71" i="6"/>
  <c r="L71" i="6"/>
  <c r="I71" i="6"/>
  <c r="H71" i="6"/>
  <c r="G71" i="6"/>
  <c r="F71" i="6"/>
  <c r="E71" i="6"/>
  <c r="D71" i="6"/>
  <c r="C71" i="6"/>
  <c r="B71" i="6"/>
  <c r="S70" i="6"/>
  <c r="M70" i="6"/>
  <c r="L70" i="6"/>
  <c r="I70" i="6"/>
  <c r="H70" i="6"/>
  <c r="G70" i="6"/>
  <c r="F70" i="6"/>
  <c r="E70" i="6"/>
  <c r="D70" i="6"/>
  <c r="C70" i="6"/>
  <c r="B70" i="6"/>
  <c r="S69" i="6"/>
  <c r="M69" i="6"/>
  <c r="I69" i="6"/>
  <c r="H69" i="6"/>
  <c r="G69" i="6"/>
  <c r="F69" i="6"/>
  <c r="E69" i="6"/>
  <c r="D69" i="6"/>
  <c r="C69" i="6"/>
  <c r="B69" i="6"/>
  <c r="S68" i="6"/>
  <c r="M68" i="6"/>
  <c r="L68" i="6"/>
  <c r="I68" i="6"/>
  <c r="H68" i="6"/>
  <c r="G68" i="6"/>
  <c r="F68" i="6"/>
  <c r="E68" i="6"/>
  <c r="D68" i="6"/>
  <c r="C68" i="6"/>
  <c r="B68" i="6"/>
  <c r="S67" i="6"/>
  <c r="M67" i="6"/>
  <c r="L67" i="6"/>
  <c r="I67" i="6"/>
  <c r="H67" i="6"/>
  <c r="G67" i="6"/>
  <c r="F67" i="6"/>
  <c r="E67" i="6"/>
  <c r="D67" i="6"/>
  <c r="C67" i="6"/>
  <c r="B67" i="6"/>
  <c r="S66" i="6"/>
  <c r="M66" i="6"/>
  <c r="L66" i="6"/>
  <c r="I66" i="6"/>
  <c r="H66" i="6"/>
  <c r="G66" i="6"/>
  <c r="F66" i="6"/>
  <c r="E66" i="6"/>
  <c r="D66" i="6"/>
  <c r="C66" i="6"/>
  <c r="B66" i="6"/>
  <c r="S65" i="6"/>
  <c r="M65" i="6"/>
  <c r="L65" i="6"/>
  <c r="I65" i="6"/>
  <c r="H65" i="6"/>
  <c r="G65" i="6"/>
  <c r="F65" i="6"/>
  <c r="E65" i="6"/>
  <c r="D65" i="6"/>
  <c r="C65" i="6"/>
  <c r="B65" i="6"/>
  <c r="S64" i="6"/>
  <c r="M64" i="6"/>
  <c r="L64" i="6"/>
  <c r="I64" i="6"/>
  <c r="H64" i="6"/>
  <c r="G64" i="6"/>
  <c r="F64" i="6"/>
  <c r="E64" i="6"/>
  <c r="D64" i="6"/>
  <c r="C64" i="6"/>
  <c r="B64" i="6"/>
  <c r="S63" i="6"/>
  <c r="M63" i="6"/>
  <c r="L63" i="6"/>
  <c r="I63" i="6"/>
  <c r="H63" i="6"/>
  <c r="G63" i="6"/>
  <c r="F63" i="6"/>
  <c r="E63" i="6"/>
  <c r="D63" i="6"/>
  <c r="C63" i="6"/>
  <c r="B63" i="6"/>
  <c r="S62" i="6"/>
  <c r="M62" i="6"/>
  <c r="L62" i="6"/>
  <c r="I62" i="6"/>
  <c r="H62" i="6"/>
  <c r="G62" i="6"/>
  <c r="F62" i="6"/>
  <c r="E62" i="6"/>
  <c r="D62" i="6"/>
  <c r="C62" i="6"/>
  <c r="B62" i="6"/>
  <c r="S61" i="6"/>
  <c r="M61" i="6"/>
  <c r="L61" i="6"/>
  <c r="I61" i="6"/>
  <c r="H61" i="6"/>
  <c r="G61" i="6"/>
  <c r="F61" i="6"/>
  <c r="E61" i="6"/>
  <c r="D61" i="6"/>
  <c r="C61" i="6"/>
  <c r="B61" i="6"/>
  <c r="S60" i="6"/>
  <c r="M60" i="6"/>
  <c r="L60" i="6"/>
  <c r="I60" i="6"/>
  <c r="H60" i="6"/>
  <c r="G60" i="6"/>
  <c r="F60" i="6"/>
  <c r="E60" i="6"/>
  <c r="D60" i="6"/>
  <c r="C60" i="6"/>
  <c r="B60" i="6"/>
  <c r="S59" i="6"/>
  <c r="M59" i="6"/>
  <c r="L59" i="6"/>
  <c r="I59" i="6"/>
  <c r="H59" i="6"/>
  <c r="G59" i="6"/>
  <c r="F59" i="6"/>
  <c r="E59" i="6"/>
  <c r="D59" i="6"/>
  <c r="C59" i="6"/>
  <c r="B59" i="6"/>
  <c r="S58" i="6"/>
  <c r="M58" i="6"/>
  <c r="L58" i="6"/>
  <c r="I58" i="6"/>
  <c r="H58" i="6"/>
  <c r="G58" i="6"/>
  <c r="F58" i="6"/>
  <c r="E58" i="6"/>
  <c r="D58" i="6"/>
  <c r="C58" i="6"/>
  <c r="B58" i="6"/>
  <c r="S57" i="6"/>
  <c r="M57" i="6"/>
  <c r="L57" i="6"/>
  <c r="I57" i="6"/>
  <c r="H57" i="6"/>
  <c r="G57" i="6"/>
  <c r="F57" i="6"/>
  <c r="E57" i="6"/>
  <c r="D57" i="6"/>
  <c r="C57" i="6"/>
  <c r="B57" i="6"/>
  <c r="S56" i="6"/>
  <c r="M56" i="6"/>
  <c r="L56" i="6"/>
  <c r="I56" i="6"/>
  <c r="H56" i="6"/>
  <c r="G56" i="6"/>
  <c r="F56" i="6"/>
  <c r="E56" i="6"/>
  <c r="D56" i="6"/>
  <c r="C56" i="6"/>
  <c r="B56" i="6"/>
  <c r="S55" i="6"/>
  <c r="M55" i="6"/>
  <c r="L55" i="6"/>
  <c r="I55" i="6"/>
  <c r="H55" i="6"/>
  <c r="G55" i="6"/>
  <c r="F55" i="6"/>
  <c r="E55" i="6"/>
  <c r="D55" i="6"/>
  <c r="C55" i="6"/>
  <c r="B55" i="6"/>
  <c r="S54" i="6"/>
  <c r="M54" i="6"/>
  <c r="L54" i="6"/>
  <c r="I54" i="6"/>
  <c r="H54" i="6"/>
  <c r="G54" i="6"/>
  <c r="F54" i="6"/>
  <c r="E54" i="6"/>
  <c r="D54" i="6"/>
  <c r="C54" i="6"/>
  <c r="B54" i="6"/>
  <c r="S53" i="6"/>
  <c r="M53" i="6"/>
  <c r="L53" i="6"/>
  <c r="I53" i="6"/>
  <c r="H53" i="6"/>
  <c r="G53" i="6"/>
  <c r="F53" i="6"/>
  <c r="E53" i="6"/>
  <c r="D53" i="6"/>
  <c r="C53" i="6"/>
  <c r="B53" i="6"/>
  <c r="S52" i="6"/>
  <c r="M52" i="6"/>
  <c r="L52" i="6"/>
  <c r="I52" i="6"/>
  <c r="H52" i="6"/>
  <c r="G52" i="6"/>
  <c r="F52" i="6"/>
  <c r="E52" i="6"/>
  <c r="D52" i="6"/>
  <c r="C52" i="6"/>
  <c r="B52" i="6"/>
  <c r="S51" i="6"/>
  <c r="M51" i="6"/>
  <c r="L51" i="6"/>
  <c r="I51" i="6"/>
  <c r="H51" i="6"/>
  <c r="G51" i="6"/>
  <c r="F51" i="6"/>
  <c r="E51" i="6"/>
  <c r="D51" i="6"/>
  <c r="C51" i="6"/>
  <c r="B51" i="6"/>
  <c r="S50" i="6"/>
  <c r="M50" i="6"/>
  <c r="L50" i="6"/>
  <c r="I50" i="6"/>
  <c r="H50" i="6"/>
  <c r="G50" i="6"/>
  <c r="F50" i="6"/>
  <c r="E50" i="6"/>
  <c r="D50" i="6"/>
  <c r="C50" i="6"/>
  <c r="B50" i="6"/>
  <c r="S49" i="6"/>
  <c r="M49" i="6"/>
  <c r="L49" i="6"/>
  <c r="I49" i="6"/>
  <c r="H49" i="6"/>
  <c r="G49" i="6"/>
  <c r="F49" i="6"/>
  <c r="E49" i="6"/>
  <c r="D49" i="6"/>
  <c r="C49" i="6"/>
  <c r="B49" i="6"/>
  <c r="S48" i="6"/>
  <c r="M48" i="6"/>
  <c r="L48" i="6"/>
  <c r="I48" i="6"/>
  <c r="H48" i="6"/>
  <c r="G48" i="6"/>
  <c r="F48" i="6"/>
  <c r="E48" i="6"/>
  <c r="D48" i="6"/>
  <c r="C48" i="6"/>
  <c r="B48" i="6"/>
  <c r="S47" i="6"/>
  <c r="M47" i="6"/>
  <c r="L47" i="6"/>
  <c r="I47" i="6"/>
  <c r="H47" i="6"/>
  <c r="G47" i="6"/>
  <c r="F47" i="6"/>
  <c r="E47" i="6"/>
  <c r="D47" i="6"/>
  <c r="C47" i="6"/>
  <c r="B47" i="6"/>
  <c r="S46" i="6"/>
  <c r="M46" i="6"/>
  <c r="L46" i="6"/>
  <c r="I46" i="6"/>
  <c r="H46" i="6"/>
  <c r="G46" i="6"/>
  <c r="F46" i="6"/>
  <c r="E46" i="6"/>
  <c r="D46" i="6"/>
  <c r="C46" i="6"/>
  <c r="B46" i="6"/>
  <c r="S45" i="6"/>
  <c r="M45" i="6"/>
  <c r="L45" i="6"/>
  <c r="I45" i="6"/>
  <c r="H45" i="6"/>
  <c r="G45" i="6"/>
  <c r="F45" i="6"/>
  <c r="E45" i="6"/>
  <c r="D45" i="6"/>
  <c r="C45" i="6"/>
  <c r="B45" i="6"/>
  <c r="S44" i="6"/>
  <c r="M44" i="6"/>
  <c r="L44" i="6"/>
  <c r="I44" i="6"/>
  <c r="H44" i="6"/>
  <c r="G44" i="6"/>
  <c r="F44" i="6"/>
  <c r="E44" i="6"/>
  <c r="D44" i="6"/>
  <c r="C44" i="6"/>
  <c r="B44" i="6"/>
  <c r="S43" i="6"/>
  <c r="M43" i="6"/>
  <c r="L43" i="6"/>
  <c r="I43" i="6"/>
  <c r="H43" i="6"/>
  <c r="G43" i="6"/>
  <c r="F43" i="6"/>
  <c r="E43" i="6"/>
  <c r="D43" i="6"/>
  <c r="C43" i="6"/>
  <c r="B43" i="6"/>
  <c r="S42" i="6"/>
  <c r="M42" i="6"/>
  <c r="L42" i="6"/>
  <c r="I42" i="6"/>
  <c r="H42" i="6"/>
  <c r="G42" i="6"/>
  <c r="F42" i="6"/>
  <c r="E42" i="6"/>
  <c r="D42" i="6"/>
  <c r="C42" i="6"/>
  <c r="B42" i="6"/>
  <c r="S41" i="6"/>
  <c r="M41" i="6"/>
  <c r="L41" i="6"/>
  <c r="I41" i="6"/>
  <c r="H41" i="6"/>
  <c r="G41" i="6"/>
  <c r="F41" i="6"/>
  <c r="E41" i="6"/>
  <c r="D41" i="6"/>
  <c r="C41" i="6"/>
  <c r="B41" i="6"/>
  <c r="S40" i="6"/>
  <c r="M40" i="6"/>
  <c r="L40" i="6"/>
  <c r="I40" i="6"/>
  <c r="H40" i="6"/>
  <c r="G40" i="6"/>
  <c r="F40" i="6"/>
  <c r="E40" i="6"/>
  <c r="D40" i="6"/>
  <c r="C40" i="6"/>
  <c r="B40" i="6"/>
  <c r="S39" i="6"/>
  <c r="M39" i="6"/>
  <c r="L39" i="6"/>
  <c r="I39" i="6"/>
  <c r="H39" i="6"/>
  <c r="G39" i="6"/>
  <c r="F39" i="6"/>
  <c r="E39" i="6"/>
  <c r="D39" i="6"/>
  <c r="C39" i="6"/>
  <c r="B39" i="6"/>
  <c r="S38" i="6"/>
  <c r="M38" i="6"/>
  <c r="L38" i="6"/>
  <c r="I38" i="6"/>
  <c r="H38" i="6"/>
  <c r="G38" i="6"/>
  <c r="F38" i="6"/>
  <c r="E38" i="6"/>
  <c r="D38" i="6"/>
  <c r="C38" i="6"/>
  <c r="B38" i="6"/>
  <c r="S37" i="6"/>
  <c r="M37" i="6"/>
  <c r="L37" i="6"/>
  <c r="I37" i="6"/>
  <c r="H37" i="6"/>
  <c r="G37" i="6"/>
  <c r="F37" i="6"/>
  <c r="E37" i="6"/>
  <c r="D37" i="6"/>
  <c r="C37" i="6"/>
  <c r="B37" i="6"/>
  <c r="S36" i="6"/>
  <c r="M36" i="6"/>
  <c r="L36" i="6"/>
  <c r="I36" i="6"/>
  <c r="H36" i="6"/>
  <c r="G36" i="6"/>
  <c r="F36" i="6"/>
  <c r="E36" i="6"/>
  <c r="D36" i="6"/>
  <c r="C36" i="6"/>
  <c r="B36" i="6"/>
  <c r="S35" i="6"/>
  <c r="M35" i="6"/>
  <c r="L35" i="6"/>
  <c r="I35" i="6"/>
  <c r="H35" i="6"/>
  <c r="G35" i="6"/>
  <c r="F35" i="6"/>
  <c r="E35" i="6"/>
  <c r="D35" i="6"/>
  <c r="C35" i="6"/>
  <c r="B35" i="6"/>
  <c r="S34" i="6"/>
  <c r="M34" i="6"/>
  <c r="L34" i="6"/>
  <c r="I34" i="6"/>
  <c r="H34" i="6"/>
  <c r="G34" i="6"/>
  <c r="F34" i="6"/>
  <c r="E34" i="6"/>
  <c r="D34" i="6"/>
  <c r="C34" i="6"/>
  <c r="B34" i="6"/>
  <c r="S33" i="6"/>
  <c r="M33" i="6"/>
  <c r="L33" i="6"/>
  <c r="I33" i="6"/>
  <c r="H33" i="6"/>
  <c r="G33" i="6"/>
  <c r="F33" i="6"/>
  <c r="E33" i="6"/>
  <c r="D33" i="6"/>
  <c r="C33" i="6"/>
  <c r="B33" i="6"/>
  <c r="S32" i="6"/>
  <c r="M32" i="6"/>
  <c r="L32" i="6"/>
  <c r="I32" i="6"/>
  <c r="H32" i="6"/>
  <c r="G32" i="6"/>
  <c r="F32" i="6"/>
  <c r="E32" i="6"/>
  <c r="D32" i="6"/>
  <c r="C32" i="6"/>
  <c r="B32" i="6"/>
  <c r="S31" i="6"/>
  <c r="M31" i="6"/>
  <c r="L31" i="6"/>
  <c r="I31" i="6"/>
  <c r="H31" i="6"/>
  <c r="G31" i="6"/>
  <c r="F31" i="6"/>
  <c r="E31" i="6"/>
  <c r="D31" i="6"/>
  <c r="C31" i="6"/>
  <c r="B31" i="6"/>
  <c r="S30" i="6"/>
  <c r="M30" i="6"/>
  <c r="L30" i="6"/>
  <c r="I30" i="6"/>
  <c r="H30" i="6"/>
  <c r="G30" i="6"/>
  <c r="F30" i="6"/>
  <c r="E30" i="6"/>
  <c r="D30" i="6"/>
  <c r="C30" i="6"/>
  <c r="B30" i="6"/>
  <c r="S29" i="6"/>
  <c r="M29" i="6"/>
  <c r="L29" i="6"/>
  <c r="I29" i="6"/>
  <c r="H29" i="6"/>
  <c r="G29" i="6"/>
  <c r="F29" i="6"/>
  <c r="E29" i="6"/>
  <c r="D29" i="6"/>
  <c r="C29" i="6"/>
  <c r="B29" i="6"/>
  <c r="S28" i="6"/>
  <c r="M28" i="6"/>
  <c r="L28" i="6"/>
  <c r="I28" i="6"/>
  <c r="H28" i="6"/>
  <c r="G28" i="6"/>
  <c r="F28" i="6"/>
  <c r="E28" i="6"/>
  <c r="D28" i="6"/>
  <c r="C28" i="6"/>
  <c r="B28" i="6"/>
  <c r="S27" i="6"/>
  <c r="M27" i="6"/>
  <c r="L27" i="6"/>
  <c r="I27" i="6"/>
  <c r="H27" i="6"/>
  <c r="G27" i="6"/>
  <c r="F27" i="6"/>
  <c r="E27" i="6"/>
  <c r="D27" i="6"/>
  <c r="C27" i="6"/>
  <c r="B27" i="6"/>
  <c r="S26" i="6"/>
  <c r="M26" i="6"/>
  <c r="L26" i="6"/>
  <c r="I26" i="6"/>
  <c r="H26" i="6"/>
  <c r="G26" i="6"/>
  <c r="F26" i="6"/>
  <c r="E26" i="6"/>
  <c r="D26" i="6"/>
  <c r="C26" i="6"/>
  <c r="B26" i="6"/>
  <c r="S25" i="6"/>
  <c r="M25" i="6"/>
  <c r="L25" i="6"/>
  <c r="I25" i="6"/>
  <c r="H25" i="6"/>
  <c r="G25" i="6"/>
  <c r="F25" i="6"/>
  <c r="E25" i="6"/>
  <c r="D25" i="6"/>
  <c r="C25" i="6"/>
  <c r="B25" i="6"/>
  <c r="S24" i="6"/>
  <c r="M24" i="6"/>
  <c r="L24" i="6"/>
  <c r="I24" i="6"/>
  <c r="H24" i="6"/>
  <c r="G24" i="6"/>
  <c r="F24" i="6"/>
  <c r="E24" i="6"/>
  <c r="D24" i="6"/>
  <c r="C24" i="6"/>
  <c r="B24" i="6"/>
  <c r="S23" i="6"/>
  <c r="M23" i="6"/>
  <c r="L23" i="6"/>
  <c r="I23" i="6"/>
  <c r="H23" i="6"/>
  <c r="G23" i="6"/>
  <c r="F23" i="6"/>
  <c r="E23" i="6"/>
  <c r="D23" i="6"/>
  <c r="C23" i="6"/>
  <c r="B23" i="6"/>
  <c r="S22" i="6"/>
  <c r="M22" i="6"/>
  <c r="L22" i="6"/>
  <c r="I22" i="6"/>
  <c r="H22" i="6"/>
  <c r="G22" i="6"/>
  <c r="F22" i="6"/>
  <c r="E22" i="6"/>
  <c r="D22" i="6"/>
  <c r="C22" i="6"/>
  <c r="B22" i="6"/>
  <c r="S21" i="6"/>
  <c r="M21" i="6"/>
  <c r="L21" i="6"/>
  <c r="I21" i="6"/>
  <c r="H21" i="6"/>
  <c r="G21" i="6"/>
  <c r="F21" i="6"/>
  <c r="E21" i="6"/>
  <c r="D21" i="6"/>
  <c r="C21" i="6"/>
  <c r="B21" i="6"/>
  <c r="S20" i="6"/>
  <c r="M20" i="6"/>
  <c r="L20" i="6"/>
  <c r="I20" i="6"/>
  <c r="H20" i="6"/>
  <c r="G20" i="6"/>
  <c r="F20" i="6"/>
  <c r="E20" i="6"/>
  <c r="D20" i="6"/>
  <c r="C20" i="6"/>
  <c r="B20" i="6"/>
  <c r="S19" i="6"/>
  <c r="M19" i="6"/>
  <c r="L19" i="6"/>
  <c r="I19" i="6"/>
  <c r="H19" i="6"/>
  <c r="G19" i="6"/>
  <c r="F19" i="6"/>
  <c r="E19" i="6"/>
  <c r="D19" i="6"/>
  <c r="C19" i="6"/>
  <c r="B19" i="6"/>
  <c r="S18" i="6"/>
  <c r="M18" i="6"/>
  <c r="L18" i="6"/>
  <c r="I18" i="6"/>
  <c r="H18" i="6"/>
  <c r="G18" i="6"/>
  <c r="F18" i="6"/>
  <c r="E18" i="6"/>
  <c r="D18" i="6"/>
  <c r="C18" i="6"/>
  <c r="B18" i="6"/>
  <c r="S17" i="6"/>
  <c r="M17" i="6"/>
  <c r="L17" i="6"/>
  <c r="I17" i="6"/>
  <c r="H17" i="6"/>
  <c r="G17" i="6"/>
  <c r="F17" i="6"/>
  <c r="E17" i="6"/>
  <c r="D17" i="6"/>
  <c r="C17" i="6"/>
  <c r="B17" i="6"/>
  <c r="S16" i="6"/>
  <c r="M16" i="6"/>
  <c r="L16" i="6"/>
  <c r="I16" i="6"/>
  <c r="H16" i="6"/>
  <c r="G16" i="6"/>
  <c r="F16" i="6"/>
  <c r="E16" i="6"/>
  <c r="D16" i="6"/>
  <c r="C16" i="6"/>
  <c r="B16" i="6"/>
  <c r="S15" i="6"/>
  <c r="M15" i="6"/>
  <c r="L15" i="6"/>
  <c r="I15" i="6"/>
  <c r="H15" i="6"/>
  <c r="G15" i="6"/>
  <c r="F15" i="6"/>
  <c r="E15" i="6"/>
  <c r="D15" i="6"/>
  <c r="C15" i="6"/>
  <c r="B15" i="6"/>
  <c r="S14" i="6"/>
  <c r="M14" i="6"/>
  <c r="L14" i="6"/>
  <c r="I14" i="6"/>
  <c r="H14" i="6"/>
  <c r="G14" i="6"/>
  <c r="F14" i="6"/>
  <c r="E14" i="6"/>
  <c r="D14" i="6"/>
  <c r="C14" i="6"/>
  <c r="B14" i="6"/>
  <c r="S13" i="6"/>
  <c r="M13" i="6"/>
  <c r="L13" i="6"/>
  <c r="I13" i="6"/>
  <c r="H13" i="6"/>
  <c r="G13" i="6"/>
  <c r="F13" i="6"/>
  <c r="E13" i="6"/>
  <c r="D13" i="6"/>
  <c r="C13" i="6"/>
  <c r="B13" i="6"/>
  <c r="S12" i="6"/>
  <c r="M12" i="6"/>
  <c r="L12" i="6"/>
  <c r="I12" i="6"/>
  <c r="H12" i="6"/>
  <c r="G12" i="6"/>
  <c r="F12" i="6"/>
  <c r="E12" i="6"/>
  <c r="D12" i="6"/>
  <c r="C12" i="6"/>
  <c r="B12" i="6"/>
  <c r="S11" i="6"/>
  <c r="M11" i="6"/>
  <c r="L11" i="6"/>
  <c r="I11" i="6"/>
  <c r="H11" i="6"/>
  <c r="G11" i="6"/>
  <c r="F11" i="6"/>
  <c r="E11" i="6"/>
  <c r="D11" i="6"/>
  <c r="C11" i="6"/>
  <c r="B11" i="6"/>
  <c r="S10" i="6"/>
  <c r="M10" i="6"/>
  <c r="L10" i="6"/>
  <c r="I10" i="6"/>
  <c r="H10" i="6"/>
  <c r="G10" i="6"/>
  <c r="F10" i="6"/>
  <c r="E10" i="6"/>
  <c r="D10" i="6"/>
  <c r="C10" i="6"/>
  <c r="B10" i="6"/>
  <c r="S9" i="6"/>
  <c r="M9" i="6"/>
  <c r="L9" i="6"/>
  <c r="I9" i="6"/>
  <c r="H9" i="6"/>
  <c r="G9" i="6"/>
  <c r="F9" i="6"/>
  <c r="E9" i="6"/>
  <c r="D9" i="6"/>
  <c r="C9" i="6"/>
  <c r="B9" i="6"/>
  <c r="S8" i="6"/>
  <c r="M8" i="6"/>
  <c r="L8" i="6"/>
  <c r="I8" i="6"/>
  <c r="H8" i="6"/>
  <c r="G8" i="6"/>
  <c r="F8" i="6"/>
  <c r="E8" i="6"/>
  <c r="D8" i="6"/>
  <c r="C8" i="6"/>
  <c r="B8" i="6"/>
  <c r="S7" i="6"/>
  <c r="M7" i="6"/>
  <c r="L7" i="6"/>
  <c r="I7" i="6"/>
  <c r="H7" i="6"/>
  <c r="G7" i="6"/>
  <c r="F7" i="6"/>
  <c r="E7" i="6"/>
  <c r="D7" i="6"/>
  <c r="C7" i="6"/>
  <c r="B7" i="6"/>
  <c r="S6" i="6"/>
  <c r="M6" i="6"/>
  <c r="L6" i="6"/>
  <c r="I6" i="6"/>
  <c r="H6" i="6"/>
  <c r="G6" i="6"/>
  <c r="F6" i="6"/>
  <c r="E6" i="6"/>
  <c r="D6" i="6"/>
  <c r="C6" i="6"/>
  <c r="B6" i="6"/>
  <c r="S5" i="6"/>
  <c r="M5" i="6"/>
  <c r="L5" i="6"/>
  <c r="I5" i="6"/>
  <c r="H5" i="6"/>
  <c r="G5" i="6"/>
  <c r="F5" i="6"/>
  <c r="E5" i="6"/>
  <c r="D5" i="6"/>
  <c r="C5" i="6"/>
  <c r="B5" i="6"/>
  <c r="R4" i="6"/>
  <c r="T92" i="4"/>
  <c r="S92" i="4"/>
  <c r="R92" i="4"/>
  <c r="Q92" i="4"/>
  <c r="M92" i="4"/>
  <c r="L92" i="4"/>
  <c r="K92" i="4"/>
  <c r="H92" i="4"/>
  <c r="I92" i="4" s="1"/>
  <c r="F92" i="4"/>
  <c r="E92" i="4"/>
  <c r="D92" i="4"/>
  <c r="C92" i="4"/>
  <c r="B92" i="4"/>
  <c r="T82" i="4"/>
  <c r="S82" i="4"/>
  <c r="R82" i="4"/>
  <c r="Q82" i="4"/>
  <c r="M82" i="4"/>
  <c r="L82" i="4"/>
  <c r="K82" i="4"/>
  <c r="H82" i="4"/>
  <c r="F82" i="4"/>
  <c r="E82" i="4"/>
  <c r="D82" i="4"/>
  <c r="C82" i="4"/>
  <c r="B82" i="4"/>
  <c r="T90" i="4"/>
  <c r="S90" i="4"/>
  <c r="R90" i="4"/>
  <c r="Q90" i="4"/>
  <c r="M90" i="4"/>
  <c r="L90" i="4"/>
  <c r="K90" i="4"/>
  <c r="H90" i="4"/>
  <c r="I90" i="4" s="1"/>
  <c r="F90" i="4"/>
  <c r="E90" i="4"/>
  <c r="G90" i="4" s="1"/>
  <c r="D90" i="4"/>
  <c r="C90" i="4"/>
  <c r="B90" i="4"/>
  <c r="T89" i="4"/>
  <c r="S89" i="4"/>
  <c r="R89" i="4"/>
  <c r="Q89" i="4"/>
  <c r="M89" i="4"/>
  <c r="L89" i="4"/>
  <c r="K89" i="4"/>
  <c r="H89" i="4"/>
  <c r="I89" i="4" s="1"/>
  <c r="F89" i="4"/>
  <c r="E89" i="4"/>
  <c r="D89" i="4"/>
  <c r="C89" i="4"/>
  <c r="B89" i="4"/>
  <c r="T31" i="4"/>
  <c r="S31" i="4"/>
  <c r="R31" i="4"/>
  <c r="Q31" i="4"/>
  <c r="M31" i="4"/>
  <c r="L31" i="4"/>
  <c r="K31" i="4"/>
  <c r="H31" i="4"/>
  <c r="F31" i="4"/>
  <c r="E31" i="4"/>
  <c r="D31" i="4"/>
  <c r="C31" i="4"/>
  <c r="B31" i="4"/>
  <c r="T87" i="4"/>
  <c r="S87" i="4"/>
  <c r="R87" i="4"/>
  <c r="Q87" i="4"/>
  <c r="M87" i="4"/>
  <c r="L87" i="4"/>
  <c r="K87" i="4"/>
  <c r="H87" i="4"/>
  <c r="F87" i="4"/>
  <c r="E87" i="4"/>
  <c r="D87" i="4"/>
  <c r="C87" i="4"/>
  <c r="B87" i="4"/>
  <c r="T65" i="4"/>
  <c r="S65" i="4"/>
  <c r="R65" i="4"/>
  <c r="M65" i="4"/>
  <c r="L65" i="4"/>
  <c r="K65" i="4"/>
  <c r="H65" i="4"/>
  <c r="Q65" i="4" s="1"/>
  <c r="F65" i="4"/>
  <c r="E65" i="4"/>
  <c r="D65" i="4"/>
  <c r="C65" i="4"/>
  <c r="B65" i="4"/>
  <c r="T66" i="4"/>
  <c r="S66" i="4"/>
  <c r="R66" i="4"/>
  <c r="M66" i="4"/>
  <c r="L66" i="4"/>
  <c r="K66" i="4"/>
  <c r="H66" i="4"/>
  <c r="Q66" i="4" s="1"/>
  <c r="F66" i="4"/>
  <c r="E66" i="4"/>
  <c r="D66" i="4"/>
  <c r="C66" i="4"/>
  <c r="B66" i="4"/>
  <c r="T84" i="4"/>
  <c r="S84" i="4"/>
  <c r="R84" i="4"/>
  <c r="Q84" i="4"/>
  <c r="M84" i="4"/>
  <c r="L84" i="4"/>
  <c r="K84" i="4"/>
  <c r="H84" i="4"/>
  <c r="I84" i="4" s="1"/>
  <c r="F84" i="4"/>
  <c r="E84" i="4"/>
  <c r="D84" i="4"/>
  <c r="C84" i="4"/>
  <c r="B84" i="4"/>
  <c r="T83" i="4"/>
  <c r="S83" i="4"/>
  <c r="R83" i="4"/>
  <c r="Q83" i="4"/>
  <c r="M83" i="4"/>
  <c r="L83" i="4"/>
  <c r="K83" i="4"/>
  <c r="H83" i="4"/>
  <c r="I83" i="4" s="1"/>
  <c r="F83" i="4"/>
  <c r="E83" i="4"/>
  <c r="D83" i="4"/>
  <c r="C83" i="4"/>
  <c r="B83" i="4"/>
  <c r="T75" i="4"/>
  <c r="S75" i="4"/>
  <c r="R75" i="4"/>
  <c r="Q75" i="4"/>
  <c r="M75" i="4"/>
  <c r="L75" i="4"/>
  <c r="K75" i="4"/>
  <c r="H75" i="4"/>
  <c r="F75" i="4"/>
  <c r="E75" i="4"/>
  <c r="D75" i="4"/>
  <c r="C75" i="4"/>
  <c r="B75" i="4"/>
  <c r="T23" i="4"/>
  <c r="S23" i="4"/>
  <c r="R23" i="4"/>
  <c r="M23" i="4"/>
  <c r="L23" i="4"/>
  <c r="K23" i="4"/>
  <c r="H23" i="4"/>
  <c r="Q23" i="4" s="1"/>
  <c r="F23" i="4"/>
  <c r="E23" i="4"/>
  <c r="D23" i="4"/>
  <c r="C23" i="4"/>
  <c r="B23" i="4"/>
  <c r="T45" i="4"/>
  <c r="S45" i="4"/>
  <c r="R45" i="4"/>
  <c r="Q45" i="4"/>
  <c r="M45" i="4"/>
  <c r="L45" i="4"/>
  <c r="K45" i="4"/>
  <c r="H45" i="4"/>
  <c r="F45" i="4"/>
  <c r="E45" i="4"/>
  <c r="D45" i="4"/>
  <c r="C45" i="4"/>
  <c r="B45" i="4"/>
  <c r="T79" i="4"/>
  <c r="S79" i="4"/>
  <c r="R79" i="4"/>
  <c r="Q79" i="4"/>
  <c r="M79" i="4"/>
  <c r="L79" i="4"/>
  <c r="K79" i="4"/>
  <c r="H79" i="4"/>
  <c r="I79" i="4" s="1"/>
  <c r="F79" i="4"/>
  <c r="E79" i="4"/>
  <c r="O79" i="4" s="1"/>
  <c r="J79" i="4" s="1"/>
  <c r="D79" i="4"/>
  <c r="C79" i="4"/>
  <c r="B79" i="4"/>
  <c r="T78" i="4"/>
  <c r="S78" i="4"/>
  <c r="R78" i="4"/>
  <c r="Q78" i="4"/>
  <c r="M78" i="4"/>
  <c r="L78" i="4"/>
  <c r="K78" i="4"/>
  <c r="H78" i="4"/>
  <c r="I78" i="4" s="1"/>
  <c r="F78" i="4"/>
  <c r="E78" i="4"/>
  <c r="O78" i="4" s="1"/>
  <c r="J78" i="4" s="1"/>
  <c r="D78" i="4"/>
  <c r="C78" i="4"/>
  <c r="B78" i="4"/>
  <c r="T35" i="4"/>
  <c r="S35" i="4"/>
  <c r="R35" i="4"/>
  <c r="Q35" i="4"/>
  <c r="M35" i="4"/>
  <c r="L35" i="4"/>
  <c r="K35" i="4"/>
  <c r="H35" i="4"/>
  <c r="F35" i="4"/>
  <c r="E35" i="4"/>
  <c r="D35" i="4"/>
  <c r="C35" i="4"/>
  <c r="B35" i="4"/>
  <c r="T76" i="4"/>
  <c r="S76" i="4"/>
  <c r="R76" i="4"/>
  <c r="Q76" i="4"/>
  <c r="M76" i="4"/>
  <c r="L76" i="4"/>
  <c r="K76" i="4"/>
  <c r="H76" i="4"/>
  <c r="F76" i="4"/>
  <c r="E76" i="4"/>
  <c r="D76" i="4"/>
  <c r="C76" i="4"/>
  <c r="B76" i="4"/>
  <c r="T63" i="4"/>
  <c r="S63" i="4"/>
  <c r="R63" i="4"/>
  <c r="Q63" i="4"/>
  <c r="M63" i="4"/>
  <c r="L63" i="4"/>
  <c r="K63" i="4"/>
  <c r="F63" i="4"/>
  <c r="E63" i="4"/>
  <c r="D63" i="4"/>
  <c r="B63" i="4"/>
  <c r="T80" i="4"/>
  <c r="S80" i="4"/>
  <c r="R80" i="4"/>
  <c r="Q80" i="4"/>
  <c r="M80" i="4"/>
  <c r="L80" i="4"/>
  <c r="K80" i="4"/>
  <c r="H80" i="4"/>
  <c r="F80" i="4"/>
  <c r="E80" i="4"/>
  <c r="D80" i="4"/>
  <c r="C80" i="4"/>
  <c r="B80" i="4"/>
  <c r="T70" i="4"/>
  <c r="S70" i="4"/>
  <c r="R70" i="4"/>
  <c r="M70" i="4"/>
  <c r="L70" i="4"/>
  <c r="K70" i="4"/>
  <c r="H70" i="4"/>
  <c r="Q70" i="4" s="1"/>
  <c r="F70" i="4"/>
  <c r="E70" i="4"/>
  <c r="D70" i="4"/>
  <c r="C70" i="4"/>
  <c r="B70" i="4"/>
  <c r="T72" i="4"/>
  <c r="S72" i="4"/>
  <c r="R72" i="4"/>
  <c r="Q72" i="4"/>
  <c r="M72" i="4"/>
  <c r="L72" i="4"/>
  <c r="K72" i="4"/>
  <c r="H72" i="4"/>
  <c r="F72" i="4"/>
  <c r="E72" i="4"/>
  <c r="D72" i="4"/>
  <c r="C72" i="4"/>
  <c r="B72" i="4"/>
  <c r="T71" i="4"/>
  <c r="S71" i="4"/>
  <c r="R71" i="4"/>
  <c r="Q71" i="4"/>
  <c r="M71" i="4"/>
  <c r="L71" i="4"/>
  <c r="K71" i="4"/>
  <c r="H71" i="4"/>
  <c r="F71" i="4"/>
  <c r="E71" i="4"/>
  <c r="D71" i="4"/>
  <c r="C71" i="4"/>
  <c r="B71" i="4"/>
  <c r="T73" i="4"/>
  <c r="S73" i="4"/>
  <c r="R73" i="4"/>
  <c r="Q73" i="4"/>
  <c r="M73" i="4"/>
  <c r="L73" i="4"/>
  <c r="K73" i="4"/>
  <c r="H73" i="4"/>
  <c r="F73" i="4"/>
  <c r="E73" i="4"/>
  <c r="D73" i="4"/>
  <c r="C73" i="4"/>
  <c r="B73" i="4"/>
  <c r="T64" i="4"/>
  <c r="M64" i="4"/>
  <c r="L64" i="4"/>
  <c r="K64" i="4"/>
  <c r="H64" i="4"/>
  <c r="Q64" i="4" s="1"/>
  <c r="F64" i="4"/>
  <c r="E64" i="4"/>
  <c r="O64" i="4" s="1"/>
  <c r="J64" i="4" s="1"/>
  <c r="D64" i="4"/>
  <c r="C64" i="4"/>
  <c r="B64" i="4"/>
  <c r="T68" i="4"/>
  <c r="S68" i="4"/>
  <c r="R68" i="4"/>
  <c r="Q68" i="4"/>
  <c r="M68" i="4"/>
  <c r="L68" i="4"/>
  <c r="K68" i="4"/>
  <c r="H68" i="4"/>
  <c r="F68" i="4"/>
  <c r="E68" i="4"/>
  <c r="O68" i="4" s="1"/>
  <c r="J68" i="4" s="1"/>
  <c r="D68" i="4"/>
  <c r="C68" i="4"/>
  <c r="B68" i="4"/>
  <c r="T67" i="4"/>
  <c r="S67" i="4"/>
  <c r="R67" i="4"/>
  <c r="Q67" i="4"/>
  <c r="M67" i="4"/>
  <c r="L67" i="4"/>
  <c r="K67" i="4"/>
  <c r="H67" i="4"/>
  <c r="F67" i="4"/>
  <c r="E67" i="4"/>
  <c r="O67" i="4" s="1"/>
  <c r="J67" i="4" s="1"/>
  <c r="D67" i="4"/>
  <c r="C67" i="4"/>
  <c r="B67" i="4"/>
  <c r="T91" i="4"/>
  <c r="S91" i="4"/>
  <c r="R91" i="4"/>
  <c r="Q91" i="4"/>
  <c r="M91" i="4"/>
  <c r="L91" i="4"/>
  <c r="K91" i="4"/>
  <c r="H91" i="4"/>
  <c r="F91" i="4"/>
  <c r="E91" i="4"/>
  <c r="D91" i="4"/>
  <c r="C91" i="4"/>
  <c r="B91" i="4"/>
  <c r="T88" i="4"/>
  <c r="S88" i="4"/>
  <c r="R88" i="4"/>
  <c r="Q88" i="4"/>
  <c r="M88" i="4"/>
  <c r="L88" i="4"/>
  <c r="K88" i="4"/>
  <c r="H88" i="4"/>
  <c r="F88" i="4"/>
  <c r="E88" i="4"/>
  <c r="D88" i="4"/>
  <c r="C88" i="4"/>
  <c r="B88" i="4"/>
  <c r="T86" i="4"/>
  <c r="S86" i="4"/>
  <c r="R86" i="4"/>
  <c r="Q86" i="4"/>
  <c r="M86" i="4"/>
  <c r="L86" i="4"/>
  <c r="K86" i="4"/>
  <c r="H86" i="4"/>
  <c r="F86" i="4"/>
  <c r="E86" i="4"/>
  <c r="D86" i="4"/>
  <c r="C86" i="4"/>
  <c r="B86" i="4"/>
  <c r="T85" i="4"/>
  <c r="S85" i="4"/>
  <c r="R85" i="4"/>
  <c r="Q85" i="4"/>
  <c r="M85" i="4"/>
  <c r="L85" i="4"/>
  <c r="K85" i="4"/>
  <c r="H85" i="4"/>
  <c r="F85" i="4"/>
  <c r="E85" i="4"/>
  <c r="D85" i="4"/>
  <c r="C85" i="4"/>
  <c r="B85" i="4"/>
  <c r="T62" i="4"/>
  <c r="S62" i="4"/>
  <c r="R62" i="4"/>
  <c r="Q62" i="4"/>
  <c r="M62" i="4"/>
  <c r="L62" i="4"/>
  <c r="K62" i="4"/>
  <c r="H62" i="4"/>
  <c r="F62" i="4"/>
  <c r="E62" i="4"/>
  <c r="D62" i="4"/>
  <c r="C62" i="4"/>
  <c r="B62" i="4"/>
  <c r="T61" i="4"/>
  <c r="S61" i="4"/>
  <c r="R61" i="4"/>
  <c r="Q61" i="4"/>
  <c r="M61" i="4"/>
  <c r="L61" i="4"/>
  <c r="K61" i="4"/>
  <c r="H61" i="4"/>
  <c r="F61" i="4"/>
  <c r="E61" i="4"/>
  <c r="D61" i="4"/>
  <c r="C61" i="4"/>
  <c r="B61" i="4"/>
  <c r="T60" i="4"/>
  <c r="S60" i="4"/>
  <c r="R60" i="4"/>
  <c r="Q60" i="4"/>
  <c r="M60" i="4"/>
  <c r="L60" i="4"/>
  <c r="K60" i="4"/>
  <c r="H60" i="4"/>
  <c r="F60" i="4"/>
  <c r="E60" i="4"/>
  <c r="O60" i="4" s="1"/>
  <c r="J60" i="4" s="1"/>
  <c r="D60" i="4"/>
  <c r="C60" i="4"/>
  <c r="B60" i="4"/>
  <c r="T59" i="4"/>
  <c r="S59" i="4"/>
  <c r="R59" i="4"/>
  <c r="Q59" i="4"/>
  <c r="M59" i="4"/>
  <c r="L59" i="4"/>
  <c r="K59" i="4"/>
  <c r="H59" i="4"/>
  <c r="F59" i="4"/>
  <c r="E59" i="4"/>
  <c r="D59" i="4"/>
  <c r="C59" i="4"/>
  <c r="B59" i="4"/>
  <c r="T58" i="4"/>
  <c r="S58" i="4"/>
  <c r="R58" i="4"/>
  <c r="Q58" i="4"/>
  <c r="M58" i="4"/>
  <c r="L58" i="4"/>
  <c r="K58" i="4"/>
  <c r="H58" i="4"/>
  <c r="F58" i="4"/>
  <c r="E58" i="4"/>
  <c r="D58" i="4"/>
  <c r="C58" i="4"/>
  <c r="B58" i="4"/>
  <c r="T57" i="4"/>
  <c r="S57" i="4"/>
  <c r="R57" i="4"/>
  <c r="Q57" i="4"/>
  <c r="M57" i="4"/>
  <c r="L57" i="4"/>
  <c r="K57" i="4"/>
  <c r="H57" i="4"/>
  <c r="F57" i="4"/>
  <c r="E57" i="4"/>
  <c r="D57" i="4"/>
  <c r="C57" i="4"/>
  <c r="B57" i="4"/>
  <c r="T56" i="4"/>
  <c r="S56" i="4"/>
  <c r="R56" i="4"/>
  <c r="Q56" i="4"/>
  <c r="M56" i="4"/>
  <c r="L56" i="4"/>
  <c r="K56" i="4"/>
  <c r="H56" i="4"/>
  <c r="F56" i="4"/>
  <c r="E56" i="4"/>
  <c r="D56" i="4"/>
  <c r="C56" i="4"/>
  <c r="B56" i="4"/>
  <c r="T69" i="4"/>
  <c r="S69" i="4"/>
  <c r="R69" i="4"/>
  <c r="M69" i="4"/>
  <c r="L69" i="4"/>
  <c r="K69" i="4"/>
  <c r="H69" i="4"/>
  <c r="Q69" i="4" s="1"/>
  <c r="F69" i="4"/>
  <c r="E69" i="4"/>
  <c r="D69" i="4"/>
  <c r="C69" i="4"/>
  <c r="B69" i="4"/>
  <c r="T54" i="4"/>
  <c r="S54" i="4"/>
  <c r="R54" i="4"/>
  <c r="Q54" i="4"/>
  <c r="M54" i="4"/>
  <c r="L54" i="4"/>
  <c r="K54" i="4"/>
  <c r="H54" i="4"/>
  <c r="F54" i="4"/>
  <c r="E54" i="4"/>
  <c r="D54" i="4"/>
  <c r="C54" i="4"/>
  <c r="B54" i="4"/>
  <c r="T53" i="4"/>
  <c r="S53" i="4"/>
  <c r="R53" i="4"/>
  <c r="Q53" i="4"/>
  <c r="M53" i="4"/>
  <c r="L53" i="4"/>
  <c r="K53" i="4"/>
  <c r="H53" i="4"/>
  <c r="F53" i="4"/>
  <c r="E53" i="4"/>
  <c r="D53" i="4"/>
  <c r="C53" i="4"/>
  <c r="B53" i="4"/>
  <c r="T52" i="4"/>
  <c r="S52" i="4"/>
  <c r="R52" i="4"/>
  <c r="Q52" i="4"/>
  <c r="M52" i="4"/>
  <c r="L52" i="4"/>
  <c r="K52" i="4"/>
  <c r="H52" i="4"/>
  <c r="F52" i="4"/>
  <c r="E52" i="4"/>
  <c r="O52" i="4" s="1"/>
  <c r="J52" i="4" s="1"/>
  <c r="D52" i="4"/>
  <c r="C52" i="4"/>
  <c r="B52" i="4"/>
  <c r="T51" i="4"/>
  <c r="S51" i="4"/>
  <c r="R51" i="4"/>
  <c r="Q51" i="4"/>
  <c r="M51" i="4"/>
  <c r="L51" i="4"/>
  <c r="K51" i="4"/>
  <c r="H51" i="4"/>
  <c r="F51" i="4"/>
  <c r="E51" i="4"/>
  <c r="O51" i="4" s="1"/>
  <c r="J51" i="4" s="1"/>
  <c r="D51" i="4"/>
  <c r="C51" i="4"/>
  <c r="B51" i="4"/>
  <c r="T50" i="4"/>
  <c r="S50" i="4"/>
  <c r="R50" i="4"/>
  <c r="Q50" i="4"/>
  <c r="M50" i="4"/>
  <c r="L50" i="4"/>
  <c r="K50" i="4"/>
  <c r="H50" i="4"/>
  <c r="F50" i="4"/>
  <c r="E50" i="4"/>
  <c r="O50" i="4" s="1"/>
  <c r="J50" i="4" s="1"/>
  <c r="D50" i="4"/>
  <c r="C50" i="4"/>
  <c r="B50" i="4"/>
  <c r="T49" i="4"/>
  <c r="S49" i="4"/>
  <c r="R49" i="4"/>
  <c r="Q49" i="4"/>
  <c r="M49" i="4"/>
  <c r="L49" i="4"/>
  <c r="K49" i="4"/>
  <c r="H49" i="4"/>
  <c r="F49" i="4"/>
  <c r="E49" i="4"/>
  <c r="D49" i="4"/>
  <c r="C49" i="4"/>
  <c r="B49" i="4"/>
  <c r="T48" i="4"/>
  <c r="S48" i="4"/>
  <c r="R48" i="4"/>
  <c r="Q48" i="4"/>
  <c r="M48" i="4"/>
  <c r="L48" i="4"/>
  <c r="K48" i="4"/>
  <c r="H48" i="4"/>
  <c r="F48" i="4"/>
  <c r="E48" i="4"/>
  <c r="O48" i="4" s="1"/>
  <c r="J48" i="4" s="1"/>
  <c r="D48" i="4"/>
  <c r="C48" i="4"/>
  <c r="B48" i="4"/>
  <c r="T47" i="4"/>
  <c r="S47" i="4"/>
  <c r="R47" i="4"/>
  <c r="Q47" i="4"/>
  <c r="M47" i="4"/>
  <c r="L47" i="4"/>
  <c r="K47" i="4"/>
  <c r="H47" i="4"/>
  <c r="F47" i="4"/>
  <c r="E47" i="4"/>
  <c r="D47" i="4"/>
  <c r="C47" i="4"/>
  <c r="B47" i="4"/>
  <c r="T46" i="4"/>
  <c r="S46" i="4"/>
  <c r="R46" i="4"/>
  <c r="Q46" i="4"/>
  <c r="M46" i="4"/>
  <c r="L46" i="4"/>
  <c r="K46" i="4"/>
  <c r="H46" i="4"/>
  <c r="F46" i="4"/>
  <c r="E46" i="4"/>
  <c r="D46" i="4"/>
  <c r="C46" i="4"/>
  <c r="B46" i="4"/>
  <c r="T74" i="4"/>
  <c r="S74" i="4"/>
  <c r="R74" i="4"/>
  <c r="M74" i="4"/>
  <c r="L74" i="4"/>
  <c r="K74" i="4"/>
  <c r="H74" i="4"/>
  <c r="F74" i="4"/>
  <c r="E74" i="4"/>
  <c r="D74" i="4"/>
  <c r="C74" i="4"/>
  <c r="B74" i="4"/>
  <c r="T44" i="4"/>
  <c r="S44" i="4"/>
  <c r="R44" i="4"/>
  <c r="Q44" i="4"/>
  <c r="M44" i="4"/>
  <c r="L44" i="4"/>
  <c r="K44" i="4"/>
  <c r="H44" i="4"/>
  <c r="F44" i="4"/>
  <c r="E44" i="4"/>
  <c r="O44" i="4" s="1"/>
  <c r="J44" i="4" s="1"/>
  <c r="D44" i="4"/>
  <c r="C44" i="4"/>
  <c r="B44" i="4"/>
  <c r="T43" i="4"/>
  <c r="S43" i="4"/>
  <c r="R43" i="4"/>
  <c r="Q43" i="4"/>
  <c r="M43" i="4"/>
  <c r="L43" i="4"/>
  <c r="K43" i="4"/>
  <c r="H43" i="4"/>
  <c r="F43" i="4"/>
  <c r="E43" i="4"/>
  <c r="D43" i="4"/>
  <c r="C43" i="4"/>
  <c r="B43" i="4"/>
  <c r="T42" i="4"/>
  <c r="S42" i="4"/>
  <c r="R42" i="4"/>
  <c r="Q42" i="4"/>
  <c r="M42" i="4"/>
  <c r="L42" i="4"/>
  <c r="K42" i="4"/>
  <c r="H42" i="4"/>
  <c r="F42" i="4"/>
  <c r="E42" i="4"/>
  <c r="O42" i="4" s="1"/>
  <c r="J42" i="4" s="1"/>
  <c r="D42" i="4"/>
  <c r="C42" i="4"/>
  <c r="B42" i="4"/>
  <c r="T41" i="4"/>
  <c r="S41" i="4"/>
  <c r="R41" i="4"/>
  <c r="Q41" i="4"/>
  <c r="M41" i="4"/>
  <c r="L41" i="4"/>
  <c r="K41" i="4"/>
  <c r="H41" i="4"/>
  <c r="F41" i="4"/>
  <c r="E41" i="4"/>
  <c r="G41" i="4" s="1"/>
  <c r="D41" i="4"/>
  <c r="C41" i="4"/>
  <c r="B41" i="4"/>
  <c r="T40" i="4"/>
  <c r="S40" i="4"/>
  <c r="R40" i="4"/>
  <c r="Q40" i="4"/>
  <c r="M40" i="4"/>
  <c r="L40" i="4"/>
  <c r="K40" i="4"/>
  <c r="H40" i="4"/>
  <c r="F40" i="4"/>
  <c r="E40" i="4"/>
  <c r="O40" i="4" s="1"/>
  <c r="J40" i="4" s="1"/>
  <c r="D40" i="4"/>
  <c r="C40" i="4"/>
  <c r="B40" i="4"/>
  <c r="T39" i="4"/>
  <c r="S39" i="4"/>
  <c r="R39" i="4"/>
  <c r="Q39" i="4"/>
  <c r="M39" i="4"/>
  <c r="L39" i="4"/>
  <c r="K39" i="4"/>
  <c r="H39" i="4"/>
  <c r="F39" i="4"/>
  <c r="E39" i="4"/>
  <c r="D39" i="4"/>
  <c r="C39" i="4"/>
  <c r="B39" i="4"/>
  <c r="T38" i="4"/>
  <c r="S38" i="4"/>
  <c r="R38" i="4"/>
  <c r="Q38" i="4"/>
  <c r="M38" i="4"/>
  <c r="L38" i="4"/>
  <c r="K38" i="4"/>
  <c r="H38" i="4"/>
  <c r="F38" i="4"/>
  <c r="E38" i="4"/>
  <c r="G38" i="4" s="1"/>
  <c r="D38" i="4"/>
  <c r="C38" i="4"/>
  <c r="B38" i="4"/>
  <c r="T37" i="4"/>
  <c r="S37" i="4"/>
  <c r="R37" i="4"/>
  <c r="Q37" i="4"/>
  <c r="M37" i="4"/>
  <c r="L37" i="4"/>
  <c r="K37" i="4"/>
  <c r="H37" i="4"/>
  <c r="F37" i="4"/>
  <c r="E37" i="4"/>
  <c r="D37" i="4"/>
  <c r="C37" i="4"/>
  <c r="B37" i="4"/>
  <c r="T36" i="4"/>
  <c r="S36" i="4"/>
  <c r="R36" i="4"/>
  <c r="Q36" i="4"/>
  <c r="M36" i="4"/>
  <c r="L36" i="4"/>
  <c r="K36" i="4"/>
  <c r="H36" i="4"/>
  <c r="F36" i="4"/>
  <c r="E36" i="4"/>
  <c r="D36" i="4"/>
  <c r="C36" i="4"/>
  <c r="B36" i="4"/>
  <c r="T55" i="4"/>
  <c r="S55" i="4"/>
  <c r="R55" i="4"/>
  <c r="Q55" i="4"/>
  <c r="M55" i="4"/>
  <c r="L55" i="4"/>
  <c r="K55" i="4"/>
  <c r="H55" i="4"/>
  <c r="F55" i="4"/>
  <c r="E55" i="4"/>
  <c r="D55" i="4"/>
  <c r="B55" i="4"/>
  <c r="T34" i="4"/>
  <c r="S34" i="4"/>
  <c r="R34" i="4"/>
  <c r="Q34" i="4"/>
  <c r="M34" i="4"/>
  <c r="L34" i="4"/>
  <c r="K34" i="4"/>
  <c r="H34" i="4"/>
  <c r="F34" i="4"/>
  <c r="E34" i="4"/>
  <c r="D34" i="4"/>
  <c r="C34" i="4"/>
  <c r="B34" i="4"/>
  <c r="T33" i="4"/>
  <c r="S33" i="4"/>
  <c r="R33" i="4"/>
  <c r="Q33" i="4"/>
  <c r="M33" i="4"/>
  <c r="L33" i="4"/>
  <c r="K33" i="4"/>
  <c r="H33" i="4"/>
  <c r="F33" i="4"/>
  <c r="E33" i="4"/>
  <c r="D33" i="4"/>
  <c r="C33" i="4"/>
  <c r="B33" i="4"/>
  <c r="T32" i="4"/>
  <c r="S32" i="4"/>
  <c r="R32" i="4"/>
  <c r="Q32" i="4"/>
  <c r="M32" i="4"/>
  <c r="L32" i="4"/>
  <c r="K32" i="4"/>
  <c r="H32" i="4"/>
  <c r="F32" i="4"/>
  <c r="E32" i="4"/>
  <c r="O32" i="4" s="1"/>
  <c r="J32" i="4" s="1"/>
  <c r="D32" i="4"/>
  <c r="C32" i="4"/>
  <c r="B32" i="4"/>
  <c r="T77" i="4"/>
  <c r="S77" i="4"/>
  <c r="R77" i="4"/>
  <c r="Q77" i="4"/>
  <c r="M77" i="4"/>
  <c r="L77" i="4"/>
  <c r="K77" i="4"/>
  <c r="H77" i="4"/>
  <c r="F77" i="4"/>
  <c r="E77" i="4"/>
  <c r="D77" i="4"/>
  <c r="C77" i="4"/>
  <c r="B77" i="4"/>
  <c r="T30" i="4"/>
  <c r="S30" i="4"/>
  <c r="R30" i="4"/>
  <c r="Q30" i="4"/>
  <c r="M30" i="4"/>
  <c r="L30" i="4"/>
  <c r="K30" i="4"/>
  <c r="H30" i="4"/>
  <c r="F30" i="4"/>
  <c r="E30" i="4"/>
  <c r="O30" i="4" s="1"/>
  <c r="J30" i="4" s="1"/>
  <c r="D30" i="4"/>
  <c r="C30" i="4"/>
  <c r="B30" i="4"/>
  <c r="T29" i="4"/>
  <c r="S29" i="4"/>
  <c r="R29" i="4"/>
  <c r="Q29" i="4"/>
  <c r="M29" i="4"/>
  <c r="L29" i="4"/>
  <c r="K29" i="4"/>
  <c r="H29" i="4"/>
  <c r="F29" i="4"/>
  <c r="E29" i="4"/>
  <c r="D29" i="4"/>
  <c r="C29" i="4"/>
  <c r="B29" i="4"/>
  <c r="T28" i="4"/>
  <c r="S28" i="4"/>
  <c r="R28" i="4"/>
  <c r="Q28" i="4"/>
  <c r="M28" i="4"/>
  <c r="L28" i="4"/>
  <c r="K28" i="4"/>
  <c r="H28" i="4"/>
  <c r="F28" i="4"/>
  <c r="E28" i="4"/>
  <c r="D28" i="4"/>
  <c r="C28" i="4"/>
  <c r="B28" i="4"/>
  <c r="T27" i="4"/>
  <c r="S27" i="4"/>
  <c r="R27" i="4"/>
  <c r="Q27" i="4"/>
  <c r="M27" i="4"/>
  <c r="L27" i="4"/>
  <c r="K27" i="4"/>
  <c r="H27" i="4"/>
  <c r="F27" i="4"/>
  <c r="E27" i="4"/>
  <c r="D27" i="4"/>
  <c r="C27" i="4"/>
  <c r="B27" i="4"/>
  <c r="T26" i="4"/>
  <c r="S26" i="4"/>
  <c r="R26" i="4"/>
  <c r="Q26" i="4"/>
  <c r="M26" i="4"/>
  <c r="L26" i="4"/>
  <c r="K26" i="4"/>
  <c r="H26" i="4"/>
  <c r="F26" i="4"/>
  <c r="E26" i="4"/>
  <c r="D26" i="4"/>
  <c r="C26" i="4"/>
  <c r="B26" i="4"/>
  <c r="T25" i="4"/>
  <c r="S25" i="4"/>
  <c r="R25" i="4"/>
  <c r="Q25" i="4"/>
  <c r="M25" i="4"/>
  <c r="L25" i="4"/>
  <c r="K25" i="4"/>
  <c r="H25" i="4"/>
  <c r="F25" i="4"/>
  <c r="E25" i="4"/>
  <c r="D25" i="4"/>
  <c r="C25" i="4"/>
  <c r="B25" i="4"/>
  <c r="T24" i="4"/>
  <c r="S24" i="4"/>
  <c r="R24" i="4"/>
  <c r="Q24" i="4"/>
  <c r="M24" i="4"/>
  <c r="L24" i="4"/>
  <c r="K24" i="4"/>
  <c r="H24" i="4"/>
  <c r="F24" i="4"/>
  <c r="E24" i="4"/>
  <c r="D24" i="4"/>
  <c r="C24" i="4"/>
  <c r="B24" i="4"/>
  <c r="T81" i="4"/>
  <c r="S81" i="4"/>
  <c r="R81" i="4"/>
  <c r="Q81" i="4"/>
  <c r="M81" i="4"/>
  <c r="L81" i="4"/>
  <c r="K81" i="4"/>
  <c r="H81" i="4"/>
  <c r="F81" i="4"/>
  <c r="E81" i="4"/>
  <c r="D81" i="4"/>
  <c r="C81" i="4"/>
  <c r="B81" i="4"/>
  <c r="T22" i="4"/>
  <c r="S22" i="4"/>
  <c r="R22" i="4"/>
  <c r="Q22" i="4"/>
  <c r="M22" i="4"/>
  <c r="L22" i="4"/>
  <c r="K22" i="4"/>
  <c r="H22" i="4"/>
  <c r="F22" i="4"/>
  <c r="E22" i="4"/>
  <c r="D22" i="4"/>
  <c r="C22" i="4"/>
  <c r="B22" i="4"/>
  <c r="T21" i="4"/>
  <c r="S21" i="4"/>
  <c r="R21" i="4"/>
  <c r="Q21" i="4"/>
  <c r="M21" i="4"/>
  <c r="L21" i="4"/>
  <c r="K21" i="4"/>
  <c r="H21" i="4"/>
  <c r="F21" i="4"/>
  <c r="E21" i="4"/>
  <c r="D21" i="4"/>
  <c r="C21" i="4"/>
  <c r="B21" i="4"/>
  <c r="T20" i="4"/>
  <c r="S20" i="4"/>
  <c r="R20" i="4"/>
  <c r="Q20" i="4"/>
  <c r="M20" i="4"/>
  <c r="L20" i="4"/>
  <c r="K20" i="4"/>
  <c r="H20" i="4"/>
  <c r="F20" i="4"/>
  <c r="E20" i="4"/>
  <c r="D20" i="4"/>
  <c r="C20" i="4"/>
  <c r="B20" i="4"/>
  <c r="T19" i="4"/>
  <c r="S19" i="4"/>
  <c r="R19" i="4"/>
  <c r="Q19" i="4"/>
  <c r="M19" i="4"/>
  <c r="L19" i="4"/>
  <c r="K19" i="4"/>
  <c r="H19" i="4"/>
  <c r="F19" i="4"/>
  <c r="E19" i="4"/>
  <c r="D19" i="4"/>
  <c r="C19" i="4"/>
  <c r="B19" i="4"/>
  <c r="T18" i="4"/>
  <c r="S18" i="4"/>
  <c r="R18" i="4"/>
  <c r="Q18" i="4"/>
  <c r="M18" i="4"/>
  <c r="L18" i="4"/>
  <c r="K18" i="4"/>
  <c r="H18" i="4"/>
  <c r="F18" i="4"/>
  <c r="E18" i="4"/>
  <c r="O18" i="4" s="1"/>
  <c r="J18" i="4" s="1"/>
  <c r="D18" i="4"/>
  <c r="C18" i="4"/>
  <c r="B18" i="4"/>
  <c r="F11" i="4"/>
  <c r="N107" i="3"/>
  <c r="K107" i="3"/>
  <c r="L107" i="3" s="1"/>
  <c r="N106" i="3"/>
  <c r="K106" i="3"/>
  <c r="L106" i="3" s="1"/>
  <c r="N105" i="3"/>
  <c r="K105" i="3"/>
  <c r="L105" i="3" s="1"/>
  <c r="N104" i="3"/>
  <c r="K104" i="3"/>
  <c r="L104" i="3" s="1"/>
  <c r="N103" i="3"/>
  <c r="K103" i="3"/>
  <c r="L103" i="3" s="1"/>
  <c r="N102" i="3"/>
  <c r="K102" i="3"/>
  <c r="L102" i="3" s="1"/>
  <c r="N101" i="3"/>
  <c r="K101" i="3"/>
  <c r="L101" i="3" s="1"/>
  <c r="N100" i="3"/>
  <c r="K100" i="3"/>
  <c r="L100" i="3" s="1"/>
  <c r="N99" i="3"/>
  <c r="K99" i="3"/>
  <c r="L99" i="3" s="1"/>
  <c r="N98" i="3"/>
  <c r="K98" i="3"/>
  <c r="L98" i="3" s="1"/>
  <c r="N97" i="3"/>
  <c r="K97" i="3"/>
  <c r="L97" i="3" s="1"/>
  <c r="N96" i="3"/>
  <c r="K96" i="3"/>
  <c r="L96" i="3" s="1"/>
  <c r="N95" i="3"/>
  <c r="K95" i="3"/>
  <c r="L95" i="3" s="1"/>
  <c r="N94" i="3"/>
  <c r="K94" i="3"/>
  <c r="L94" i="3" s="1"/>
  <c r="N93" i="3"/>
  <c r="K93" i="3"/>
  <c r="L93" i="3" s="1"/>
  <c r="N92" i="3"/>
  <c r="K92" i="3"/>
  <c r="L92" i="3" s="1"/>
  <c r="N91" i="3"/>
  <c r="K91" i="3"/>
  <c r="L91" i="3" s="1"/>
  <c r="N90" i="3"/>
  <c r="K90" i="3"/>
  <c r="L90" i="3" s="1"/>
  <c r="L89" i="3"/>
  <c r="N88" i="3"/>
  <c r="K88" i="3"/>
  <c r="L88" i="3" s="1"/>
  <c r="N87" i="3"/>
  <c r="K87" i="3"/>
  <c r="L87" i="3" s="1"/>
  <c r="N86" i="3"/>
  <c r="K86" i="3"/>
  <c r="L86" i="3" s="1"/>
  <c r="N85" i="3"/>
  <c r="K85" i="3"/>
  <c r="L85" i="3" s="1"/>
  <c r="N84" i="3"/>
  <c r="K84" i="3"/>
  <c r="L84" i="3" s="1"/>
  <c r="N83" i="3"/>
  <c r="K83" i="3"/>
  <c r="L83" i="3" s="1"/>
  <c r="N82" i="3"/>
  <c r="K82" i="3"/>
  <c r="L82" i="3" s="1"/>
  <c r="N81" i="3"/>
  <c r="K81" i="3"/>
  <c r="L81" i="3" s="1"/>
  <c r="N80" i="3"/>
  <c r="K80" i="3"/>
  <c r="L80" i="3" s="1"/>
  <c r="N79" i="3"/>
  <c r="K79" i="3"/>
  <c r="L79" i="3" s="1"/>
  <c r="N78" i="3"/>
  <c r="K78" i="3"/>
  <c r="L78" i="3" s="1"/>
  <c r="N77" i="3"/>
  <c r="K77" i="3"/>
  <c r="L77" i="3" s="1"/>
  <c r="N76" i="3"/>
  <c r="K76" i="3"/>
  <c r="L76" i="3" s="1"/>
  <c r="N75" i="3"/>
  <c r="K75" i="3"/>
  <c r="L75" i="3" s="1"/>
  <c r="N74" i="3"/>
  <c r="K74" i="3"/>
  <c r="L74" i="3" s="1"/>
  <c r="N73" i="3"/>
  <c r="K73" i="3"/>
  <c r="L73" i="3" s="1"/>
  <c r="N72" i="3"/>
  <c r="K72" i="3"/>
  <c r="L72" i="3" s="1"/>
  <c r="N71" i="3"/>
  <c r="K71" i="3"/>
  <c r="L71" i="3" s="1"/>
  <c r="N70" i="3"/>
  <c r="K70" i="3"/>
  <c r="L70" i="3" s="1"/>
  <c r="N69" i="3"/>
  <c r="K69" i="3"/>
  <c r="L69" i="3" s="1"/>
  <c r="N68" i="3"/>
  <c r="K68" i="3"/>
  <c r="L68" i="3" s="1"/>
  <c r="N67" i="3"/>
  <c r="K67" i="3"/>
  <c r="L67" i="3" s="1"/>
  <c r="N66" i="3"/>
  <c r="K66" i="3"/>
  <c r="L66" i="3" s="1"/>
  <c r="N65" i="3"/>
  <c r="K65" i="3"/>
  <c r="L65" i="3" s="1"/>
  <c r="N64" i="3"/>
  <c r="K64" i="3"/>
  <c r="L64" i="3" s="1"/>
  <c r="N63" i="3"/>
  <c r="K63" i="3"/>
  <c r="L63" i="3" s="1"/>
  <c r="N62" i="3"/>
  <c r="K62" i="3"/>
  <c r="L62" i="3" s="1"/>
  <c r="N61" i="3"/>
  <c r="K61" i="3"/>
  <c r="L61" i="3" s="1"/>
  <c r="N60" i="3"/>
  <c r="K60" i="3"/>
  <c r="L60" i="3" s="1"/>
  <c r="N59" i="3"/>
  <c r="K59" i="3"/>
  <c r="L59" i="3" s="1"/>
  <c r="N58" i="3"/>
  <c r="K58" i="3"/>
  <c r="L58" i="3" s="1"/>
  <c r="N57" i="3"/>
  <c r="K57" i="3"/>
  <c r="L57" i="3" s="1"/>
  <c r="N56" i="3"/>
  <c r="K56" i="3"/>
  <c r="L56" i="3" s="1"/>
  <c r="N55" i="3"/>
  <c r="K55" i="3"/>
  <c r="L55" i="3" s="1"/>
  <c r="N54" i="3"/>
  <c r="K54" i="3"/>
  <c r="L54" i="3" s="1"/>
  <c r="N53" i="3"/>
  <c r="K53" i="3"/>
  <c r="L53" i="3" s="1"/>
  <c r="N52" i="3"/>
  <c r="K52" i="3"/>
  <c r="L52" i="3" s="1"/>
  <c r="N51" i="3"/>
  <c r="K51" i="3"/>
  <c r="L51" i="3" s="1"/>
  <c r="N50" i="3"/>
  <c r="K50" i="3"/>
  <c r="L50" i="3" s="1"/>
  <c r="N49" i="3"/>
  <c r="K49" i="3"/>
  <c r="L49" i="3" s="1"/>
  <c r="N48" i="3"/>
  <c r="K48" i="3"/>
  <c r="L48" i="3" s="1"/>
  <c r="N47" i="3"/>
  <c r="K47" i="3"/>
  <c r="L47" i="3" s="1"/>
  <c r="N46" i="3"/>
  <c r="K46" i="3"/>
  <c r="L46" i="3" s="1"/>
  <c r="N45" i="3"/>
  <c r="K45" i="3"/>
  <c r="L45" i="3" s="1"/>
  <c r="N44" i="3"/>
  <c r="K44" i="3"/>
  <c r="L44" i="3" s="1"/>
  <c r="N43" i="3"/>
  <c r="K43" i="3"/>
  <c r="L43" i="3" s="1"/>
  <c r="N42" i="3"/>
  <c r="K42" i="3"/>
  <c r="L42" i="3" s="1"/>
  <c r="N41" i="3"/>
  <c r="K41" i="3"/>
  <c r="L41" i="3" s="1"/>
  <c r="N40" i="3"/>
  <c r="K40" i="3"/>
  <c r="L40" i="3" s="1"/>
  <c r="N39" i="3"/>
  <c r="K39" i="3"/>
  <c r="L39" i="3" s="1"/>
  <c r="N38" i="3"/>
  <c r="K38" i="3"/>
  <c r="L38" i="3" s="1"/>
  <c r="N37" i="3"/>
  <c r="K37" i="3"/>
  <c r="L37" i="3" s="1"/>
  <c r="N36" i="3"/>
  <c r="K36" i="3"/>
  <c r="L36" i="3" s="1"/>
  <c r="N35" i="3"/>
  <c r="K35" i="3"/>
  <c r="L35" i="3" s="1"/>
  <c r="N34" i="3"/>
  <c r="K34" i="3"/>
  <c r="L34" i="3" s="1"/>
  <c r="N33" i="3"/>
  <c r="K33" i="3"/>
  <c r="L33" i="3" s="1"/>
  <c r="N32" i="3"/>
  <c r="K32" i="3"/>
  <c r="L32" i="3" s="1"/>
  <c r="N31" i="3"/>
  <c r="K31" i="3"/>
  <c r="L31" i="3" s="1"/>
  <c r="N30" i="3"/>
  <c r="K30" i="3"/>
  <c r="L30" i="3" s="1"/>
  <c r="N29" i="3"/>
  <c r="K29" i="3"/>
  <c r="L29" i="3" s="1"/>
  <c r="N28" i="3"/>
  <c r="K28" i="3"/>
  <c r="L28" i="3" s="1"/>
  <c r="N27" i="3"/>
  <c r="K27" i="3"/>
  <c r="L27" i="3" s="1"/>
  <c r="N26" i="3"/>
  <c r="K26" i="3"/>
  <c r="L26" i="3" s="1"/>
  <c r="N25" i="3"/>
  <c r="K25" i="3"/>
  <c r="L25" i="3" s="1"/>
  <c r="N24" i="3"/>
  <c r="K24" i="3"/>
  <c r="L24" i="3" s="1"/>
  <c r="N23" i="3"/>
  <c r="K23" i="3"/>
  <c r="L23" i="3" s="1"/>
  <c r="N22" i="3"/>
  <c r="K22" i="3"/>
  <c r="L22" i="3" s="1"/>
  <c r="N21" i="3"/>
  <c r="K21" i="3"/>
  <c r="L21" i="3" s="1"/>
  <c r="N20" i="3"/>
  <c r="K20" i="3"/>
  <c r="L20" i="3" s="1"/>
  <c r="N19" i="3"/>
  <c r="K19" i="3"/>
  <c r="L19" i="3" s="1"/>
  <c r="N18" i="3"/>
  <c r="K18" i="3"/>
  <c r="L18" i="3" s="1"/>
  <c r="N17" i="3"/>
  <c r="K17" i="3"/>
  <c r="L17" i="3" s="1"/>
  <c r="N16" i="3"/>
  <c r="K16" i="3"/>
  <c r="L16" i="3" s="1"/>
  <c r="N15" i="3"/>
  <c r="K15" i="3"/>
  <c r="L15" i="3" s="1"/>
  <c r="N14" i="3"/>
  <c r="K14" i="3"/>
  <c r="L14" i="3" s="1"/>
  <c r="N13" i="3"/>
  <c r="K13" i="3"/>
  <c r="L13" i="3" s="1"/>
  <c r="N12" i="3"/>
  <c r="K12" i="3"/>
  <c r="L12" i="3" s="1"/>
  <c r="N11" i="3"/>
  <c r="K11" i="3"/>
  <c r="L11" i="3" s="1"/>
  <c r="N10" i="3"/>
  <c r="K10" i="3"/>
  <c r="L10" i="3" s="1"/>
  <c r="N9" i="3"/>
  <c r="K9" i="3"/>
  <c r="L9" i="3" s="1"/>
  <c r="L8" i="3"/>
  <c r="N7" i="3"/>
  <c r="K7" i="3"/>
  <c r="L7" i="3" s="1"/>
  <c r="N6" i="3"/>
  <c r="K6" i="3"/>
  <c r="L6" i="3" s="1"/>
  <c r="N5" i="3"/>
  <c r="K5" i="3"/>
  <c r="L5" i="3" s="1"/>
  <c r="N4" i="3"/>
  <c r="K4" i="3"/>
  <c r="L4" i="3" s="1"/>
  <c r="N3" i="3"/>
  <c r="K3" i="3"/>
  <c r="L3" i="3" s="1"/>
  <c r="N2" i="3"/>
  <c r="K2" i="3"/>
  <c r="L2" i="3" s="1"/>
  <c r="S111" i="1"/>
  <c r="S110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  <c r="S2" i="1"/>
  <c r="G21" i="4" l="1"/>
  <c r="G65" i="4"/>
  <c r="G66" i="4"/>
  <c r="I66" i="4" s="1"/>
  <c r="G26" i="4"/>
  <c r="I26" i="4" s="1"/>
  <c r="T93" i="4"/>
  <c r="G53" i="4"/>
  <c r="I53" i="4" s="1"/>
  <c r="G81" i="4"/>
  <c r="I81" i="4" s="1"/>
  <c r="G61" i="4"/>
  <c r="I61" i="4" s="1"/>
  <c r="G22" i="4"/>
  <c r="I22" i="4" s="1"/>
  <c r="D31" i="7"/>
  <c r="G25" i="4"/>
  <c r="I25" i="4" s="1"/>
  <c r="G33" i="4"/>
  <c r="I33" i="4" s="1"/>
  <c r="G23" i="4"/>
  <c r="I23" i="4" s="1"/>
  <c r="N88" i="4"/>
  <c r="O88" i="4" s="1"/>
  <c r="J88" i="4" s="1"/>
  <c r="I41" i="4"/>
  <c r="I65" i="4"/>
  <c r="G49" i="4"/>
  <c r="I49" i="4" s="1"/>
  <c r="G57" i="4"/>
  <c r="I57" i="4" s="1"/>
  <c r="I38" i="4"/>
  <c r="G89" i="4"/>
  <c r="I21" i="4"/>
  <c r="G29" i="4"/>
  <c r="I29" i="4" s="1"/>
  <c r="G37" i="4"/>
  <c r="I37" i="4" s="1"/>
  <c r="G74" i="4"/>
  <c r="I74" i="4" s="1"/>
  <c r="G91" i="4"/>
  <c r="I91" i="4" s="1"/>
  <c r="G75" i="4"/>
  <c r="I75" i="4" s="1"/>
  <c r="N70" i="4"/>
  <c r="O70" i="4" s="1"/>
  <c r="J70" i="4" s="1"/>
  <c r="N66" i="4"/>
  <c r="O66" i="4" s="1"/>
  <c r="J66" i="4" s="1"/>
  <c r="N79" i="4"/>
  <c r="N43" i="4"/>
  <c r="N67" i="4"/>
  <c r="G80" i="4"/>
  <c r="I80" i="4" s="1"/>
  <c r="N37" i="4"/>
  <c r="O37" i="4" s="1"/>
  <c r="J37" i="4" s="1"/>
  <c r="N41" i="4"/>
  <c r="N44" i="4"/>
  <c r="N68" i="4"/>
  <c r="N83" i="4"/>
  <c r="O83" i="4" s="1"/>
  <c r="J83" i="4" s="1"/>
  <c r="N108" i="3"/>
  <c r="G30" i="4"/>
  <c r="I30" i="4" s="1"/>
  <c r="O38" i="4"/>
  <c r="J38" i="4" s="1"/>
  <c r="N46" i="4"/>
  <c r="O46" i="4" s="1"/>
  <c r="J46" i="4" s="1"/>
  <c r="N62" i="4"/>
  <c r="O62" i="4" s="1"/>
  <c r="J62" i="4" s="1"/>
  <c r="G64" i="4"/>
  <c r="I64" i="4" s="1"/>
  <c r="N34" i="4"/>
  <c r="O34" i="4" s="1"/>
  <c r="J34" i="4" s="1"/>
  <c r="N53" i="4"/>
  <c r="O53" i="4" s="1"/>
  <c r="J53" i="4" s="1"/>
  <c r="N86" i="4"/>
  <c r="O86" i="4" s="1"/>
  <c r="J86" i="4" s="1"/>
  <c r="N33" i="4"/>
  <c r="O33" i="4" s="1"/>
  <c r="J33" i="4" s="1"/>
  <c r="N58" i="4"/>
  <c r="O58" i="4" s="1"/>
  <c r="J58" i="4" s="1"/>
  <c r="N35" i="4"/>
  <c r="O35" i="4" s="1"/>
  <c r="J35" i="4" s="1"/>
  <c r="N32" i="4"/>
  <c r="N80" i="4"/>
  <c r="O80" i="4" s="1"/>
  <c r="J80" i="4" s="1"/>
  <c r="N29" i="4"/>
  <c r="O29" i="4" s="1"/>
  <c r="J29" i="4" s="1"/>
  <c r="N40" i="4"/>
  <c r="O41" i="4"/>
  <c r="J41" i="4" s="1"/>
  <c r="N49" i="4"/>
  <c r="O49" i="4" s="1"/>
  <c r="J49" i="4" s="1"/>
  <c r="N52" i="4"/>
  <c r="N69" i="4"/>
  <c r="O69" i="4" s="1"/>
  <c r="J69" i="4" s="1"/>
  <c r="N45" i="4"/>
  <c r="O45" i="4" s="1"/>
  <c r="J45" i="4" s="1"/>
  <c r="N31" i="4"/>
  <c r="O31" i="4" s="1"/>
  <c r="J31" i="4" s="1"/>
  <c r="N61" i="4"/>
  <c r="O61" i="4" s="1"/>
  <c r="J61" i="4" s="1"/>
  <c r="N84" i="4"/>
  <c r="O84" i="4" s="1"/>
  <c r="J84" i="4" s="1"/>
  <c r="N21" i="4"/>
  <c r="O21" i="4" s="1"/>
  <c r="J21" i="4" s="1"/>
  <c r="N25" i="4"/>
  <c r="O25" i="4" s="1"/>
  <c r="J25" i="4" s="1"/>
  <c r="N28" i="4"/>
  <c r="O28" i="4" s="1"/>
  <c r="J28" i="4" s="1"/>
  <c r="N39" i="4"/>
  <c r="O39" i="4" s="1"/>
  <c r="J39" i="4" s="1"/>
  <c r="N51" i="4"/>
  <c r="N73" i="4"/>
  <c r="O73" i="4" s="1"/>
  <c r="J73" i="4" s="1"/>
  <c r="N76" i="4"/>
  <c r="O76" i="4" s="1"/>
  <c r="J76" i="4" s="1"/>
  <c r="N48" i="4"/>
  <c r="N57" i="4"/>
  <c r="O57" i="4" s="1"/>
  <c r="J57" i="4" s="1"/>
  <c r="N60" i="4"/>
  <c r="N85" i="4"/>
  <c r="O85" i="4" s="1"/>
  <c r="J85" i="4" s="1"/>
  <c r="N87" i="4"/>
  <c r="O87" i="4" s="1"/>
  <c r="J87" i="4" s="1"/>
  <c r="N82" i="4"/>
  <c r="O82" i="4" s="1"/>
  <c r="J82" i="4" s="1"/>
  <c r="N24" i="4"/>
  <c r="O24" i="4" s="1"/>
  <c r="J24" i="4" s="1"/>
  <c r="N74" i="4"/>
  <c r="O74" i="4" s="1"/>
  <c r="J74" i="4" s="1"/>
  <c r="N54" i="4"/>
  <c r="O54" i="4" s="1"/>
  <c r="J54" i="4" s="1"/>
  <c r="N91" i="4"/>
  <c r="O91" i="4" s="1"/>
  <c r="J91" i="4" s="1"/>
  <c r="N64" i="4"/>
  <c r="N72" i="4"/>
  <c r="O72" i="4" s="1"/>
  <c r="J72" i="4" s="1"/>
  <c r="N63" i="4"/>
  <c r="O63" i="4" s="1"/>
  <c r="J63" i="4" s="1"/>
  <c r="N55" i="4"/>
  <c r="O55" i="4" s="1"/>
  <c r="J55" i="4" s="1"/>
  <c r="N77" i="4"/>
  <c r="O77" i="4" s="1"/>
  <c r="J77" i="4" s="1"/>
  <c r="N38" i="4"/>
  <c r="N42" i="4"/>
  <c r="O43" i="4"/>
  <c r="J43" i="4" s="1"/>
  <c r="N47" i="4"/>
  <c r="O47" i="4" s="1"/>
  <c r="J47" i="4" s="1"/>
  <c r="N59" i="4"/>
  <c r="O59" i="4" s="1"/>
  <c r="J59" i="4" s="1"/>
  <c r="N78" i="4"/>
  <c r="N75" i="4"/>
  <c r="O75" i="4" s="1"/>
  <c r="J75" i="4" s="1"/>
  <c r="N50" i="4"/>
  <c r="N56" i="4"/>
  <c r="O56" i="4" s="1"/>
  <c r="J56" i="4" s="1"/>
  <c r="N71" i="4"/>
  <c r="O71" i="4" s="1"/>
  <c r="J71" i="4" s="1"/>
  <c r="N23" i="4"/>
  <c r="O23" i="4" s="1"/>
  <c r="J23" i="4" s="1"/>
  <c r="N65" i="4"/>
  <c r="N89" i="4"/>
  <c r="O89" i="4" s="1"/>
  <c r="J89" i="4" s="1"/>
  <c r="N90" i="4"/>
  <c r="O90" i="4" s="1"/>
  <c r="J90" i="4" s="1"/>
  <c r="N30" i="4"/>
  <c r="N36" i="4"/>
  <c r="O36" i="4" s="1"/>
  <c r="J36" i="4" s="1"/>
  <c r="G18" i="4"/>
  <c r="I18" i="4" s="1"/>
  <c r="G19" i="4"/>
  <c r="I19" i="4" s="1"/>
  <c r="N81" i="4"/>
  <c r="O81" i="4" s="1"/>
  <c r="J81" i="4" s="1"/>
  <c r="N20" i="4"/>
  <c r="O20" i="4" s="1"/>
  <c r="J20" i="4" s="1"/>
  <c r="N22" i="4"/>
  <c r="O22" i="4" s="1"/>
  <c r="J22" i="4" s="1"/>
  <c r="N18" i="4"/>
  <c r="N19" i="4"/>
  <c r="O19" i="4" s="1"/>
  <c r="J19" i="4" s="1"/>
  <c r="N27" i="4"/>
  <c r="O27" i="4" s="1"/>
  <c r="J27" i="4" s="1"/>
  <c r="G20" i="4"/>
  <c r="I20" i="4" s="1"/>
  <c r="N26" i="4"/>
  <c r="O26" i="4" s="1"/>
  <c r="J26" i="4" s="1"/>
  <c r="G27" i="4"/>
  <c r="I27" i="4" s="1"/>
  <c r="G28" i="4"/>
  <c r="I28" i="4" s="1"/>
  <c r="G36" i="4"/>
  <c r="I36" i="4" s="1"/>
  <c r="G44" i="4"/>
  <c r="I44" i="4" s="1"/>
  <c r="G52" i="4"/>
  <c r="I52" i="4" s="1"/>
  <c r="G60" i="4"/>
  <c r="I60" i="4" s="1"/>
  <c r="G76" i="4"/>
  <c r="I76" i="4" s="1"/>
  <c r="G45" i="4"/>
  <c r="I45" i="4" s="1"/>
  <c r="D2" i="7"/>
  <c r="B5" i="7"/>
  <c r="F7" i="7"/>
  <c r="D10" i="7"/>
  <c r="B13" i="7"/>
  <c r="F15" i="7"/>
  <c r="D18" i="7"/>
  <c r="B21" i="7"/>
  <c r="F23" i="7"/>
  <c r="D26" i="7"/>
  <c r="B29" i="7"/>
  <c r="F31" i="7"/>
  <c r="G88" i="4"/>
  <c r="I88" i="4" s="1"/>
  <c r="F2" i="7"/>
  <c r="D5" i="7"/>
  <c r="B8" i="7"/>
  <c r="F10" i="7"/>
  <c r="D13" i="7"/>
  <c r="B16" i="7"/>
  <c r="F18" i="7"/>
  <c r="D21" i="7"/>
  <c r="B24" i="7"/>
  <c r="F26" i="7"/>
  <c r="D29" i="7"/>
  <c r="B32" i="7"/>
  <c r="G70" i="4"/>
  <c r="I70" i="4" s="1"/>
  <c r="G35" i="4"/>
  <c r="I35" i="4" s="1"/>
  <c r="Q74" i="4"/>
  <c r="B3" i="7"/>
  <c r="F5" i="7"/>
  <c r="D8" i="7"/>
  <c r="B11" i="7"/>
  <c r="F13" i="7"/>
  <c r="D16" i="7"/>
  <c r="B19" i="7"/>
  <c r="F21" i="7"/>
  <c r="D24" i="7"/>
  <c r="B27" i="7"/>
  <c r="F29" i="7"/>
  <c r="D32" i="7"/>
  <c r="G34" i="4"/>
  <c r="I34" i="4" s="1"/>
  <c r="G46" i="4"/>
  <c r="I46" i="4" s="1"/>
  <c r="G58" i="4"/>
  <c r="I58" i="4" s="1"/>
  <c r="G73" i="4"/>
  <c r="I73" i="4" s="1"/>
  <c r="G78" i="4"/>
  <c r="D3" i="7"/>
  <c r="B6" i="7"/>
  <c r="F8" i="7"/>
  <c r="D11" i="7"/>
  <c r="B14" i="7"/>
  <c r="F16" i="7"/>
  <c r="D19" i="7"/>
  <c r="B22" i="7"/>
  <c r="F24" i="7"/>
  <c r="D27" i="7"/>
  <c r="B30" i="7"/>
  <c r="F32" i="7"/>
  <c r="G42" i="4"/>
  <c r="I42" i="4" s="1"/>
  <c r="G50" i="4"/>
  <c r="I50" i="4" s="1"/>
  <c r="G54" i="4"/>
  <c r="I54" i="4" s="1"/>
  <c r="G62" i="4"/>
  <c r="I62" i="4" s="1"/>
  <c r="B1" i="7"/>
  <c r="F3" i="7"/>
  <c r="D6" i="7"/>
  <c r="B9" i="7"/>
  <c r="F11" i="7"/>
  <c r="D14" i="7"/>
  <c r="B17" i="7"/>
  <c r="F19" i="7"/>
  <c r="D22" i="7"/>
  <c r="B25" i="7"/>
  <c r="F27" i="7"/>
  <c r="D30" i="7"/>
  <c r="G77" i="4"/>
  <c r="I77" i="4" s="1"/>
  <c r="G55" i="4"/>
  <c r="I55" i="4" s="1"/>
  <c r="G47" i="4"/>
  <c r="I47" i="4" s="1"/>
  <c r="G69" i="4"/>
  <c r="I69" i="4" s="1"/>
  <c r="G85" i="4"/>
  <c r="I85" i="4" s="1"/>
  <c r="G71" i="4"/>
  <c r="I71" i="4" s="1"/>
  <c r="G79" i="4"/>
  <c r="G83" i="4"/>
  <c r="G87" i="4"/>
  <c r="I87" i="4" s="1"/>
  <c r="G82" i="4"/>
  <c r="I82" i="4" s="1"/>
  <c r="D1" i="7"/>
  <c r="B4" i="7"/>
  <c r="F6" i="7"/>
  <c r="D9" i="7"/>
  <c r="B12" i="7"/>
  <c r="F14" i="7"/>
  <c r="D17" i="7"/>
  <c r="B20" i="7"/>
  <c r="F22" i="7"/>
  <c r="D25" i="7"/>
  <c r="B28" i="7"/>
  <c r="F30" i="7"/>
  <c r="G39" i="4"/>
  <c r="I39" i="4" s="1"/>
  <c r="G43" i="4"/>
  <c r="I43" i="4" s="1"/>
  <c r="G51" i="4"/>
  <c r="I51" i="4" s="1"/>
  <c r="G59" i="4"/>
  <c r="I59" i="4" s="1"/>
  <c r="G67" i="4"/>
  <c r="I67" i="4" s="1"/>
  <c r="G63" i="4"/>
  <c r="I63" i="4" s="1"/>
  <c r="N92" i="4"/>
  <c r="O92" i="4" s="1"/>
  <c r="J92" i="4" s="1"/>
  <c r="F1" i="7"/>
  <c r="D4" i="7"/>
  <c r="B7" i="7"/>
  <c r="F9" i="7"/>
  <c r="D12" i="7"/>
  <c r="B15" i="7"/>
  <c r="F17" i="7"/>
  <c r="D20" i="7"/>
  <c r="B23" i="7"/>
  <c r="F25" i="7"/>
  <c r="D28" i="7"/>
  <c r="B31" i="7"/>
  <c r="G24" i="4"/>
  <c r="I24" i="4" s="1"/>
  <c r="G32" i="4"/>
  <c r="I32" i="4" s="1"/>
  <c r="G40" i="4"/>
  <c r="I40" i="4" s="1"/>
  <c r="G48" i="4"/>
  <c r="I48" i="4" s="1"/>
  <c r="G56" i="4"/>
  <c r="I56" i="4" s="1"/>
  <c r="G86" i="4"/>
  <c r="I86" i="4" s="1"/>
  <c r="G68" i="4"/>
  <c r="I68" i="4" s="1"/>
  <c r="G72" i="4"/>
  <c r="I72" i="4" s="1"/>
  <c r="G84" i="4"/>
  <c r="G31" i="4"/>
  <c r="I31" i="4" s="1"/>
  <c r="G92" i="4"/>
  <c r="B2" i="7"/>
  <c r="F4" i="7"/>
  <c r="D7" i="7"/>
  <c r="B10" i="7"/>
  <c r="F12" i="7"/>
  <c r="D15" i="7"/>
  <c r="B18" i="7"/>
  <c r="F20" i="7"/>
  <c r="D23" i="7"/>
  <c r="B26" i="7"/>
  <c r="F28" i="7"/>
  <c r="O65" i="4" l="1"/>
  <c r="J65" i="4" s="1"/>
  <c r="I93" i="4"/>
</calcChain>
</file>

<file path=xl/sharedStrings.xml><?xml version="1.0" encoding="utf-8"?>
<sst xmlns="http://schemas.openxmlformats.org/spreadsheetml/2006/main" count="3825" uniqueCount="1380">
  <si>
    <t>Part_ID</t>
  </si>
  <si>
    <t>Category</t>
  </si>
  <si>
    <t>Description</t>
  </si>
  <si>
    <t>Value_Rating</t>
  </si>
  <si>
    <t>Package_Footprint</t>
  </si>
  <si>
    <t>Manufacturer</t>
  </si>
  <si>
    <t>MPN</t>
  </si>
  <si>
    <t>Found_In</t>
  </si>
  <si>
    <t>KiCad_References</t>
  </si>
  <si>
    <t>Source</t>
  </si>
  <si>
    <t>Review_Status</t>
  </si>
  <si>
    <t>Notes</t>
  </si>
  <si>
    <t>Duplicate_Check_Key</t>
  </si>
  <si>
    <t>Kit_ID</t>
  </si>
  <si>
    <t>Kit_Name</t>
  </si>
  <si>
    <t>Revision</t>
  </si>
  <si>
    <t>Status</t>
  </si>
  <si>
    <t>KiCad_Schematic</t>
  </si>
  <si>
    <t>KiCad_PCB</t>
  </si>
  <si>
    <t>Kit_Revision</t>
  </si>
  <si>
    <t>Position</t>
  </si>
  <si>
    <t>RefDes</t>
  </si>
  <si>
    <t>Part_Number</t>
  </si>
  <si>
    <t>Quantity</t>
  </si>
  <si>
    <t>Build_Status</t>
  </si>
  <si>
    <t>Source_Type</t>
  </si>
  <si>
    <t>Value</t>
  </si>
  <si>
    <t>Footprint</t>
  </si>
  <si>
    <t>Unit_Price_EUR</t>
  </si>
  <si>
    <t>Position_Price_EUR</t>
  </si>
  <si>
    <t>Freigegebene_Alternative</t>
  </si>
  <si>
    <t>Bestellliste für EnvNode-Bausätze</t>
  </si>
  <si>
    <t>Bausatz</t>
  </si>
  <si>
    <t>Stückzahl</t>
  </si>
  <si>
    <t>Option</t>
  </si>
  <si>
    <t>Auswahl</t>
  </si>
  <si>
    <t>ENK-00001</t>
  </si>
  <si>
    <t>EnvNode Mini Bausatz</t>
  </si>
  <si>
    <t>Optional bestellen</t>
  </si>
  <si>
    <t>Nein</t>
  </si>
  <si>
    <t>ENK-00002</t>
  </si>
  <si>
    <t>DuoRelay FullSize Bausatz</t>
  </si>
  <si>
    <t>DNP bestellen</t>
  </si>
  <si>
    <t>ENK-00003</t>
  </si>
  <si>
    <t>AnalogHydroPressure FullSize Bausatz</t>
  </si>
  <si>
    <t>ENK-00004</t>
  </si>
  <si>
    <t>RainDetector (Legacy)</t>
  </si>
  <si>
    <t>Hinweis</t>
  </si>
  <si>
    <t>ENK-00005</t>
  </si>
  <si>
    <t>RainDetectorHead</t>
  </si>
  <si>
    <t>ENK-00006</t>
  </si>
  <si>
    <t>RainDetectorController</t>
  </si>
  <si>
    <t>Letzte Reichelt-Bestellung</t>
  </si>
  <si>
    <t>07.09.2026 · I-613255 · EnvNode 20260907.1</t>
  </si>
  <si>
    <t>ENK-00007</t>
  </si>
  <si>
    <t>ORing Power gesamt</t>
  </si>
  <si>
    <t>ORing-Reserve</t>
  </si>
  <si>
    <t>ENK-00008</t>
  </si>
  <si>
    <t>Weatherstation Bausatz</t>
  </si>
  <si>
    <t>Supplier</t>
  </si>
  <si>
    <t>Supplier_PN</t>
  </si>
  <si>
    <t>Bedarf</t>
  </si>
  <si>
    <t>Packaging_Unit</t>
  </si>
  <si>
    <t>Bedarf_gerundet</t>
  </si>
  <si>
    <t>Bedarfswert_EUR</t>
  </si>
  <si>
    <t>Import_Status</t>
  </si>
  <si>
    <t>URL</t>
  </si>
  <si>
    <t>Bestand</t>
  </si>
  <si>
    <t>Bestellt</t>
  </si>
  <si>
    <t>Deckung</t>
  </si>
  <si>
    <t>Bestellvorschlag</t>
  </si>
  <si>
    <t>Bestellmenge</t>
  </si>
  <si>
    <t>Bestellwert</t>
  </si>
  <si>
    <t>Alternativbestand</t>
  </si>
  <si>
    <t>Alternative_bestellt</t>
  </si>
  <si>
    <t>Bestand und offene Bestellungen</t>
  </si>
  <si>
    <t>Etikettendruck Avery 6173</t>
  </si>
  <si>
    <t>Gelb markierte Felder werden manuell gepflegt: Lieferant, Bestand, Bestellt, voraussichtlicher Termin und Etikett. Technische Angaben stammen aus Parts; Bestelldaten aus Part_Suppliers.</t>
  </si>
  <si>
    <t>Startetikett</t>
  </si>
  <si>
    <t>Startzeile</t>
  </si>
  <si>
    <t>Voraussichtlicher_Termin</t>
  </si>
  <si>
    <t>Etikett</t>
  </si>
  <si>
    <t>Startspalte</t>
  </si>
  <si>
    <t>_Druckfolge</t>
  </si>
  <si>
    <t>ENP-00001</t>
  </si>
  <si>
    <t>nicht drucken</t>
  </si>
  <si>
    <t>Raster</t>
  </si>
  <si>
    <t>3 x 8 (24)</t>
  </si>
  <si>
    <t>ENP-00002</t>
  </si>
  <si>
    <t>Etikett = drucken</t>
  </si>
  <si>
    <t>ENP-00003</t>
  </si>
  <si>
    <t>Drucken</t>
  </si>
  <si>
    <t>Blatt Etiketten_Druck</t>
  </si>
  <si>
    <t>ENP-00004</t>
  </si>
  <si>
    <t>ENP-00005</t>
  </si>
  <si>
    <t>ENP-00006</t>
  </si>
  <si>
    <t>ab Lager</t>
  </si>
  <si>
    <t>ENP-00007</t>
  </si>
  <si>
    <t>ENP-00008</t>
  </si>
  <si>
    <t>ENP-00009</t>
  </si>
  <si>
    <t>ENP-00010</t>
  </si>
  <si>
    <t>ENP-00011</t>
  </si>
  <si>
    <t>ENP-00012</t>
  </si>
  <si>
    <t>ENP-00013</t>
  </si>
  <si>
    <t>ENP-00014</t>
  </si>
  <si>
    <t>ENP-00015</t>
  </si>
  <si>
    <t>28.08.2026</t>
  </si>
  <si>
    <t>ENP-00016</t>
  </si>
  <si>
    <t>ENP-00017</t>
  </si>
  <si>
    <t>ENP-00018</t>
  </si>
  <si>
    <t>ENP-00019</t>
  </si>
  <si>
    <t>ENP-00020</t>
  </si>
  <si>
    <t>ENP-00021</t>
  </si>
  <si>
    <t>ENP-00022</t>
  </si>
  <si>
    <t>ENP-00023</t>
  </si>
  <si>
    <t>ENP-00024</t>
  </si>
  <si>
    <t>ENP-00025</t>
  </si>
  <si>
    <t>ENP-00026</t>
  </si>
  <si>
    <t>ENP-00027</t>
  </si>
  <si>
    <t>ENP-00028</t>
  </si>
  <si>
    <t>ENP-00029</t>
  </si>
  <si>
    <t>ENP-00030</t>
  </si>
  <si>
    <t>ENP-00031</t>
  </si>
  <si>
    <t>ENP-00032</t>
  </si>
  <si>
    <t>ENP-00033</t>
  </si>
  <si>
    <t>ENP-00034</t>
  </si>
  <si>
    <t>ENP-00035</t>
  </si>
  <si>
    <t>ENP-00036</t>
  </si>
  <si>
    <t>ENP-00037</t>
  </si>
  <si>
    <t>ENP-00038</t>
  </si>
  <si>
    <t>ENP-00039</t>
  </si>
  <si>
    <t>ENP-00040</t>
  </si>
  <si>
    <t>ENP-00041</t>
  </si>
  <si>
    <t>ENP-00042</t>
  </si>
  <si>
    <t>ENP-00043</t>
  </si>
  <si>
    <t>ENP-00044</t>
  </si>
  <si>
    <t>ENP-00045</t>
  </si>
  <si>
    <t>ENP-00046</t>
  </si>
  <si>
    <t>ENP-00047</t>
  </si>
  <si>
    <t>ENP-00048</t>
  </si>
  <si>
    <t>ENP-00049</t>
  </si>
  <si>
    <t>ENP-00050</t>
  </si>
  <si>
    <t>ENP-00051</t>
  </si>
  <si>
    <t>ENP-00052</t>
  </si>
  <si>
    <t>ENP-00053</t>
  </si>
  <si>
    <t>ENP-00054</t>
  </si>
  <si>
    <t>ENP-00055</t>
  </si>
  <si>
    <t>ENP-00056</t>
  </si>
  <si>
    <t>ENP-00057</t>
  </si>
  <si>
    <t>ENP-00058</t>
  </si>
  <si>
    <t>ENP-00059</t>
  </si>
  <si>
    <t>ENP-00060</t>
  </si>
  <si>
    <t>ENP-00061</t>
  </si>
  <si>
    <t>ENP-00062</t>
  </si>
  <si>
    <t>ENP-00063</t>
  </si>
  <si>
    <t>ENP-00064</t>
  </si>
  <si>
    <t>ENP-00065</t>
  </si>
  <si>
    <t>ENP-00066</t>
  </si>
  <si>
    <t>ENP-00067</t>
  </si>
  <si>
    <t>ENP-00068</t>
  </si>
  <si>
    <t>ENP-00069</t>
  </si>
  <si>
    <t>ENP-00070</t>
  </si>
  <si>
    <t>ENP-00071</t>
  </si>
  <si>
    <t>ENP-00072</t>
  </si>
  <si>
    <t>ENP-00073</t>
  </si>
  <si>
    <t>ENP-00074</t>
  </si>
  <si>
    <t>ENP-00075</t>
  </si>
  <si>
    <t>ENP-00076</t>
  </si>
  <si>
    <t>ENP-00077</t>
  </si>
  <si>
    <t>14.09.2026</t>
  </si>
  <si>
    <t>ENP-00078</t>
  </si>
  <si>
    <t>ENP-00079</t>
  </si>
  <si>
    <t>ENP-00080</t>
  </si>
  <si>
    <t>ENP-00081</t>
  </si>
  <si>
    <t>ENP-00082</t>
  </si>
  <si>
    <t>ENP-00083</t>
  </si>
  <si>
    <t>ENP-00084</t>
  </si>
  <si>
    <t>ENP-00085</t>
  </si>
  <si>
    <t>ENP-00086</t>
  </si>
  <si>
    <t>ENP-00087</t>
  </si>
  <si>
    <t>ENP-00088</t>
  </si>
  <si>
    <t>drucken</t>
  </si>
  <si>
    <t>ENP-00089</t>
  </si>
  <si>
    <t>ENP-00090</t>
  </si>
  <si>
    <t>ENP-00091</t>
  </si>
  <si>
    <t>ENP-00092</t>
  </si>
  <si>
    <t>ENP-00093</t>
  </si>
  <si>
    <t>ENP-00094</t>
  </si>
  <si>
    <t>ENP-00095</t>
  </si>
  <si>
    <t>ENP-00096</t>
  </si>
  <si>
    <t>ENP-00097</t>
  </si>
  <si>
    <t>ENP-00098</t>
  </si>
  <si>
    <t>ENP-00099</t>
  </si>
  <si>
    <t>ENP-00100</t>
  </si>
  <si>
    <t>ENP-00101</t>
  </si>
  <si>
    <t>ENP-00102</t>
  </si>
  <si>
    <t>ENP-00103</t>
  </si>
  <si>
    <t>ENP-00104</t>
  </si>
  <si>
    <t>ENP-00105</t>
  </si>
  <si>
    <t>ENP-00106</t>
  </si>
  <si>
    <t>ENP-00107</t>
  </si>
  <si>
    <t>ENP-00108</t>
  </si>
  <si>
    <t>ENP-00109</t>
  </si>
  <si>
    <t>ENP-00110</t>
  </si>
  <si>
    <t>ENP-00111</t>
  </si>
  <si>
    <t>ENP-00112</t>
  </si>
  <si>
    <t>ENP-00113</t>
  </si>
  <si>
    <t>ENP-00114</t>
  </si>
  <si>
    <t>ENP-00115</t>
  </si>
  <si>
    <t>ENP-00116</t>
  </si>
  <si>
    <t>ENP-00117</t>
  </si>
  <si>
    <t>ENP-00118</t>
  </si>
  <si>
    <t>ENP-00119</t>
  </si>
  <si>
    <t>ENP-00120</t>
  </si>
  <si>
    <t>ENP-00121</t>
  </si>
  <si>
    <t>ENP-00122</t>
  </si>
  <si>
    <t>Purchase_Unit</t>
  </si>
  <si>
    <t>Preferred</t>
  </si>
  <si>
    <t>Last_Checked</t>
  </si>
  <si>
    <t>Part_Supplier_Key</t>
  </si>
  <si>
    <t>Preferred_Key</t>
  </si>
  <si>
    <t>Active</t>
  </si>
  <si>
    <t>Conrad</t>
  </si>
  <si>
    <t>Ja</t>
  </si>
  <si>
    <t>DigiKey</t>
  </si>
  <si>
    <t>eBay</t>
  </si>
  <si>
    <t>JLCPCB</t>
  </si>
  <si>
    <t>Mouser</t>
  </si>
  <si>
    <t>Noch festlegen</t>
  </si>
  <si>
    <t>Lieferant noch zuordnen</t>
  </si>
  <si>
    <t>Reichelt</t>
  </si>
  <si>
    <t>RS</t>
  </si>
  <si>
    <t>TME</t>
  </si>
  <si>
    <t>Required_Part_ID</t>
  </si>
  <si>
    <t>Substitute_Part_ID</t>
  </si>
  <si>
    <t>Approval_Type</t>
  </si>
  <si>
    <t>Scope</t>
  </si>
  <si>
    <t>Approved</t>
  </si>
  <si>
    <t>Priority</t>
  </si>
  <si>
    <t>Substitute_Stock</t>
  </si>
  <si>
    <t>Substitute_Ordered</t>
  </si>
  <si>
    <t>Alternative_Label</t>
  </si>
  <si>
    <t>Alternative_Key</t>
  </si>
  <si>
    <t>gleichwertig</t>
  </si>
  <si>
    <t>Allgemein</t>
  </si>
  <si>
    <t>Footprint- und elektrisch kompatibel; Bauhöhe 8,4 statt 8,5 mm.</t>
  </si>
  <si>
    <t>Footprint- und elektrisch kompatibel; Bauhöhe 8,5 statt 8,4 mm.</t>
  </si>
  <si>
    <t>höherwertiger Ersatz</t>
  </si>
  <si>
    <t>1-%-Ausführung erfüllt die 5-%-Anforderung; Rückrichtung ist nicht freigegeben.</t>
  </si>
  <si>
    <t>Kabelsatz</t>
  </si>
  <si>
    <t>Set, SET JST-PH 4-polig 2.00mm vertikaler PCB-Stecker, Buchse THT</t>
  </si>
  <si>
    <t>JST</t>
  </si>
  <si>
    <t>EnvNode</t>
  </si>
  <si>
    <t>GPIO's</t>
  </si>
  <si>
    <t>BOM_Mainboard.xlsx</t>
  </si>
  <si>
    <t>OK</t>
  </si>
  <si>
    <t>GPIO-Anschlüsse; exakte Herstellerartikelnummer vor Bestellung gegen Footprint und Orientierung prüfen Set-Inhalt gegenüber dem separat aus KiCad abgeleiteten PCB-Header prüfen.</t>
  </si>
  <si>
    <t>SET, SET JST-PH 4-POLIG 2.00MM VERTIKALER PCB-STECKER, BUCHSE THT|</t>
  </si>
  <si>
    <t>Qwiic/JST-SH, 4-poliges Pigtail JST</t>
  </si>
  <si>
    <t>JST-SH/Qwiic, 4-polig</t>
  </si>
  <si>
    <t>I2CA0 1-3 I2C1 1-3</t>
  </si>
  <si>
    <t>Qwiic-Konvention: GND=schwarz, 3V3=rot, SDA=blau, SCL=gelb; Kabelbelegung vor Anschluss prüfen Pigtail ist ein Beschaffungsartikel und nicht der PCB-Steckverbinder.</t>
  </si>
  <si>
    <t>QWIIC/JST-SH, 4-POLIGES PIGTAIL JST|</t>
  </si>
  <si>
    <t>Steckverbinder</t>
  </si>
  <si>
    <t>PinSocket 1x4, 2.54 mm</t>
  </si>
  <si>
    <t>1x4, 2,54 mm</t>
  </si>
  <si>
    <t>PinSocket_1x04_P2.54mm_Vertical</t>
  </si>
  <si>
    <t>BKL</t>
  </si>
  <si>
    <t>EnvNode; RainDetector</t>
  </si>
  <si>
    <t>EnvNode I2C0_4,I2C1_4; RainDetector J3,J4</t>
  </si>
  <si>
    <t>Für interne Qwiic-Breakouts; Bauhöhe und Ausführung passend zur Mechanik wählen</t>
  </si>
  <si>
    <t>10120946</t>
  </si>
  <si>
    <t>PinSocket 1x20, 2.54mm, cut to 19 Pins</t>
  </si>
  <si>
    <t>1x20, 2,54 mm, trennbar</t>
  </si>
  <si>
    <t>fischer Elektronik</t>
  </si>
  <si>
    <t>BL1.20 G</t>
  </si>
  <si>
    <t>ESP32</t>
  </si>
  <si>
    <t>Für ESP32-DevKitC mit 38 Pins; alternativ eine geeignete 38-Pin-ESP32-Fassung verwenden</t>
  </si>
  <si>
    <t>Widerstand</t>
  </si>
  <si>
    <t>4.7 kOhm 1% SMD 1206</t>
  </si>
  <si>
    <t>4,7 kΩ, 1 %, 250 mW</t>
  </si>
  <si>
    <t>Resistor_SMD:R_1206_3216Metric_Pad1.30x1.75mm_HandSolder</t>
  </si>
  <si>
    <t>Vishay</t>
  </si>
  <si>
    <t>CRCW12064K70FKEA</t>
  </si>
  <si>
    <t>EnvNode; EnvNodeMini Rev 0.2; AnalogInput Rev 0.1; AnalogHydroPressure; Aktuell 29.09.2026: EnvNode Mini Bausatz Rev 0.8; EnvNode Weatherstation Bausatz Rev 0.2</t>
  </si>
  <si>
    <t>ENK-00001 R1,R2,R3,R4; ENK-00008 R1,R2,R3,R4</t>
  </si>
  <si>
    <t>I2C-Pull-ups für die beiden I2C-Busse</t>
  </si>
  <si>
    <t>Kondensator</t>
  </si>
  <si>
    <t>100 nF Keramik SMD</t>
  </si>
  <si>
    <t>100 nF, 10 %, X7R, 100 V</t>
  </si>
  <si>
    <t>Capacitor_SMD:C_1206_3216Metric_Pad1.33x1.80mm_HandSolder</t>
  </si>
  <si>
    <t>KEMET</t>
  </si>
  <si>
    <t>C1206F104K1RACTU</t>
  </si>
  <si>
    <t>EnvNode; EnvNodeMini Rev 0.2; AnalogHydroPressure; RainDetector; SolarRadiation; Empty FullSize/HalfSize SMD/THT; DuoRelay Rev 0.2; RainDetectorController Rev 0.3; ORing Power Rev 0.1; Aktuell 29.09.2026: EnvNode Mini Bausatz Rev 0.8; DuoRelay FullSize Bausatz Rev 0.3; RainDetectorController Rev 0.3; ORing Power Modul Rev 0.1; EnvNode Weatherstation Bausatz Rev 0.2; SolarRadiation Rev 0.1</t>
  </si>
  <si>
    <t>ENK-00001 C1; ENK-00002 C1 (DNP); ENK-00006 C1; ENK-00007 C1,C5; ENK-00008 C1; ENK-00009 C2</t>
  </si>
  <si>
    <t>Spannungsfestigkeit, Dielektrikum und Bauform vor Bestellung gegen Schaltplan und Footprint prüfen; C1 ist in allen vier aktuellen Empty-Schemata derzeit DNP; C1 ist im aktuellen DuoRelay-Schema derzeit DNP</t>
  </si>
  <si>
    <t>10 uF Keramik SMD</t>
  </si>
  <si>
    <t>10 µF, 25 V, X7R</t>
  </si>
  <si>
    <t>Kyocera AVX</t>
  </si>
  <si>
    <t>12063C106KAT2A</t>
  </si>
  <si>
    <t>EnvNode; EnvNodeMini Rev 0.2; ORing Power Rev 0.1; Aktuell 29.09.2026: ORing Power Modul Rev 0.1; SCT013Head Rev 0.1</t>
  </si>
  <si>
    <t>ENK-00007 C3; ENK-00010 C2</t>
  </si>
  <si>
    <t>Spannungsfestigkeit, Dielektrikum und Bauform vor Bestellung gegen Schaltplan und Footprint prüfen</t>
  </si>
  <si>
    <t>47 uF 10V Tantal</t>
  </si>
  <si>
    <t>47 µF, 10 V</t>
  </si>
  <si>
    <t>Capacitor_Tantalum_SMD:CP_EIA-3528-21_Kemet-B</t>
  </si>
  <si>
    <t>TAJB476K010RNJ</t>
  </si>
  <si>
    <t>EnvNode; EnvNodeMini Rev 0.2; ORing Power Rev 0.1; Aktuell 29.09.2026: ORing Power Modul Rev 0.1</t>
  </si>
  <si>
    <t>ENK-00007 C4</t>
  </si>
  <si>
    <t>Polarisiert; Bauform B</t>
  </si>
  <si>
    <t>Spannungsregler</t>
  </si>
  <si>
    <t>LDO 3.3V SOT-223</t>
  </si>
  <si>
    <t>3,3 V, 1 A</t>
  </si>
  <si>
    <t>Package_TO_SOT_SMD:SOT-223-3_TabPin2</t>
  </si>
  <si>
    <t>Texas Instruments</t>
  </si>
  <si>
    <t>LM3940IMP-3.3/NOPB</t>
  </si>
  <si>
    <t>ENK-00007 U1</t>
  </si>
  <si>
    <t>Footprint und thermische Auslegung vor Bestückung prüfen</t>
  </si>
  <si>
    <t>Entwicklungsmodul</t>
  </si>
  <si>
    <t>ESP32-DevKitC</t>
  </si>
  <si>
    <t>38 Pin</t>
  </si>
  <si>
    <t>PCM_Espressif:ESP32-DevKitC</t>
  </si>
  <si>
    <t>Espressif Systems</t>
  </si>
  <si>
    <t>EnvNode; EnvNodeMini Rev 0.2; Aktuell 29.09.2026: EnvNode Mini Bausatz Rev 0.8; EnvNode Weatherstation Bausatz Rev 0.2</t>
  </si>
  <si>
    <t>ENK-00001 U3; ENK-00008 U3</t>
  </si>
  <si>
    <t>Prüfen</t>
  </si>
  <si>
    <t>Exakte Modulvariante und Pinout vor Bestückung prüfen Hersteller/MPN aus verschobenen Altdaten korrigiert; genaue DevKitC-Variante fehlt. Nutzer 29.09.2026: ESP32-Variante ausdrücklich offen lassen. Lieferant/MPN nicht freigegeben.</t>
  </si>
  <si>
    <t>ESP32-DEVKITC|PCM_ESPRESSIF:ESP32-DEVKITC</t>
  </si>
  <si>
    <t>PCB</t>
  </si>
  <si>
    <t>EnvNode Mainboard Rev 0.1</t>
  </si>
  <si>
    <t>Revision 0.1</t>
  </si>
  <si>
    <t>Unbestückte Leiterplatte; SMD-Lötjumper sind PCB-Strukturen und keine Kaufteile Historische PCB-Revision; aktueller KiCad-Stand ist Revision 0.2.</t>
  </si>
  <si>
    <t>ENVNODE MAINBOARD REV 0.1|</t>
  </si>
  <si>
    <t>JST - Stiftleiste, gerade, 1x2-polig - PH</t>
  </si>
  <si>
    <t>JST-PH, 2-polig, 2,00 mm</t>
  </si>
  <si>
    <t>Connector_JST:JST_PH_B2B-PH-K_1x02_P2.00mm_Vertical</t>
  </si>
  <si>
    <t>B2B-PH-K-S</t>
  </si>
  <si>
    <t>EnvNode; Mini bis Rev 0.3; AnalogHydroPressure Rev 0.4</t>
  </si>
  <si>
    <t>Legacy Mini J1; AnalogHydroPressure J3</t>
  </si>
  <si>
    <t>MOSFET</t>
  </si>
  <si>
    <t>MOSFET, N-Ch 30V 5,7A 0,018R, SOT-23</t>
  </si>
  <si>
    <t>N-Kanal, 30 V, 5,7 A</t>
  </si>
  <si>
    <t>Package_TO_SOT_SMD:SOT-23</t>
  </si>
  <si>
    <t>Alpha&amp;Omega Semiconductor</t>
  </si>
  <si>
    <t>AO3400A</t>
  </si>
  <si>
    <t>RainDetector; RainDetectorController Rev 0.3; Aktuell 29.09.2026: RainDetectorController Rev 0.3</t>
  </si>
  <si>
    <t>ENK-00006 Q1</t>
  </si>
  <si>
    <t>Sensormodul</t>
  </si>
  <si>
    <t>Arduino - Temperatur- &amp; Feuchtigkeitssensor, SHTC3</t>
  </si>
  <si>
    <t>SHTC3 Breakout</t>
  </si>
  <si>
    <t>Soldered</t>
  </si>
  <si>
    <t>Sensor</t>
  </si>
  <si>
    <t>333032</t>
  </si>
  <si>
    <t>Entwicklerboards - ADC, 4 Kanal, 16-Bit, ADS1115</t>
  </si>
  <si>
    <t>ADS1115 Breakout, 4 Kanal, 16 Bit</t>
  </si>
  <si>
    <t>A/D Wandler</t>
  </si>
  <si>
    <t>333095</t>
  </si>
  <si>
    <t>SMD-Widerstand, 1206, 100 kOhm, 250 mW, 0,1%</t>
  </si>
  <si>
    <t>100 kΩ, 0,1 %, 250 mW</t>
  </si>
  <si>
    <t>Panasonic</t>
  </si>
  <si>
    <t>ERA8AEB104V</t>
  </si>
  <si>
    <t>RainDetector; DuoRelay; AnalogHydroPressure; RainDetectorController Rev 0.3; Aktuell 29.09.2026: DuoRelay FullSize Bausatz Rev 0.3; RainDetectorController Rev 0.3</t>
  </si>
  <si>
    <t>ENK-00002 R3,R4; ENK-00006 R2,R4</t>
  </si>
  <si>
    <t>Lieferanten-Bestellnummer in der Altdatei enthält vermischte Angaben.</t>
  </si>
  <si>
    <t>SMD-Widerstand, 1206, 100 Ohm, 250 mW, 5%</t>
  </si>
  <si>
    <t>100 Ω, 5 %, 250 mW</t>
  </si>
  <si>
    <t>YAGEO</t>
  </si>
  <si>
    <t>RC1206JR-07100RL</t>
  </si>
  <si>
    <t>RainDetector; SolarRadiation; RainDetectorController Rev 0.3; Aktuell 29.09.2026: RainDetectorController Rev 0.3; SolarRadiation Rev 0.1</t>
  </si>
  <si>
    <t>ENK-00006 R1; ENK-00009 R2</t>
  </si>
  <si>
    <t>SMD-Widerstand, 1206, 10 kOhm, 250 mW, 0,1%</t>
  </si>
  <si>
    <t>10 kΩ, 0,1 %, 250 mW</t>
  </si>
  <si>
    <t>ERA8AEB103V</t>
  </si>
  <si>
    <t>RainDetector; RainDetectorController Rev 0.3; Aktuell 29.09.2026: RainDetectorController Rev 0.3; SCT013Head Rev 0.1</t>
  </si>
  <si>
    <t>ENK-00006 R3; ENK-00010 R2,R3</t>
  </si>
  <si>
    <t>Offensichtlich zusammengesetzte MPN aus Altdaten normalisiert.</t>
  </si>
  <si>
    <t>Stiftleiste, 8-polig, Raster 2,54mm</t>
  </si>
  <si>
    <t>1x8, 2,54 mm</t>
  </si>
  <si>
    <t>Connector_PinHeader_2.54mm:PinHeader_1x08_P2.54mm_Vertical</t>
  </si>
  <si>
    <t>BKL Electronic</t>
  </si>
  <si>
    <t>RainDetector</t>
  </si>
  <si>
    <t>J1,J2</t>
  </si>
  <si>
    <t>10120505</t>
  </si>
  <si>
    <t>IC</t>
  </si>
  <si>
    <t>Timer-IC, Typ 555, SO-8</t>
  </si>
  <si>
    <t>CMOS 555</t>
  </si>
  <si>
    <t>Package_SO:SOIC-8_3.9x4.9mm_P1.27mm</t>
  </si>
  <si>
    <t>Renesas</t>
  </si>
  <si>
    <t>ICM7555IBAZ</t>
  </si>
  <si>
    <t>ENK-00006 U1</t>
  </si>
  <si>
    <t>PinSocket 1x8, 2,54mm SMD</t>
  </si>
  <si>
    <t>1x8, 2,54 mm, SMD</t>
  </si>
  <si>
    <t>BL 3 8 G</t>
  </si>
  <si>
    <t>Stall.biz/Weatherman-Detektorplatine</t>
  </si>
  <si>
    <t>Mechanischer Gegenstecker zu RainDetector J1/J2; nicht im RainDetector-KiCad geführt</t>
  </si>
  <si>
    <t>BOM_Mainboard.xlsx; Nutzerklärung 2026-09-01</t>
  </si>
  <si>
    <t>1×8-SMD-Buchsenleiste sitzt physisch auf der Stall.biz/Weatherman-Detektorplatine. Auf der RainDetector-Platine werden für J1/J2 die 1×8-THT-Stiftleisten ENP-00019 bestückt.</t>
  </si>
  <si>
    <t>SMD-Widerstand, 1206, 47 Ohm, 250 mW, 5%</t>
  </si>
  <si>
    <t>47 Ω</t>
  </si>
  <si>
    <t>RND components</t>
  </si>
  <si>
    <t>RND 1551206S4J0470T5E</t>
  </si>
  <si>
    <t>Detector</t>
  </si>
  <si>
    <t>Relais</t>
  </si>
  <si>
    <t>Steck-Printrelais, 1 CO, 6 A, 5 V DC sensitiv</t>
  </si>
  <si>
    <t>5 V, 1 Wechsler, 6 A</t>
  </si>
  <si>
    <t>Relay_THT:Relay_SPDT_Finder_34.51_Vertical</t>
  </si>
  <si>
    <t>finder</t>
  </si>
  <si>
    <t>34.51.7.005.0010</t>
  </si>
  <si>
    <t>DuoRelay; Aktuell 29.09.2026: DuoRelay FullSize Bausatz Rev 0.3</t>
  </si>
  <si>
    <t>ENK-00002 K1,K2</t>
  </si>
  <si>
    <t>I²C-EEPROM 2 Kbit mit vorprogrammierter EUI-64 und zwei Adresspins</t>
  </si>
  <si>
    <t>2 Kbit, I²C, EUI-64, A0/A1, 1,7–5,5 V</t>
  </si>
  <si>
    <t>Package_TO_SOT_SMD:SOT-23-6</t>
  </si>
  <si>
    <t>Microchip Technology</t>
  </si>
  <si>
    <t>24AA025E64T-I/OT</t>
  </si>
  <si>
    <t>EnvNode; EnvNodeMini Rev 0.2; Empty FullSize/HalfSize SMD/THT; DuoRelay; AnalogHydroPressure</t>
  </si>
  <si>
    <t>EnvNode U3; EnvNodeMini Rev 0.2 U2; Empty-Boards U1; DuoRelay U1; AnalogHydroPressure U1</t>
  </si>
  <si>
    <t>KiCad; Microchip datasheet DS20002124G; DigiKey Produktseite, abgerufen 2026-09-02</t>
  </si>
  <si>
    <t>Gemeinsamer Identifikations-EEPROM für alle Boards. Frühere Lieferantendaten gehörten zur falschen SPI-Version 25AA02E64T-I/OT und wurden entfernt; Bezugsquelle, Bestellnummer und Preis neu ergänzen. Auf Modulboards derzeit DNP.; In allen vier aktuellen Empty-Schemata derzeit DNP; A1 liegt an +3V3_SYS, A0 wird über J1 herausgeführt; U1 ist in den aktuellen DuoRelay- und AnalogHydroPressure-Schemata derzeit DNP Bezug als Cut Tape bei DigiKey; keine parametrischen Ersatztypen ohne vorprogrammierte EUI-64 verwenden.</t>
  </si>
  <si>
    <t>JST-PH Stiftleiste, 4-polig, vertikal</t>
  </si>
  <si>
    <t>4-polig, 2,00 mm</t>
  </si>
  <si>
    <t>Connector_JST:JST_PH_B4B-PH-K_1x04_P2.00mm_Vertical</t>
  </si>
  <si>
    <t>B4B-PH-K-S</t>
  </si>
  <si>
    <t>EnvNode; Weatherstation Rev 0.1; Aktuell 29.09.2026: EnvNode Mini Bausatz Rev 0.8; EnvNode Weatherstation Bausatz Rev 0.2</t>
  </si>
  <si>
    <t>ENK-00001 ADC1,ADC2; ENK-00008 ADC1,ADC2,ADC3,ADC4,GPIO4,GPIO14,GPIO16,GPIO17,GPIO27,GPIO32</t>
  </si>
  <si>
    <t>KiCad</t>
  </si>
  <si>
    <t>Mögliche Überschneidung mit dem vorhandenen JST-PH-Set prüfen.</t>
  </si>
  <si>
    <t>JST-SH Stiftleiste, 4-polig, horizontal</t>
  </si>
  <si>
    <t>4-polig, 1,00 mm</t>
  </si>
  <si>
    <t>Connector_JST:JST_SH_SM04B-SRSS-TB_1x04-1MP_P1.00mm_Horizontal</t>
  </si>
  <si>
    <t>SM04B-SRSS-TB</t>
  </si>
  <si>
    <t>EnvNode; EnvNodeMini Rev 0.2; SolarRadiation; Aktuell 29.09.2026: SolarRadiation Rev 0.1</t>
  </si>
  <si>
    <t>ENK-00009 I2C1</t>
  </si>
  <si>
    <t>KiCad; DigiKey Produktseite, abgerufen 2026-09-08</t>
  </si>
  <si>
    <t>Exakter JST-SH-Header SM04B-SRSS-TB für den vorhandenen 4-poligen 1,00-mm-SMD-Rechtwinkel-Footprint; als DigiKey-Gurtabschnitt beschaffbar. Nicht mit dem Qwiic-Pigtail zusammenführen.</t>
  </si>
  <si>
    <t>16-Bit ADC mit I²C</t>
  </si>
  <si>
    <t>ADS1115IDGS</t>
  </si>
  <si>
    <t>Package_SO:TSSOP-10_3x3mm_P0.5mm</t>
  </si>
  <si>
    <t>AnalogInput; SolarRadiation; AnalogHydroPressure; Aktuell 29.09.2026: SolarRadiation Rev 0.1</t>
  </si>
  <si>
    <t>ENK-00009 U1</t>
  </si>
  <si>
    <t>Nicht mit dem vorhandenen ADS1115-Entwicklungsboard zusammenführen.</t>
  </si>
  <si>
    <t>Keramikkondensator 1 µF SMD</t>
  </si>
  <si>
    <t>1 µF</t>
  </si>
  <si>
    <t>Kyocera</t>
  </si>
  <si>
    <t>12065C105JAT2A</t>
  </si>
  <si>
    <t>AnalogInput; AnalogHydroPressure</t>
  </si>
  <si>
    <t>C1; AnalogHydroPressure C4,C7</t>
  </si>
  <si>
    <t>Diode</t>
  </si>
  <si>
    <t>Dual-Schottky-Diode BAT54S</t>
  </si>
  <si>
    <t>BAT54S</t>
  </si>
  <si>
    <t>Diotec</t>
  </si>
  <si>
    <t>D1; AnalogHydroPressure D1</t>
  </si>
  <si>
    <t>Aktuelles AnalogHydroPressure verwendet SOT-23 und stimmt damit mit dem Artikel-Footprint überein; Gehäuse der bestellten Variante dennoch prüfen.</t>
  </si>
  <si>
    <t>Buchsenleiste 2x4, vertikal</t>
  </si>
  <si>
    <t>2x4, 2,54 mm</t>
  </si>
  <si>
    <t>PinSocket_2x04_P2.54mm_Vertical / EnvNode Bottom-Variante</t>
  </si>
  <si>
    <t>Legacy Rev 0.1: EnvNodeMini; AnalogInput; DuoRelay</t>
  </si>
  <si>
    <t>AnalogInput J1,J2; DuoRelay J1,J2; EnvNodeMini J1,J2,J4,J5</t>
  </si>
  <si>
    <t>Legacy-Artikel für die Modulsteckverbindung Rev 0.1; nicht für die aktuellen 2x7-Steckplätze verwenden. Legacy: eindeutige Ausführung fehlt; keine spekulative Hersteller- oder Lieferantenzuordnung.</t>
  </si>
  <si>
    <t>BUCHSENLEISTE 2X4, VERTIKAL|PINSOCKET_2X04_P2.54MM_VERTICAL / ENVNODE BOTTOM-VARIANTE</t>
  </si>
  <si>
    <t>Buchsenleiste 1x2, vertikal</t>
  </si>
  <si>
    <t>1x2, 2,54 mm</t>
  </si>
  <si>
    <t>Connector_PinSocket_2.54mm:PinSocket_1x02_P2.54mm_Vertical</t>
  </si>
  <si>
    <t>J3; AnalogHydroPressure J3</t>
  </si>
  <si>
    <t>Legacy</t>
  </si>
  <si>
    <t>BUCHSENLEISTE 1X2, VERTIKAL|CONNECTOR_PINSOCKET_2.54MM:PINSOCKET_1X02_P2.54MM_VERTICAL</t>
  </si>
  <si>
    <t>Widerstand, Metallschicht, 150 Ohm, 0207, 250 mW, 0,1%</t>
  </si>
  <si>
    <t>150 Ω, 0,1 %, ≤25 ppm/K, &gt;0,125 W</t>
  </si>
  <si>
    <t>Resistor_THT:R_Axial_DIN0207_L6.3mm_D2.5mm_P7.62mm_Horizontal</t>
  </si>
  <si>
    <t>TE Connectivity Passive Product</t>
  </si>
  <si>
    <t>YR1B150RCC</t>
  </si>
  <si>
    <t>R1; AnalogHydroPressure R3</t>
  </si>
  <si>
    <t>KiCad; DigiKey, abgerufen 2026-09-07</t>
  </si>
  <si>
    <t>150 Ω, ±0,1 %, 0,25 W, Metallfilm, axial; Gehäuselänge 6,3 mm und vorhandener PCB-Lochabstand 7,62 mm bestätigt passend.</t>
  </si>
  <si>
    <t>Schnelle Schaltdiode 1N4148W</t>
  </si>
  <si>
    <t>1N4148W</t>
  </si>
  <si>
    <t>Diode_SMD:D_SOD-123</t>
  </si>
  <si>
    <t>ENK-00002 D1,D2</t>
  </si>
  <si>
    <t>Schraubklemme 1x3, horizontal</t>
  </si>
  <si>
    <t>3-polig, 5,08 mm</t>
  </si>
  <si>
    <t>TerminalBlock_Phoenix:TerminalBlock_Phoenix_MKDS-3-3-5.08_1x03_P5.08mm_Horizontal</t>
  </si>
  <si>
    <t>Metz Connect</t>
  </si>
  <si>
    <t>31101103</t>
  </si>
  <si>
    <t>ENK-00002 J3,J4</t>
  </si>
  <si>
    <t>Exakte Hersteller-MPN ergänzen.</t>
  </si>
  <si>
    <t>Anschlussklemme, 3-pol, Ø 2 mm, RM 5,08</t>
  </si>
  <si>
    <t>Transistor</t>
  </si>
  <si>
    <t>NPN-Transistor BC817</t>
  </si>
  <si>
    <t>BC817</t>
  </si>
  <si>
    <t>Package_TO_SOT_SMD:SOT-23_Handsoldering</t>
  </si>
  <si>
    <t>ENK-00002 Q1,Q2</t>
  </si>
  <si>
    <t>Widerstand 1 kΩ SMD</t>
  </si>
  <si>
    <t>1 kΩ</t>
  </si>
  <si>
    <t>CRCW12061K00FKEA</t>
  </si>
  <si>
    <t>DuoRelay; Aktuell 29.09.2026: DuoRelay FullSize Bausatz Rev 0.3; SCT013Head Rev 0.1</t>
  </si>
  <si>
    <t>ENK-00002 R1,R2; ENK-00010 R1</t>
  </si>
  <si>
    <t>Elektrolytkondensator 47 µF radial</t>
  </si>
  <si>
    <t>47 µF, 50 V</t>
  </si>
  <si>
    <t>Capacitor_SMD:CP_Elec_6.3x7.7</t>
  </si>
  <si>
    <t>Europe ChemiCon</t>
  </si>
  <si>
    <t>HHXC500ARA470MHA0G</t>
  </si>
  <si>
    <t>EnvNodeMini Rev 0.1</t>
  </si>
  <si>
    <t>EnvNodeMini Rev 0.1 C1</t>
  </si>
  <si>
    <t>Schottky-Diode STPS3L60S</t>
  </si>
  <si>
    <t>B360B-13-F</t>
  </si>
  <si>
    <t>Diode_SMD:D_SMB_Handsoldering</t>
  </si>
  <si>
    <t>Diodes</t>
  </si>
  <si>
    <t>STPS3L60S</t>
  </si>
  <si>
    <t>EnvNodeMini Rev 0.1 D1</t>
  </si>
  <si>
    <t>Schutzdiode</t>
  </si>
  <si>
    <t>TVS-Diode SMBJ24A</t>
  </si>
  <si>
    <t>24 V</t>
  </si>
  <si>
    <t>Littelfuse</t>
  </si>
  <si>
    <t>SMBJ24A</t>
  </si>
  <si>
    <t>EnvNodeMini Rev 0.1 D2</t>
  </si>
  <si>
    <t>Sicherung</t>
  </si>
  <si>
    <t>Sicherung 2 A</t>
  </si>
  <si>
    <t>2 A</t>
  </si>
  <si>
    <t>Fuse:Fuse_Littelfuse-NANO2-451_453</t>
  </si>
  <si>
    <t>EnvNodeMini Rev 0.1 F1</t>
  </si>
  <si>
    <t>Exakte Serie/MPN und Auslösecharakteristik ergänzen. Legacy: eindeutige Ausführung fehlt; keine spekulative Hersteller- oder Lieferantenzuordnung.</t>
  </si>
  <si>
    <t>SICHERUNG 2 A|FUSE:FUSE_LITTELFUSE-NANO2-451_453</t>
  </si>
  <si>
    <t>Schraubklemme 1x2, horizontal</t>
  </si>
  <si>
    <t>2-polig, 5,00 mm</t>
  </si>
  <si>
    <t>TerminalBlock_RND:TerminalBlock_RND_205-00001_1x02_P5.00mm_Horizontal</t>
  </si>
  <si>
    <t>RND</t>
  </si>
  <si>
    <t>205-00001</t>
  </si>
  <si>
    <t>EnvNodeMini Rev 0.1 J3</t>
  </si>
  <si>
    <t>DC/DC-Wandler</t>
  </si>
  <si>
    <t>Schaltreglermodul 5 V</t>
  </si>
  <si>
    <t>TSR 1-2450</t>
  </si>
  <si>
    <t>Converter_DCDC:Converter_DCDC_TRACO_TSR-1_THT</t>
  </si>
  <si>
    <t>Traco Power</t>
  </si>
  <si>
    <t>EnvNodeMini Rev 0.1 U3</t>
  </si>
  <si>
    <t>Schaltreglermodul 3,3 V</t>
  </si>
  <si>
    <t>TSR 1-2433</t>
  </si>
  <si>
    <t>EnvNodeMini Rev 0.1 U4</t>
  </si>
  <si>
    <t>KiCad-Library-ID basiert auf TSR_1-2450; Wert und tatsächliches Teil prüfen.</t>
  </si>
  <si>
    <t>Keramikkondensator 10 nF SMD</t>
  </si>
  <si>
    <t>10 nF</t>
  </si>
  <si>
    <t>12061C103JAT2A</t>
  </si>
  <si>
    <t>SolarRadiation; Aktuell 29.09.2026: SolarRadiation Rev 0.1; SCT013Head Rev 0.1</t>
  </si>
  <si>
    <t>ENK-00009 C1; ENK-00010 C1</t>
  </si>
  <si>
    <t>Widerstand, Metallschicht, 2 Ohm, 0207, 600 mW, 1 %</t>
  </si>
  <si>
    <t>2 Ω, 1 %, 600 mW</t>
  </si>
  <si>
    <t>Yageo</t>
  </si>
  <si>
    <t>MF0207FTE52-2R</t>
  </si>
  <si>
    <t>SolarRadiation; Aktuell 29.09.2026: SolarRadiation Rev 0.1</t>
  </si>
  <si>
    <t>ENK-00009 R1</t>
  </si>
  <si>
    <t>Toleranz auf 1 % korrigiert: vorhandene MPN MF0207FTE52-2R und Reichelt METALL 2,00. Frühere Angabe 0,1 % war widersprüchlich.</t>
  </si>
  <si>
    <t>Solarzelle</t>
  </si>
  <si>
    <t>Solarzelle KXOB25-14X1TF-TR</t>
  </si>
  <si>
    <t>KXOB25-14X1TF-TR</t>
  </si>
  <si>
    <t>EnvNode-Footprints:KXOB25-14X1F</t>
  </si>
  <si>
    <t>ANYSOLAR Ltd</t>
  </si>
  <si>
    <t>ENK-00009 SC1</t>
  </si>
  <si>
    <t>KiCad; ANYSOLAR; DigiKey-Bestellung 101459961, 2026-09-07</t>
  </si>
  <si>
    <t>Dünne 1,2-mm-Variante; elektrisch und hinsichtlich Kontaktflächen kompatibel zur zuvor vorgesehenen KXOB25-14X1F-TB.</t>
  </si>
  <si>
    <t>Sensor-IC</t>
  </si>
  <si>
    <t>Temperatursensor TMP100</t>
  </si>
  <si>
    <t>TMP100</t>
  </si>
  <si>
    <t>TMP100NA/3K</t>
  </si>
  <si>
    <t>ENK-00009 U2</t>
  </si>
  <si>
    <t>Bestellbare SOT-23-6-Variante: DigiKey Gurtabschnitt 296-26833-1-ND.</t>
  </si>
  <si>
    <t>EnvNode Mainboard PCB</t>
  </si>
  <si>
    <t>Revision 0.2</t>
  </si>
  <si>
    <t>PCB: EnvNode.kicad_pcb</t>
  </si>
  <si>
    <t>Aktueller KiCad-Stand; Fertiger und konkrete Fertigungsvariante festlegen.</t>
  </si>
  <si>
    <t>ENVNODE MAINBOARD PCB|PCB: ENVNODE.KICAD_PCB</t>
  </si>
  <si>
    <t>EnvNode Mini PCB</t>
  </si>
  <si>
    <t>PCB: EnvNodeMini.kicad_pcb</t>
  </si>
  <si>
    <t>Legacy-Leiterplatte Revision 0.1; für Revision 0.2 existiert ein eigener Artikel.</t>
  </si>
  <si>
    <t>ENVNODE MINI PCB|PCB: ENVNODEMINI.KICAD_PCB</t>
  </si>
  <si>
    <t>AnalogInput HalfSize PCB</t>
  </si>
  <si>
    <t>PCB: AnalogInput.kicad_pcb</t>
  </si>
  <si>
    <t>AnalogInput</t>
  </si>
  <si>
    <t>Fertiger und konkrete Fertigungsvariante festlegen.</t>
  </si>
  <si>
    <t>ANALOGINPUT HALFSIZE PCB|PCB: ANALOGINPUT.KICAD_PCB</t>
  </si>
  <si>
    <t>DuoRelay FullSize PCB Rev 0.1</t>
  </si>
  <si>
    <t>PCB: DuoRelay.kicad_pcb</t>
  </si>
  <si>
    <t>DuoRelay Rev 0.1</t>
  </si>
  <si>
    <t>Legacy-Leiterplatte Revision 0.1; der aktuelle KiCad-Stand ist Revision 0.2 und besitzt einen eigenen Artikel.</t>
  </si>
  <si>
    <t>DUORELAY FULLSIZE PCB REV 0.1|PCB: DUORELAY.KICAD_PCB</t>
  </si>
  <si>
    <t>SolarRadiation PCB</t>
  </si>
  <si>
    <t>PCB: Sensors/SolarRadiation/SolarRadiation.kicad_pcb</t>
  </si>
  <si>
    <t>ENK-00009 PCB</t>
  </si>
  <si>
    <t>Fertiger gemäß EnvNode-PCB-Praxis JLCPCB vorgesehen. Angebot, Auftragsnummer und Stückpreis offen.</t>
  </si>
  <si>
    <t>SOLARRADIATION PCB|PCB: SOLARRADIATION.KICAD_PCB</t>
  </si>
  <si>
    <t>RainDetector PCB</t>
  </si>
  <si>
    <t>Revision 1.0</t>
  </si>
  <si>
    <t>PCB: Raindetector.kicad_pcb</t>
  </si>
  <si>
    <t>RAINDETECTOR PCB|PCB: RAINDETECTOR.KICAD_PCB</t>
  </si>
  <si>
    <t>Buchsenleiste 2x7, 2,54 mm, vertikal</t>
  </si>
  <si>
    <t>2x7, 2,54 mm, THT, vertikal, vergoldet, Bauhöhe 8,5 mm</t>
  </si>
  <si>
    <t>Connector_PinSocket_2.54mm:PinSocket_2x07_P2.54mm_Vertical</t>
  </si>
  <si>
    <t>BINDER MPE GMBH</t>
  </si>
  <si>
    <t>094-2-014-0-NFX-YS0</t>
  </si>
  <si>
    <t>EnvNodeMini Rev 0.2; Aktuell 29.09.2026: EnvNode Mini Bausatz Rev 0.8; EnvNode Weatherstation Bausatz Rev 0.2</t>
  </si>
  <si>
    <t>ENK-00001 J1,J2; ENK-00008 J1</t>
  </si>
  <si>
    <t>KiCad; Reichelt Produktseite, abgerufen 2026-09-08</t>
  </si>
  <si>
    <t>Reichelt MPE 094-2-014: Dual-Buchsenleiste, 14 Kontakte, 2,54 mm, THT, gerade, 3 A/250 V und 8,5 mm Bauhöhe. Footprint-kompatible Beschaffungsalternative zur Würth 61301421821 mit 8,4 mm Bauhöhe.</t>
  </si>
  <si>
    <t>Schottky-Diode SS14, SMA</t>
  </si>
  <si>
    <t>SS14, 1 A, 40 V, UF max. 0,5 V, IFSM 40 A</t>
  </si>
  <si>
    <t>Diode_SMD:D_SMA</t>
  </si>
  <si>
    <t>SS14-E3/61T</t>
  </si>
  <si>
    <t>EnvNodeMini Rev 0.2; ORing Power Rev 0.1; Aktuell 29.09.2026: ORing Power Modul Rev 0.1</t>
  </si>
  <si>
    <t>ENK-00007 D1,D2</t>
  </si>
  <si>
    <t>KiCad; Vishay; Reichelt, abgerufen 2026-09-01</t>
  </si>
  <si>
    <t>Vishay Schottky-Gleichrichter im DO-214AC-/SMA-Gehäuse, 40 V Sperrspannung, 1 A Dauerstrom, 40 A Stoßstrom und Temperaturbereich −65 bis +150 °C. D1 entkoppelt +3V3_EXT, D2 entkoppelt +3V3_DEVKIT; beide speisen mit der Kathode +3V3_SYS. Zwei Stück je EnvNode Mini Rev 0.2.</t>
  </si>
  <si>
    <t>Elektrolytkondensator 10 µF SMD</t>
  </si>
  <si>
    <t>10 µF, ±20 %, 25 V, 85 °C, 2000 h</t>
  </si>
  <si>
    <t>Capacitor_SMD:CP_Elec_5x5.4</t>
  </si>
  <si>
    <t>EEE1EA100SR</t>
  </si>
  <si>
    <t>ENK-00007 C2</t>
  </si>
  <si>
    <t>KiCad; Panasonic; Reichelt, abgerufen 2026-09-01</t>
  </si>
  <si>
    <t>Panasonic SMD-Aluminium-Elektrolytkondensator, 10 µF ±20 %, 25 V, 85 °C, 2000 h. Abmessungen Ø 5,0 × 5,4 mm passen exakt zum zugewiesenen KiCad-Footprint. C6 liegt zwischen +3V3_SYS und GND; 25 V bieten deutliche Spannungsreserve. Polarität beachten.</t>
  </si>
  <si>
    <t>EnvNode Mini PCB Rev 0.2</t>
  </si>
  <si>
    <t>PCB: MainBoards/EnvNode Mini/EnvNode Mini.kicad_pcb</t>
  </si>
  <si>
    <t>EnvNodeMini Rev 0.2</t>
  </si>
  <si>
    <t>ENVNODE MINI PCB REV 0.2|PCB: MAINBOARDS/ENVNODE MINI/ENVNODE MINI.KICAD_PCB</t>
  </si>
  <si>
    <t>Stiftleiste 2x7, 2,54 mm, SMD</t>
  </si>
  <si>
    <t>2x7, 2,54 mm, SMD, vertikal, vergoldet, 6,0 mm Stecklänge</t>
  </si>
  <si>
    <t>EnvNode-Footprints:J_Wurth_WR-PHD_61031421121</t>
  </si>
  <si>
    <t>Würth Elektronik</t>
  </si>
  <si>
    <t>61031421121</t>
  </si>
  <si>
    <t>Empty FullSize/HalfSize SMD</t>
  </si>
  <si>
    <t>J1</t>
  </si>
  <si>
    <t>KiCad; Würth Datenblatt; DigiKey, abgerufen 2026-09-01</t>
  </si>
  <si>
    <t>Würth WR-PHD SMD-Stiftleiste, 14 Kontakte, 2,54 mm, vergoldet, 3 A/250 V. Exakter Artikel für den Projekt-Footprint J_Wurth_WR-PHD_61031421121. Einzelpreis Gurtabschnitt, Stand 2026-09-01; Preis und Verfügbarkeit vor Bestellung prüfen.</t>
  </si>
  <si>
    <t>Stiftleiste 2x7, 2,54 mm, vertikal, Bottom-Mount</t>
  </si>
  <si>
    <t>2x7, 2,54 mm, THT, vertikal, vergoldet, 6,1 mm Stecklänge, 3,0 mm Lötstift</t>
  </si>
  <si>
    <t>EnvNode-Footprints:PinHeader_2x07_P2.54mm_Vertical_Bottom</t>
  </si>
  <si>
    <t>ECON Connect</t>
  </si>
  <si>
    <t>SL14G2</t>
  </si>
  <si>
    <t>Empty FullSize/HalfSize THT; DuoRelay Rev 0.2; AnalogHydroPressure; Aktuell 29.09.2026: DuoRelay FullSize Bausatz Rev 0.3</t>
  </si>
  <si>
    <t>ENK-00002 J1</t>
  </si>
  <si>
    <t>KiCad; ECON Connect Datenblatt; Reichelt, abgerufen 2026-09-01</t>
  </si>
  <si>
    <t>Standard-THT-Stiftleiste mit 11,6 mm Gesamtlänge, vergoldeten Kontakten und 3 A Nennstrom. Die Bestückung von der Modulunterseite und die dafür passende Pinorientierung werden durch den Projekt-Footprint PinHeader_2x07_P2.54mm_Vertical_Bottom festgelegt. Einzelpreis inkl. MwSt., Stand 2026-09-01; Preis und Verfügbarkeit vor Bestellung prüfen.</t>
  </si>
  <si>
    <t>STIFTLEISTE 2X7 2,54 MM THT BOTTOM|ENVNODE-FOOTPRINTS:PINHEADER_2X07_P2.54MM_VERTICAL_BOTTOM</t>
  </si>
  <si>
    <t>Empty FullSize SMD PCB</t>
  </si>
  <si>
    <t>Revision offen</t>
  </si>
  <si>
    <t>PCB: Modules/FullSize/Empty-SMD/Empty-SMD.kicad_pcb</t>
  </si>
  <si>
    <t>Empty FullSize SMD</t>
  </si>
  <si>
    <t>Aktueller KiCad-Stand; Revision, Fertiger und konkrete Fertigungsvariante festlegen.</t>
  </si>
  <si>
    <t>EMPTY FULLSIZE SMD PCB|PCB: MODULES/FULLSIZE/EMPTY-SMD/EMPTY-SMD.KICAD_PCB</t>
  </si>
  <si>
    <t>Empty FullSize THT PCB</t>
  </si>
  <si>
    <t>PCB: Modules/FullSize/Empty-THT/Empty-THT.kicad_pcb</t>
  </si>
  <si>
    <t>Empty FullSize THT</t>
  </si>
  <si>
    <t>EMPTY FULLSIZE THT PCB|PCB: MODULES/FULLSIZE/EMPTY-THT/EMPTY-THT.KICAD_PCB</t>
  </si>
  <si>
    <t>Empty HalfSize SMD PCB</t>
  </si>
  <si>
    <t>PCB: Modules/HalfSize/Empty-SMD/Empty-SMD.kicad_pcb</t>
  </si>
  <si>
    <t>Empty HalfSize SMD</t>
  </si>
  <si>
    <t>EMPTY HALFSIZE SMD PCB|PCB: MODULES/HALFSIZE/EMPTY-SMD/EMPTY-SMD.KICAD_PCB</t>
  </si>
  <si>
    <t>Empty HalfSize THT PCB</t>
  </si>
  <si>
    <t>PCB: Modules/HalfSize/Empty-THT/Empty-THT.kicad_pcb</t>
  </si>
  <si>
    <t>Empty HalfSize THT</t>
  </si>
  <si>
    <t>EMPTY HALFSIZE THT PCB|PCB: MODULES/HALFSIZE/EMPTY-THT/EMPTY-THT.KICAD_PCB</t>
  </si>
  <si>
    <t>LED</t>
  </si>
  <si>
    <t>LED SMD 1206, rot</t>
  </si>
  <si>
    <t>Hyperrot, 645 nm, 250 mcd, 140°, Vf 2,0–2,5 V, IF max. 30 mA</t>
  </si>
  <si>
    <t>LED_SMD:LED_1206_3216Metric_Pad1.42x1.75mm_HandSolder</t>
  </si>
  <si>
    <t>Kingbright</t>
  </si>
  <si>
    <t>KP-3216SURC</t>
  </si>
  <si>
    <t>DuoRelay Rev 0.2; Aktuell 29.09.2026: DuoRelay FullSize Bausatz Rev 0.3</t>
  </si>
  <si>
    <t>ENK-00002 D3,D4</t>
  </si>
  <si>
    <t>KiCad; Kingbright; Reichelt, abgerufen 2026-09-01</t>
  </si>
  <si>
    <t>Kingbright SMD-LED im 1206-/3216-Gehäuse, hyperrot, 250 mcd, 140° Abstrahlwinkel, Bauhöhe 1,1 mm. Im DuoRelay liegen D3/D4 über je 1,5 kΩ an +5 V; bei etwa 2 V Vorwärtsspannung fließen rund 2 mA.</t>
  </si>
  <si>
    <t>Widerstand 1,5 kΩ SMD</t>
  </si>
  <si>
    <t>1,5 kΩ, 1 %, 0,25 W, 1206</t>
  </si>
  <si>
    <t>CRCW12061K50FKEA</t>
  </si>
  <si>
    <t>ENK-00002 R5,R6</t>
  </si>
  <si>
    <t>KiCad; Reichelt, abgerufen 2026-09-01</t>
  </si>
  <si>
    <t>Exakt passend als Vorwiderstand der Relais-LEDs. Einzelpreis, Stand 2026-09-01; Preis und Verfügbarkeit vor Bestellung prüfen.</t>
  </si>
  <si>
    <t>1,5 KOHM|RESISTOR_SMD:R_1206_3216METRIC_PAD1.30X1.75MM_HANDSOLDER</t>
  </si>
  <si>
    <t>DuoRelay FullSize PCB Rev 0.2</t>
  </si>
  <si>
    <t>PCB: Modules/FullSize/DuoRelay/DuoRelay.kicad_pcb</t>
  </si>
  <si>
    <t>DuoRelay Rev 0.2</t>
  </si>
  <si>
    <t>DUORELAY FULLSIZE PCB REV 0.2|PCB: MODULES/FULLSIZE/DUORELAY/DUORELAY.KICAD_PCB</t>
  </si>
  <si>
    <t>Keramikkondensator 4,7 µF SMD</t>
  </si>
  <si>
    <t>4,7 µF, 25 V, X7R, ±10 %, 1206</t>
  </si>
  <si>
    <t>Samsung Electro-Mechanics</t>
  </si>
  <si>
    <t>CL31B475KAHNNNE</t>
  </si>
  <si>
    <t>AnalogHydroPressure</t>
  </si>
  <si>
    <t>C6</t>
  </si>
  <si>
    <t>25-V-Ausführung übertrifft die geforderten mindestens 10 V. Einzelpreis, Stand 2026-09-01; Preis und Verfügbarkeit vor Bestellung prüfen.</t>
  </si>
  <si>
    <t>4,7 UF 10 V|CAPACITOR_SMD:C_1206_3216METRIC_PAD1.33X1.80MM_HANDSOLDER</t>
  </si>
  <si>
    <t>4,7 µF, 50 V, X7R, ±10 %, 1210</t>
  </si>
  <si>
    <t>Capacitor_SMD:C_1210_3225Metric_Pad1.33x2.70mm_HandSolder</t>
  </si>
  <si>
    <t>CL32B475KBJVPNE</t>
  </si>
  <si>
    <t>C9</t>
  </si>
  <si>
    <t>Passende 50-V-/1210-Ausführung für den Ausgang des 24-V-Boosters. Einzelpreis, Stand 2026-09-01; Preis und Verfügbarkeit vor Bestellung prüfen.</t>
  </si>
  <si>
    <t>4,7 UF 50 V|CAPACITOR_SMD:C_1210_3225METRIC_PAD1.33X2.70MM_HANDSOLDER</t>
  </si>
  <si>
    <t>Schottky-Diode SMD</t>
  </si>
  <si>
    <t>Typ und elektrische Daten offen</t>
  </si>
  <si>
    <t>Diode_SMD:D_SOD-323F</t>
  </si>
  <si>
    <t>AnalogHydroPressure Rev 0.2–0.3</t>
  </si>
  <si>
    <t>D3</t>
  </si>
  <si>
    <t>Historischer, elektrisch nicht ausreichend spezifizierter SOD-323F-Artikel. In AnalogHydroPressure Rev. 0.4 durch ENP-00106 ersetzt. Legacy: eindeutige Ausführung fehlt; keine spekulative Hersteller- oder Lieferantenzuordnung.</t>
  </si>
  <si>
    <t>SCHOTTKY|DIODE_SMD:D_SOD-323F</t>
  </si>
  <si>
    <t>Induktivität</t>
  </si>
  <si>
    <t>Leistungsinduktivität 0,68 µH</t>
  </si>
  <si>
    <t>0,68 µH, 11,7 A, DCR 9,2 mΩ, WE-MAPI 4020HT</t>
  </si>
  <si>
    <t>Inductor_SMD:L_Wuerth_MAPI-3012</t>
  </si>
  <si>
    <t>744383560068HT</t>
  </si>
  <si>
    <t>L1</t>
  </si>
  <si>
    <t>KiCad; Würth; DigiKey-Bestellung 101459961, 2026-09-07</t>
  </si>
  <si>
    <t>Bestellte HT-Ausführung: 680 nH, 11,7 A, DCR 9,2 mΩ. Ersetzt die zuvor vorgesehene 744383560068.</t>
  </si>
  <si>
    <t>0,68 UH|INDUCTOR_SMD:L_WUERTH_MAPI-3012</t>
  </si>
  <si>
    <t>Widerstand 1 MΩ SMD</t>
  </si>
  <si>
    <t>1 MΩ, 1 %, 0,25 W, 1206</t>
  </si>
  <si>
    <t>CRCW12061M00FKEA</t>
  </si>
  <si>
    <t>R5</t>
  </si>
  <si>
    <t>Elektrisch und mechanisch passend. Einzelpreis, Stand 2026-09-01; Preis und Verfügbarkeit vor Bestellung prüfen.</t>
  </si>
  <si>
    <t>1 MOHM 1%|RESISTOR_SMD:R_1206_3216METRIC_PAD1.30X1.75MM_HANDSOLDER</t>
  </si>
  <si>
    <t>Widerstand 71,5 kΩ SMD</t>
  </si>
  <si>
    <t>71,5 kΩ, 1 %, 0,25 W, 1206</t>
  </si>
  <si>
    <t>RC1206FR-0771K5L</t>
  </si>
  <si>
    <t>R6</t>
  </si>
  <si>
    <t>KiCad; DigiKey, abgerufen 2026-09-01</t>
  </si>
  <si>
    <t>Exakter Wert für den Feedback-Widerstand; DigiKey-Bestellnummer auf der Produktseite vor Bestellung ergänzen. Einzelpreis, Stand 2026-09-01; Preis und Verfügbarkeit vor Bestellung prüfen.</t>
  </si>
  <si>
    <t>71,5 KOHM 1%|RESISTOR_SMD:R_1206_3216METRIC_PAD1.30X1.75MM_HANDSOLDER</t>
  </si>
  <si>
    <t>Widerstand 220 kΩ SMD</t>
  </si>
  <si>
    <t>220 kΩ, 1 %, 0,25 W, 1206</t>
  </si>
  <si>
    <t>Vishay Dale</t>
  </si>
  <si>
    <t>RCV1206220KFKEA</t>
  </si>
  <si>
    <t>R8</t>
  </si>
  <si>
    <t>220 kΩ, ±1 %, 0,25 W, 1206; DigiKey-Gurtabschnitt. Ersetzt die zuvor bei TME vorgesehene Walsin-Ausführung.</t>
  </si>
  <si>
    <t>Schalter</t>
  </si>
  <si>
    <t>Schiebeschalter DPDT</t>
  </si>
  <si>
    <t>DPDT</t>
  </si>
  <si>
    <t>EnvNode-Footprints:SW_Slide_CK_OS202011MS2QS1</t>
  </si>
  <si>
    <t>C&amp;K</t>
  </si>
  <si>
    <t>OS202011MS2QS1</t>
  </si>
  <si>
    <t>SW1</t>
  </si>
  <si>
    <t>KiCad; C&amp;K Datenblatt; Mouser, abgerufen 2026-09-01</t>
  </si>
  <si>
    <t>Historischer DPDT-Schiebeschalter. In AnalogHydroPressure Rev. 0.4 entfallen; die I²C-Buswahl erfolgt über Lötjumper.</t>
  </si>
  <si>
    <t>Boost-Regler LT8330</t>
  </si>
  <si>
    <t>LT8330, 3…40 V Eingang, 60 V/1 A Schalter, TSOT-23-6</t>
  </si>
  <si>
    <t>Analog Devices</t>
  </si>
  <si>
    <t>LT8330ES6#TRMPBF</t>
  </si>
  <si>
    <t>U4</t>
  </si>
  <si>
    <t>KiCad; Analog Devices Datenblatt; Mouser, abgerufen 2026-09-01</t>
  </si>
  <si>
    <t>Bestellbare E-Temperaturvariante im geforderten TSOT-23-6, Cut Tape. Einzelpreis, Stand 2026-09-01; Preis und Verfügbarkeit vor Bestellung prüfen.</t>
  </si>
  <si>
    <t>LT8330|PACKAGE_TO_SOT_SMD:SOT-23-6</t>
  </si>
  <si>
    <t>AnalogHydroPressure FullSize PCB Rev 0.2</t>
  </si>
  <si>
    <t>PCB: Modules/FullSize/AnalogHydroPressure/AnalogHydroPressure.kicad_pcb</t>
  </si>
  <si>
    <t>Aktueller KiCad-Stand einschließlich Busumschaltung auf Modulseite und F.Cu-Backfill; Fertiger und Fertigungsvariante festlegen.</t>
  </si>
  <si>
    <t>ANALOGHYDROPRESSURE FULLSIZE PCB REV 0.2|PCB: MODULES/FULLSIZE/ANALOGHYDROPRESSURE/ANALOGHYDROPRESSURE.KICAD_PCB</t>
  </si>
  <si>
    <t>Adapter</t>
  </si>
  <si>
    <t>SMD-Adapter SOT23-3 auf Raster 2,54 mm</t>
  </si>
  <si>
    <t>SOT23-3, Pitch 0,95 mm auf RM 2,54 mm</t>
  </si>
  <si>
    <t>ROTH-ELEKTRONIK</t>
  </si>
  <si>
    <t>RE909</t>
  </si>
  <si>
    <t>Bestand/Werkstatt</t>
  </si>
  <si>
    <t>Reichelt-Bestellung; Nutzerangabe 2026-09-01</t>
  </si>
  <si>
    <t>Prototyping-Adapter, 8,6 × 13,2 mm; derzeit keinem Kit oder KiCad-BOM zugeordnet.</t>
  </si>
  <si>
    <t>Metalloxidwiderstand 100 Ohm, 1 W, 5 %</t>
  </si>
  <si>
    <t>100 Ω, 1 W, 5 %, 500 V</t>
  </si>
  <si>
    <t>Resistor_THT:R_Axial_DIN0207_L6.3mm_D2.5mm_P10.16mm_Horizontal</t>
  </si>
  <si>
    <t>VITROHM</t>
  </si>
  <si>
    <t>POS100JT-52-100RAA</t>
  </si>
  <si>
    <t>Gegurteter THT-Metalloxidwiderstand, Bauform 0207; derzeit keinem Kit oder KiCad-BOM zugeordnet.</t>
  </si>
  <si>
    <t>Metalloxidwiderstand 100 kOhm, 1 W, 5 %</t>
  </si>
  <si>
    <t>100 kΩ, 1 W, 5 %, 500 V</t>
  </si>
  <si>
    <t>POS100JT-52-100KAA</t>
  </si>
  <si>
    <t>WEIPU SP13 Gehäusebuchse, 2-polig</t>
  </si>
  <si>
    <t>2-polig, Buchsenkontakte, IP68 gesteckt, Lötanschluss, Hinterwandmontage</t>
  </si>
  <si>
    <t>WEIPU</t>
  </si>
  <si>
    <t>SP1312/S2-N</t>
  </si>
  <si>
    <t>Gehäusemontage (offen); Aktuell 29.09.2026: EnvNode Mini Bausatz Rev 0.8</t>
  </si>
  <si>
    <t>ENK-00001 PCB</t>
  </si>
  <si>
    <t>WEIPU SP13 Katalog, abgerufen 2026-09-01</t>
  </si>
  <si>
    <t>Passend zu Kabelstecker SP1310/P2-N (ENP-00081). 13 A / 250 V AC; Panel-Ausschnitt Ø13 mm. Einsatz und Pinbelegung im Kit festlegen.</t>
  </si>
  <si>
    <t>WEIPU SP13 Kabelstecker, 2-polig</t>
  </si>
  <si>
    <t>2-polig, Stiftkontakte, IP68 gesteckt, Lötanschluss</t>
  </si>
  <si>
    <t>SP1310/P2I-N</t>
  </si>
  <si>
    <t>Bestellbare Variante für Kabeldurchmesser 4–6,5 mm; konkreten Kabeldurchmesser vor Kauf bestätigen.</t>
  </si>
  <si>
    <t>WEIPU SP13 Gehäusestecker, 2-polig</t>
  </si>
  <si>
    <t>2-polig, Stiftkontakte, IP68 gesteckt, Lötanschluss, Hinterwandmontage</t>
  </si>
  <si>
    <t>SP1312/P2-N</t>
  </si>
  <si>
    <t>Gehäusemontage (offen)</t>
  </si>
  <si>
    <t>Passend zu Kabelbuchse SP1310/S2-N (ENP-00083). 13 A / 250 V AC; Panel-Ausschnitt Ø13 mm. Einsatz und Pinbelegung im Kit festlegen.</t>
  </si>
  <si>
    <t>WEIPU SP13 Kabelbuchse, 2-polig</t>
  </si>
  <si>
    <t>2-polig, Buchsenkontakte, IP68 gesteckt, Lötanschluss</t>
  </si>
  <si>
    <t>SP1310/S2I-N</t>
  </si>
  <si>
    <t>WEIPU SP13 Gehäusebuchse, 4-polig</t>
  </si>
  <si>
    <t>4-polig, Buchsenkontakte, IP68 gesteckt, Lötanschluss, Hinterwandmontage</t>
  </si>
  <si>
    <t>SP1312/S4-N</t>
  </si>
  <si>
    <t>Passend zu Kabelstecker SP1310/P4-N (ENP-00085). 5 A / 200 V AC; Panel-Ausschnitt Ø13 mm. Vorgesehen für I2C/GPIO/Sensorik.</t>
  </si>
  <si>
    <t>WEIPU SP13 Kabelstecker, 4-polig</t>
  </si>
  <si>
    <t>4-polig, Stiftkontakte, IP68 gesteckt, Lötanschluss</t>
  </si>
  <si>
    <t>SP1310/P4I-N</t>
  </si>
  <si>
    <t>WEIPU SP13 Gehäusestecker, 4-polig</t>
  </si>
  <si>
    <t>4-polig, Stiftkontakte, IP68 gesteckt, Lötanschluss, Hinterwandmontage</t>
  </si>
  <si>
    <t>SP1312/P4-N</t>
  </si>
  <si>
    <t>Passend zu Kabelbuchse SP1310/S4-N (ENP-00087). 5 A / 200 V AC; Panel-Ausschnitt Ø13 mm. Vorgesehen für I2C/GPIO/Sensorik.</t>
  </si>
  <si>
    <t>WEIPU SP13 Kabelbuchse, 4-polig</t>
  </si>
  <si>
    <t>4-polig, Buchsenkontakte, IP68 gesteckt, Lötanschluss</t>
  </si>
  <si>
    <t>SP1310/S4I-N</t>
  </si>
  <si>
    <t>DC-Einbaubuchse 5,5/2,1 mm – EnvNode 5-V-Versorgung</t>
  </si>
  <si>
    <t>5,5 × 2,1 mm, 2-polig, 20 V DC / 10 A, Lötanschluss</t>
  </si>
  <si>
    <t>Delock</t>
  </si>
  <si>
    <t>90174</t>
  </si>
  <si>
    <t>Reichelt Produktseite, abgerufen 2026-09-01</t>
  </si>
  <si>
    <t>Für 5-V-Versorgung in trockener Umgebung. Passend für DC-Stecker 5,5/2,1 mm mit 9,5 oder 12 mm Stiftlänge. Polarität im Kit verbindlich festlegen, empfohlen: Plus am Innenkontakt.</t>
  </si>
  <si>
    <t>USB-C-Buchse, 16-polig, USB 2.0, Top-Mount</t>
  </si>
  <si>
    <t>USB Type-C Receptacle, 16 Signalpins (+ 8 Dummy), 5 A, 48 V DC, SMD/TH, horizontal</t>
  </si>
  <si>
    <t>Connector_USB:USB_C_Receptacle_GCT_USB4105-xx-A_16P_TopMnt_Horizontal</t>
  </si>
  <si>
    <t>GCT</t>
  </si>
  <si>
    <t>USB4105-GF-A</t>
  </si>
  <si>
    <t>EnvNode Rev 0.2</t>
  </si>
  <si>
    <t>USB-C-Power-Eingang</t>
  </si>
  <si>
    <t>GCT USB4105 Spezifikation; KiCad Standardbibliothek; DigiKey, abgerufen 2026-09-02</t>
  </si>
  <si>
    <t>Power-only mit Symbol Connector:USB_C_Receptacle_USB2.0_16P. Robuste Top-Mount-Ausführung mit vier durchkontaktierten Shield-/Haltezungen. D+/D− und SBU1/SBU2 NC; Shield an GND; CC1 und CC2 jeweils separat über 5,1 kΩ nach GND.</t>
  </si>
  <si>
    <t>SMD-Widerstand 5,1 kOhm, 5 %, 1206</t>
  </si>
  <si>
    <t>5,1 kΩ, 5 %, 250 mW</t>
  </si>
  <si>
    <t>RC1206JR-075K1L</t>
  </si>
  <si>
    <t>USB-C CC1/CC2 (2×)</t>
  </si>
  <si>
    <t>Zwei Stück als getrennte USB-C-Rd-Widerstände: je einer von CC1 bzw. CC2 nach GND; CC1 und CC2 nicht miteinander verbinden. Die Reichelt-Ausführung mit 5 % Toleranz ist für diese Funktion geeignet.</t>
  </si>
  <si>
    <t>Präzisions-Buchsenleiste 1x8, 2,54 mm, gerade</t>
  </si>
  <si>
    <t>1x8, 2,54 mm, THT, gerade, Präzisionskontakte, 3 A / 150 V</t>
  </si>
  <si>
    <t>Connector_PinSocket_2.54mm:PinSocket_1x08_P2.54mm_Vertical</t>
  </si>
  <si>
    <t>Binder MPE</t>
  </si>
  <si>
    <t>115-1-008-1-0-MTF-XS0</t>
  </si>
  <si>
    <t>Reichelt Produktseite, abgerufen 2026-09-03</t>
  </si>
  <si>
    <t>Gerade THT-Präzisionsbuchsenleiste mit gedrehten Kontakten; Höhe 7 mm, UL 94V-0, Temperaturbereich −55 bis +125 °C. Derzeit keinem Kit oder KiCad-BOM zugeordnet.</t>
  </si>
  <si>
    <t>Dual-MOSFET N-/P-Kanal, SO-8</t>
  </si>
  <si>
    <t>N-/P-Kanal, ±30 V, 1,4 W</t>
  </si>
  <si>
    <t>Infineon</t>
  </si>
  <si>
    <t>IRF7309PBF</t>
  </si>
  <si>
    <t>Komplementäres N-/P-Kanal-MOSFET-Paar im SO-8-Gehäuse; derzeit keinem Kit oder KiCad-BOM zugeordnet.</t>
  </si>
  <si>
    <t>SMD-Widerstand 100 kOhm, 5 %, 1206</t>
  </si>
  <si>
    <t>100 kΩ, 5 %, 250 mW, 200 V, ±100 ppm/K</t>
  </si>
  <si>
    <t>RC1206JR-07100KL</t>
  </si>
  <si>
    <t>Nicht mit ENP-00016 zusammenführen: Dieser Artikel hat 5 % Toleranz; ENP-00016 hat 0,1 %. Derzeit keinem Kit oder KiCad-BOM zugeordnet.</t>
  </si>
  <si>
    <t>SMD-Widerstand 10 kOhm, 5 %, 1206</t>
  </si>
  <si>
    <t>10 kΩ, 5 %, 250 mW, 200 V, ±100 ppm/K</t>
  </si>
  <si>
    <t>RC1206JR-0710KL</t>
  </si>
  <si>
    <t>Nicht mit ENP-00018 zusammenführen: Dieser Artikel hat 5 % Toleranz; ENP-00018 hat 0,1 %. Derzeit keinem Kit oder KiCad-BOM zugeordnet.</t>
  </si>
  <si>
    <t>Hex-Inverter mit Schmitt-Trigger, SO-14</t>
  </si>
  <si>
    <t>4000B, 6-fach, 3–15 V, SO-14</t>
  </si>
  <si>
    <t>Package_SO:SOIC-14_3.9x8.7mm_P1.27mm</t>
  </si>
  <si>
    <t>FREI</t>
  </si>
  <si>
    <t>Reichelt nennt keinen konkreten Hersteller und keine MPN; funktional als HEF40106/HCF40106/CD40106 beschrieben. Vor BOM-Zuordnung die tatsächliche Gehäusebeschriftung prüfen.</t>
  </si>
  <si>
    <t>SMD 40106</t>
  </si>
  <si>
    <t>Elektrolytkondensator 220 µF SMD, Low ESR</t>
  </si>
  <si>
    <t>220 µF, ±20 %, 16 V, 105 °C, 2000 h, ESR 160 mΩ</t>
  </si>
  <si>
    <t>EEEFPC221XAP</t>
  </si>
  <si>
    <t>Panasonic Serie V-FP; Ø 6,3 × 7,7 mm, Ripple-Strom 600 mA. Polarität beachten; derzeit keinem Kit oder KiCad-BOM zugeordnet.</t>
  </si>
  <si>
    <t>Elektrolytkondensator 470 µF SMD, Low ESR</t>
  </si>
  <si>
    <t>470 µF, ±20 %, 16 V, 105 °C, 5000 h, ESR 160 mΩ</t>
  </si>
  <si>
    <t>Capacitor_SMD:CP_Elec_8x10.2</t>
  </si>
  <si>
    <t>Europe Chemi-Con</t>
  </si>
  <si>
    <t>EMZL160ARA471MHA0G</t>
  </si>
  <si>
    <t>Europe Chemi-Con Serie MZL; Ø 8 × 10 mm, Ripple-Strom 600 mA. Polarität beachten; derzeit keinem Kit oder KiCad-BOM zugeordnet.</t>
  </si>
  <si>
    <t>JST-XH Stiftleiste 1x2, abgewinkelt</t>
  </si>
  <si>
    <t>1x2, 2,50 mm, THT, 90°, 250 V / 3 A</t>
  </si>
  <si>
    <t>Connector_JST:JST_XH_S2B-XH-A-1_1x02_P2.50mm_Horizontal</t>
  </si>
  <si>
    <t>S2B-XH-A</t>
  </si>
  <si>
    <t>Abgewinkelte Print-Stiftleiste der JST-XH-Serie; Rastermaß 2,50 mm, nicht 2,54 mm. Derzeit keinem Kit oder KiCad-BOM zugeordnet.</t>
  </si>
  <si>
    <t>SMD-Widerstand 1 kOhm, 1 %, 1206</t>
  </si>
  <si>
    <t>1 kΩ, 1 %, 250 mW, 200 V, ±100 ppm/K</t>
  </si>
  <si>
    <t>Walsin</t>
  </si>
  <si>
    <t>WR12X1001FTL</t>
  </si>
  <si>
    <t>Nicht mit ENP-00036 zusammenführen: gleicher Nennwert und gleiche Toleranz, aber anderer Hersteller und andere MPN. Derzeit keinem Kit oder KiCad-BOM zugeordnet.</t>
  </si>
  <si>
    <t>Rot, 624 nm, 40 mcd, 160°, Vf max. 1,7 V, IF max. 20 mA</t>
  </si>
  <si>
    <t>Everlight</t>
  </si>
  <si>
    <t>15-21SURD/S530-A3/TR8</t>
  </si>
  <si>
    <t>Nicht mit ENP-00064 zusammenführen: andere MPN, Lichtstärke, Wellenlänge und Abstrahlwinkel. Polarität beachten; derzeit keinem Kit oder KiCad-BOM zugeordnet.</t>
  </si>
  <si>
    <t>Steckbrücke</t>
  </si>
  <si>
    <t>Kurzschlussbrücke 2,54 mm, schwarz, mit Grifflasche</t>
  </si>
  <si>
    <t>2-polig, Raster 2,54 mm, vergoldet, schwarz, mit Grifflasche</t>
  </si>
  <si>
    <t>Reichelt nennt keinen konkreten Hersteller und keine MPN. Lose Steckbrücke für 2,54-mm-Stiftleisten; derzeit keinem Kit oder KiCad-BOM zugeordnet.</t>
  </si>
  <si>
    <t>JUMPER 2,54GL SW</t>
  </si>
  <si>
    <t>EEPROM</t>
  </si>
  <si>
    <t>I²C-EEPROM 32 Kbit, SOIC-8</t>
  </si>
  <si>
    <t>32 Kbit, I²C, 2,5–5,5 V</t>
  </si>
  <si>
    <t>24LC32A-I/SN</t>
  </si>
  <si>
    <t>EnvNode Mini Rev 0.3; Empty FullSize/HalfSize SMD/THT Rev 0.3; DuoRelay Rev 0.3; AnalogHydroPressure Rev 0.3; ESP32 Core Dual Power Rev 0.3; AnalogHydroPressure Rev 0.4 (DNP); Aktuell 29.09.2026: EnvNode Mini Bausatz Rev 0.8; DuoRelay FullSize Bausatz Rev 0.3; EnvNode Weatherstation Bausatz Rev 0.2</t>
  </si>
  <si>
    <t>ENK-00001 U1; ENK-00002 U2 (DNP); ENK-00008 U2</t>
  </si>
  <si>
    <t>Reichelt Produktseite und Microchip 24LC32A Datenblatt, abgerufen 2026-09-06</t>
  </si>
  <si>
    <t>Neuer I²C-Konfigurations-EEPROM für Rev. 0.3; A0/A1/A2 und WP liegen auf GND, dadurch 7-Bit-Adresse 0x50. Nicht mit ENP-00024 zusammenführen: ENP-00024 ist der historische 2-Kbit-EUI-64-Typ im SOT-23-6. Reichelt-Artikel 24LC32A-I/SN im SOIC-8; Preis und Verfügbarkeit vor Bestellung prüfen.</t>
  </si>
  <si>
    <t>EnvNode Mini PCB Rev 0.3</t>
  </si>
  <si>
    <t>Revision 0.3</t>
  </si>
  <si>
    <t>EnvNode Mini_Y29</t>
  </si>
  <si>
    <t>EnvNode Mini Rev 0.3</t>
  </si>
  <si>
    <t>KiCad; Nutzerangabe, 2026-09-07</t>
  </si>
  <si>
    <t>Unbestückte Leiterplatte; bei JLCPCB bestellt, Bestellmenge/VE 5. Der gespeicherte KiCad-PCB-Stand trägt Revision 0.3.</t>
  </si>
  <si>
    <t>ENVNODE MINI PCB REV 0.3|PCB: MAINBOARDS/ENVNODE MINI/ENVNODE MINI.KICAD_PCB</t>
  </si>
  <si>
    <t>DuoRelay FullSize PCB Rev 0.3</t>
  </si>
  <si>
    <t>EnvNode Mini_Y28</t>
  </si>
  <si>
    <t>DuoRelay Rev 0.3; Aktuell 29.09.2026: DuoRelay FullSize Bausatz Rev 0.3</t>
  </si>
  <si>
    <t>ENK-00002 PCB</t>
  </si>
  <si>
    <t>DUORELAY FULLSIZE PCB REV 0.3|PCB: MODULES/FULLSIZE/DUORELAY/DUORELAY.KICAD_PCB</t>
  </si>
  <si>
    <t>AnalogHydroPressure FullSize PCB Rev 0.3</t>
  </si>
  <si>
    <t>EnvNode Mini_Y30</t>
  </si>
  <si>
    <t>AnalogHydroPressure Rev 0.3</t>
  </si>
  <si>
    <t>ANALOGHYDROPRESSURE FULLSIZE PCB REV 0.3|PCB: MODULES/FULLSIZE/ANALOGHYDROPRESSURE/ANALOGHYDROPRESSURE.KICAD_PCB</t>
  </si>
  <si>
    <t>Schottky-Diode B260S1F-7</t>
  </si>
  <si>
    <t>60 V, 2 A, UF max. 0,55 V, IFSM 50 A</t>
  </si>
  <si>
    <t>Diode_SMD:D_SOD-123F</t>
  </si>
  <si>
    <t>Diodes Incorporated</t>
  </si>
  <si>
    <t>B260S1F-7</t>
  </si>
  <si>
    <t>AnalogHydroPressure Rev 0.4</t>
  </si>
  <si>
    <t>Schottky-Gleichrichter im SOD-123F-Gehäuse für den 24-V-Boost-Ausgang.</t>
  </si>
  <si>
    <t>AnalogHydroPressure FullSize PCB Rev 0.4</t>
  </si>
  <si>
    <t>Revision 0.4</t>
  </si>
  <si>
    <t>Y38-4808750A</t>
  </si>
  <si>
    <t>KiCad, geprüft 2026-09-08</t>
  </si>
  <si>
    <t>Aktueller Rev.-0.4-PCB-Stand mit SOD-123F an D3, Lötjumpern und optionaler DNP-Teststiftleiste J2.  Auftragsnummer laut Nutzer erfasst; Wareneingang/Bestellmenge noch abgleichen.</t>
  </si>
  <si>
    <t>ANALOGHYDROPRESSURE FULLSIZE PCB REV 0.4|PCB: MODULES/FULLSIZE/ANALOGHYDROPRESSURE/ANALOGHYDROPRESSURE.KICAD_PCB</t>
  </si>
  <si>
    <t>Stiftleiste 1x4, 2,54 mm, vertikal</t>
  </si>
  <si>
    <t>1x4, 2,54 mm, THT, vertikal, vergoldet</t>
  </si>
  <si>
    <t>Connector_PinHeader_2.54mm:PinHeader_1x04_P2.54mm_Vertical</t>
  </si>
  <si>
    <t>SL4G1</t>
  </si>
  <si>
    <t>AnalogHydroPressure Rev 0.4 (DNP); RainDetectorController Rev 0.3; Aktuell 29.09.2026: RainDetectorController Rev 0.3</t>
  </si>
  <si>
    <t>ENK-00006 J3,J4 (DNP)</t>
  </si>
  <si>
    <t>Optionale Messstiftleiste für GND, 24V, LOOP_RETURN und AIN0; laut KiCad DNP und für den Betrieb nicht erforderlich.</t>
  </si>
  <si>
    <t>2x7, 2,54 mm, THT, vertikal, vergoldet, Bauhöhe 8,4 mm</t>
  </si>
  <si>
    <t>61301421821</t>
  </si>
  <si>
    <t>DigiKey Auftragsbestätigung 101459961, 07.09.2026</t>
  </si>
  <si>
    <t>Gelieferte Würth-WR-PHD-Ausführung. Elektrisch und footprint-kompatibel zu ENP-00054; abweichende Bauhöhe 8,4 statt 8,5 mm.</t>
  </si>
  <si>
    <t>SMD-Widerstand 5,1 kOhm, 1 %, 1206</t>
  </si>
  <si>
    <t>5,1 kΩ, 1 %, 250 mW</t>
  </si>
  <si>
    <t>CRCW12065K10FKEA</t>
  </si>
  <si>
    <t>Bestand/Werkstatt; ORing Power Rev 0.1; Aktuell 29.09.2026: ORing Power Modul Rev 0.1</t>
  </si>
  <si>
    <t>ENK-00007 R1,R2</t>
  </si>
  <si>
    <t>Gelieferte 1-%-Ausführung. Elektrisch und footprint-kompatibel zu ENP-00090; engere Toleranz als die dort geführte 5-%-Variante.</t>
  </si>
  <si>
    <t>SMD-Stiftleiste 2x10, Zuschnitt auf 2x2</t>
  </si>
  <si>
    <t>2x10, RM 2,54 mm, SMD, gerade</t>
  </si>
  <si>
    <t>Connector_PinHeader_2.54mm:PinHeader_2x02_P2.54mm_Vertical_SMD</t>
  </si>
  <si>
    <t>RainDetectorHead Rev 0.1; Aktuell 29.09.2026: RainDetectorHead Rev 0.1</t>
  </si>
  <si>
    <t>ENK-00005 J1,J2</t>
  </si>
  <si>
    <t>KiCad; Reichelt, 2026-09-14</t>
  </si>
  <si>
    <t>Kauf-/Lagereinheit: ganze 2x10-Leiste SL 2X10G SMD2,54. Pro Head 1 Leiste für zwei 2x2-Zuschnitte; Rest nicht angerechnet. Teilbarkeit, Padmaße und Steckhöhe am Muster prüfen. Ersetzt den bisherigen Harwin-Eintrag ohne Bestand.</t>
  </si>
  <si>
    <t>SL 2X10G SMD2,54</t>
  </si>
  <si>
    <t>SMD-Heizwiderstand 15 Ohm, 1 %, 1206</t>
  </si>
  <si>
    <t>15 Ω, 1 %, 0,25 W bei 70 °C</t>
  </si>
  <si>
    <t>RC1206FR-0715RL</t>
  </si>
  <si>
    <t>RainDetectorHead Rev 0.1</t>
  </si>
  <si>
    <t>R1–R20</t>
  </si>
  <si>
    <t>KiCad; YAGEO-Datenblatt, 2026-09-14</t>
  </si>
  <si>
    <t>20 Stück pro Head (R1–R20). Fünf parallele Stränge mit je vier Widerständen: 12 Ω gesamt, bei 5 V 0,417 A und 2,083 W; je Widerstand 0,104 W. Nennleistung 0,25 W bis 70 °C; Temperatur/Derating im Heiztest prüfen. Gehäuse 3,1 x 1,6 mm passt zum 1206-Footprint.</t>
  </si>
  <si>
    <t>RainDetectorHead PCB Rev 0.1</t>
  </si>
  <si>
    <t>Revision 0.1, 62,12 x 44,12 mm</t>
  </si>
  <si>
    <t>PCB: Sensors/RainDetectorHead/RainDetectorHead.kicad_pcb</t>
  </si>
  <si>
    <t>Y36-4808750A</t>
  </si>
  <si>
    <t>ENK-00005 PCB</t>
  </si>
  <si>
    <t>KiCad, 2026-09-14</t>
  </si>
  <si>
    <t>1 unbestückte Platine pro Head. Eigener Artikel. 2 Lagen, 1,6 mm, 35 µm Kupfer. Sensorelektroden vollständig unter Lötstopp; 0,10 mm Kupferspalt. Via-Verschluss gemäß Fertigungsdaten mit Hersteller klären.  C1 ist Kupferstruktur, kein Kaufteil. Auftragsnummer laut Nutzer erfasst; Wareneingang/Bestellmenge noch abgleichen.</t>
  </si>
  <si>
    <t>RAINDETECTORHEAD PCB REV 0.1</t>
  </si>
  <si>
    <t>RainDetectorController PCB Rev 0.3</t>
  </si>
  <si>
    <t>Revision 0.3, 62,12 x 44,12 mm</t>
  </si>
  <si>
    <t>PCB: Sensors/RainDetectorController/RainDetectorController.kicad_pcb</t>
  </si>
  <si>
    <t>Y37-4808750A</t>
  </si>
  <si>
    <t>RainDetectorController Rev 0.3; Aktuell 29.09.2026: RainDetectorController Rev 0.3</t>
  </si>
  <si>
    <t>ENK-00006 PCB</t>
  </si>
  <si>
    <t>1 unbestückte Platine pro Controller. Eigener Artikel, getrennt vom Head bestellbar.  Ersetzt nicht den alten Stall.biz-Adapterartikel ENP-00053. Auftragsnummer laut Nutzer erfasst; Wareneingang/Bestellmenge noch abgleichen.</t>
  </si>
  <si>
    <t>RAINDETECTORCONTROLLER PCB REV 0.3</t>
  </si>
  <si>
    <t>15 Ω, 1 %, 250 mW</t>
  </si>
  <si>
    <t>WR12X15R0FTL</t>
  </si>
  <si>
    <t>ENK-00005 R1,R2,R3,R4,R5,R6,R7,R8,R9,R10,R11,R12,R13,R14,R15,R16,R17,R18,R19,R20</t>
  </si>
  <si>
    <t>Reichelt, 2026-09-14</t>
  </si>
  <si>
    <t>Reichelt-Ausführung für den Head; 20 Stück. Elektrische Nennwerte wie ENP-00112. 0,104 W je Widerstand bei 5 V; thermischen Aufbau praktisch testen.</t>
  </si>
  <si>
    <t>Buchsenleiste 2x2, 2,54 mm, THT</t>
  </si>
  <si>
    <t>2x2, RM 2,54 mm, THT, gerade</t>
  </si>
  <si>
    <t>Connector_PinSocket_2.54mm:PinSocket_2x02_P2.54mm_Vertical</t>
  </si>
  <si>
    <t>10120957</t>
  </si>
  <si>
    <t>ENK-00006 J1,J2</t>
  </si>
  <si>
    <t>2 Stück pro Controller. Gegenstück zu den 2x2-SMD-Zuschnitten am Head. Endgültigen Platinenabstand und Steckhöhe am Muster prüfen.</t>
  </si>
  <si>
    <t>USB-C-Buchse, 6-polig, Power-only, Top-Mount</t>
  </si>
  <si>
    <t>USB Type-C, 6 Kontakte, 5 V / 3 A, SMD/TH, horizontal</t>
  </si>
  <si>
    <t>Connector_USB:USB_C_Receptacle_GCT_USB4125-xx-x-0190_6P_TopMnt_Horizontal</t>
  </si>
  <si>
    <t>USB4125-GF-A-0190</t>
  </si>
  <si>
    <t>ORing Power Rev 0.1; Aktuell 29.09.2026: ORing Power Modul Rev 0.1</t>
  </si>
  <si>
    <t>ENK-00007 J3</t>
  </si>
  <si>
    <t>GCT USB4125 Datenblatt; KiCad Standardbibliothek; Mouser, geprüft 2026-09-20</t>
  </si>
  <si>
    <t>Power-only-Buchse. CC1 und CC2 jeweils separat über 5,1 kΩ nach GND. Keine USB-Datenleitungen und keine USB-PD-Aushandlung. Exakte Variante mit 1,90-mm-Befestigungszapfen verwenden.</t>
  </si>
  <si>
    <t>ORing Power Modul PCB Rev 0.1</t>
  </si>
  <si>
    <t>Revision 0.1, 39 x 15 mm</t>
  </si>
  <si>
    <t>PCB: DesignBlocks/ORing Power/ORing Power.kicad_pcb</t>
  </si>
  <si>
    <t>Y33-4808750A</t>
  </si>
  <si>
    <t>ENK-00007 PCB</t>
  </si>
  <si>
    <t>KiCad, geprüft 2026-09-21</t>
  </si>
  <si>
    <t>Unbestückte castellated Leiterplatte.  Vor Serienfreigabe mechanischen Sitz, Lötbarkeit und elektrische Inbetriebnahme prüfen. Auftragsnummer laut Nutzer erfasst; Wareneingang/Bestellmenge noch abgleichen.</t>
  </si>
  <si>
    <t>ORING POWER MODUL PCB REV 0.1|PCB: DESIGNBLOCKS/ORING POWER/ORING POWER.KICAD_PCB</t>
  </si>
  <si>
    <t>JST-PH Stiftleiste, 2-polig, vertikal, SMD</t>
  </si>
  <si>
    <t>JST-PH, 2-polig, 2,00 mm, SMD</t>
  </si>
  <si>
    <t>Connector_JST:JST_PH_B2B-PH-SM4-TB_1x02-1MP_P2.00mm_Vertical</t>
  </si>
  <si>
    <t>B2B-PH-SM4-TBT</t>
  </si>
  <si>
    <t>ENK-00007 J1</t>
  </si>
  <si>
    <t>KiCad; JST PH Datenblatt; Reichelt, geprüft 2026-09-21</t>
  </si>
  <si>
    <t>Reichelt: B2B-PH-SM4-TBT (Ansaughilfe), JST PH2P SM4. KiCad-Footprint heißt B2B-PH-SM4-TB. Hersteller: https://jst.de/produkt/3424/692450-00</t>
  </si>
  <si>
    <t>EnvNode Mini PCB Rev 0.6</t>
  </si>
  <si>
    <t>Revision 0.6</t>
  </si>
  <si>
    <t>Y35-4808750A</t>
  </si>
  <si>
    <t>EnvNode Mini Rev 0.6</t>
  </si>
  <si>
    <t>Unbestückte Leiterplatte; bei JLCPCB bestellt, Bestellmenge/VE 5. Der gespeicherte KiCad-PCB-Stand trägt Revision 0.6.</t>
  </si>
  <si>
    <t>ENVNODE MINI PCB REV 0.6|PCB: MAINBOARDS/ENVNODE MINI/ENVNODE MINI.KICAD_PCB</t>
  </si>
  <si>
    <t>EnvNode Weatherstation Rev 0.1</t>
  </si>
  <si>
    <t>PCB: MainBoards/Weatherstation/Weatherstation.kicad_pcb</t>
  </si>
  <si>
    <t>Bestelltes Rev.-0.1-Los. Kopierte Mini-MPN Y35-4808750A entfernt; tatsächliche JLCPCB-Auftragsnummer offen. Nicht für Rev. 0.2 anrechnen.</t>
  </si>
  <si>
    <t>WEATHERSTATION PCB REV 0.1</t>
  </si>
  <si>
    <t>JST-SH Stiftleiste, 4-polig, vertikal</t>
  </si>
  <si>
    <t>4-polig, 1,00 mm, SMD, Top-Entry</t>
  </si>
  <si>
    <t>Connector_JST:JST_SH_BM04B-SRSS-TB_1x04-1MP_P1.00mm_Vertical</t>
  </si>
  <si>
    <t>BM04B-SRSS-TB</t>
  </si>
  <si>
    <t>EnvNode Mini Rev 0.6; Weatherstation Rev 0.1; Aktuell 29.09.2026: EnvNode Mini Bausatz Rev 0.8; EnvNode Weatherstation Bausatz Rev 0.2</t>
  </si>
  <si>
    <t>ENK-00001 J4,J5,J6,J7; ENK-00008 I2C0_1,I2C0_2,I2C0_3,I2C0_4,I2C1_1,I2C1_2,I2C1_3,I2C1_4</t>
  </si>
  <si>
    <t>https://www.jst.com/wp-content/uploads/2021/01/eSH.pdf</t>
  </si>
  <si>
    <t>4 Stück pro Mini, 8 pro Weatherstation. Vertikal; horizontaler ENP-00026 ist kein Ersatz.</t>
  </si>
  <si>
    <t>ENP-00123</t>
  </si>
  <si>
    <t>EnvNode Mini PCB Rev 0.8</t>
  </si>
  <si>
    <t>Revision 0.8</t>
  </si>
  <si>
    <t>EnvNode Mini Rev 0.8; Aktuell 29.09.2026: EnvNode Mini Bausatz Rev 0.8</t>
  </si>
  <si>
    <t>KiCad-Abgleich 2026-09-29</t>
  </si>
  <si>
    <t>Neue Revision mit ADC1/ADC2. Nicht mit bestellten Rev.-0.6-PCBs verrechnen. Preis und Fertigungsauftrag offen.</t>
  </si>
  <si>
    <t>ENVNODE MINI PCB REV 0.8|PCB: MAINBOARDS/ENVNODE MINI/ENVNODE MINI.KICAD_PCB</t>
  </si>
  <si>
    <t>ENP-00124</t>
  </si>
  <si>
    <t>EnvNode Weatherstation PCB Rev 0.2</t>
  </si>
  <si>
    <t>Weatherstation Rev 0.2; Aktuell 29.09.2026: EnvNode Weatherstation Bausatz Rev 0.2</t>
  </si>
  <si>
    <t>ENK-00008 PCB</t>
  </si>
  <si>
    <t>I2C0-Slotbelegung korrigiert. Nicht mit bestellten Rev.-0.1-PCBs verrechnen. Preis und Fertigungsauftrag offen.</t>
  </si>
  <si>
    <t>ENVNODE WEATHERSTATION PCB REV 0.2|PCB: MAINBOARDS/WEATHERSTATION/WEATHERSTATION.KICAD_PCB</t>
  </si>
  <si>
    <t>ENP-00125</t>
  </si>
  <si>
    <t>Klinkeneinbaubuchse Lumberg 1503 09</t>
  </si>
  <si>
    <t>3,5 mm, Stereo, THT, verschraubbar</t>
  </si>
  <si>
    <t>EnvNode-Footprints:Jack_3.5mm_Lumberg_1503_09_Horizontal</t>
  </si>
  <si>
    <t>Lumberg</t>
  </si>
  <si>
    <t>1503 09</t>
  </si>
  <si>
    <t>SCT013Head Rev 0.1; Aktuell 29.09.2026: SCT013Head Rev 0.1</t>
  </si>
  <si>
    <t>ENK-00010 J1</t>
  </si>
  <si>
    <t>Herstellerzeichnung: https://downloads.lumberg.com/datenblaetter/en/1503_09.pdf. Tip Pin 3, Sleeve Pin 1. Preis offen.</t>
  </si>
  <si>
    <t>ENP-00126</t>
  </si>
  <si>
    <t>SCT013Head PCB Rev 0.1</t>
  </si>
  <si>
    <t>PCB: Sensors/SCT013Head/SCT013Head.kicad_pcb</t>
  </si>
  <si>
    <t>ENK-00010 PCB</t>
  </si>
  <si>
    <t>Entwurf. REVIEW.md vom 29.09.2026: VBIAS-Verbindung und ADC1-Schaltplan/Layout-Abgleich vor Fertigung offen. Direkt angelötetes Pigtail vom Nutzer bestätigt.</t>
  </si>
  <si>
    <t>SCT013HEAD PCB REV 0.1|PCB: SENSORS/SCT013HEAD/SCT013HEAD.KICAD_PCB</t>
  </si>
  <si>
    <t>ENP-00127</t>
  </si>
  <si>
    <t>SCT013Head ADC-Pigtail, direkt angelötet</t>
  </si>
  <si>
    <t>JST-PH 4-polig zum Mainboard; Länge offen</t>
  </si>
  <si>
    <t>Assembly: direkt an ADC1 gelötet</t>
  </si>
  <si>
    <t>ENK-00010 ADC1</t>
  </si>
  <si>
    <t>Nutzerentscheidung 29.09.2026: keine Stift-/Buchsenleiste. Pin 1 GND, Pin 2 unbenutzt, Pin 3 ADC, Pin 4 3V3. Kabellänge und konkreten Kabelartikel ergänzen. Keine pauschale Umbuchung aus ENP-00001 (Set).</t>
  </si>
  <si>
    <t>SCT013HEAD ADC-PIGTAIL, DIREKT ANGELÖTET|ASSEMBLY: DIREKT AN ADC1 GELÖTET</t>
  </si>
  <si>
    <t>0.8</t>
  </si>
  <si>
    <t>Entwurf</t>
  </si>
  <si>
    <t>hardware/kicad/MainBoards/EnvNode Mini/EnvNode Mini.kicad_sch</t>
  </si>
  <si>
    <t>hardware/kicad/MainBoards/EnvNode Mini/EnvNode Mini.kicad_pcb</t>
  </si>
  <si>
    <t>KiCad Rev. 0.8: zwei ADC-JST-PH, vier vertikale JST-SH, EEPROM und C1. Ein ORing-Modul separat in Gesamtmenge planen. PCB Rev. 0.8 erforderlich.</t>
  </si>
  <si>
    <t>0.3</t>
  </si>
  <si>
    <t>hardware/kicad/Modules/FullSize/DuoRelay/DuoRelay.kicad_sch</t>
  </si>
  <si>
    <t>hardware/kicad/Modules/FullSize/DuoRelay/DuoRelay.kicad_pcb</t>
  </si>
  <si>
    <t>KiCad Rev. 0.3: C1 und U2 (EEPROM) DNP. Historischer Verbrauch eines bestückten EEPROM bleibt erhalten.</t>
  </si>
  <si>
    <t>0.4</t>
  </si>
  <si>
    <t>hardware/kicad/Modules/FullSize/AnalogHydroPressure/AnalogHydroPressure.kicad_sch</t>
  </si>
  <si>
    <t>hardware/kicad/Modules/FullSize/AnalogHydroPressure/AnalogHydroPressure.kicad_pcb</t>
  </si>
  <si>
    <t>Rev. 0.4 aus aktuellem KiCad-Stand: B260S1F-7/SOD-123F an D3, I²C-Auswahl über Lötjumper, J2 als optionale DNP-Teststiftleiste, U3 DNP; vier Messsignale GND, 24V, LOOP_RETURN und AIN0. Aufbau erst nach Eingang der Rev.-0.4-PCBs.</t>
  </si>
  <si>
    <t>RainDetector Bausatz</t>
  </si>
  <si>
    <t>1.0</t>
  </si>
  <si>
    <t>hardware/kicad/Sensors/Raindetector/Raindetector.kicad_sch</t>
  </si>
  <si>
    <t>hardware/kicad/Sensors/Raindetector/Raindetector.kicad_pcb</t>
  </si>
  <si>
    <t>Legacy: Stall.biz-Adapter. Für Eigenentwicklung ENK-00005 RainDetectorHead und ENK-00006 RainDetectorController verwenden. Historische BOM bleibt erhalten.</t>
  </si>
  <si>
    <t>0.1</t>
  </si>
  <si>
    <t>Prototyp</t>
  </si>
  <si>
    <t>hardware/kicad/Sensors/RainDetectorHead/RainDetectorHead.kicad_sch</t>
  </si>
  <si>
    <t>hardware/kicad/Sensors/RainDetectorHead/RainDetectorHead.kicad_pcb</t>
  </si>
  <si>
    <t>20 Heizwiderstände, 1 ganze SMD-Leiste 2x10 für zwei 2x2-Zuschnitte und eigene PCB. C1 ist PCB-Kupferstruktur. Reststücke nicht angerechnet. Steckhöhe und Abstandshalter am Muster prüfen.</t>
  </si>
  <si>
    <t>hardware/kicad/Sensors/RainDetectorController/RainDetectorController.kicad_sch</t>
  </si>
  <si>
    <t>hardware/kicad/Sensors/RainDetectorController/RainDetectorController.kicad_pcb</t>
  </si>
  <si>
    <t>Eigene PCB und Controller-Elektronik. J1/J2: zwei BKL-2x2-THT-Buchsenleisten. J3/J4 DNP. Head separat bestellen. Steckhöhe und Abstandshalter am Muster prüfen.</t>
  </si>
  <si>
    <t>ORing Power Modul</t>
  </si>
  <si>
    <t>hardware/kicad/DesignBlocks/ORing Power/ORing Power.kicad_sch</t>
  </si>
  <si>
    <t>hardware/kicad/DesignBlocks/ORing Power/ORing Power.kicad_pcb</t>
  </si>
  <si>
    <t>Vollständiger Bauteilsatz gemäß KiCad. 5 Module insgesamt: 4 für die geplanten Mainboards und 1 Reserve.</t>
  </si>
  <si>
    <t>EnvNode Weatherstation Bausatz</t>
  </si>
  <si>
    <t>0.2</t>
  </si>
  <si>
    <t>hardware/kicad/MainBoards/Weatherstation/Weatherstation.kicad_sch</t>
  </si>
  <si>
    <t>hardware/kicad/MainBoards/Weatherstation/Weatherstation.kicad_pcb</t>
  </si>
  <si>
    <t>KiCad Rev. 0.2: I2C0-Slot korrigiert. 8 JST-SH, 10 JST-PH. GPIO4 statt alter RefDes GPIO33. Ein ORing-Modul separat in Gesamtmenge planen.</t>
  </si>
  <si>
    <t>ENK-00009</t>
  </si>
  <si>
    <t>SolarRadiation</t>
  </si>
  <si>
    <t>hardware/kicad/Sensors/SolarRadiation/SolarRadiation.kicad_sch</t>
  </si>
  <si>
    <t>hardware/kicad/Sensors/SolarRadiation/SolarRadiation.kicad_pcb</t>
  </si>
  <si>
    <t>Solarzelle ENP-00046 gemäß bereits dokumentierter Freigabe. C1=10 nF, C2=100 nF.</t>
  </si>
  <si>
    <t>ENK-00010</t>
  </si>
  <si>
    <t>SCT013Head</t>
  </si>
  <si>
    <t>hardware/kicad/Sensors/SCT013Head/SCT013Head.kicad_sch</t>
  </si>
  <si>
    <t>hardware/kicad/Sensors/SCT013Head/SCT013Head.kicad_pcb</t>
  </si>
  <si>
    <t>Direkt angelötetes Pigtail laut Nutzer. PCB-Review offen; keine Fertigungsfreigabe. Nur SCT013 mit integrierter Bürde/Spannungsausgang; Sensor selbst nicht Bestandteil des Head-Kits.</t>
  </si>
  <si>
    <t>ADC1,ADC2</t>
  </si>
  <si>
    <t>Bestücken</t>
  </si>
  <si>
    <t>C1</t>
  </si>
  <si>
    <t>J4,J5,J6,J7</t>
  </si>
  <si>
    <t>R1,R2,R3,R4</t>
  </si>
  <si>
    <t>U1</t>
  </si>
  <si>
    <t>U2</t>
  </si>
  <si>
    <t>Unterbaugruppe</t>
  </si>
  <si>
    <t>Kit</t>
  </si>
  <si>
    <t>ORing Power Rev 0.1</t>
  </si>
  <si>
    <t>EnvNode-Footprints:ORingPower_Carrier</t>
  </si>
  <si>
    <t>In separater ORing-Gesamtmenge enthalten; nicht doppelt zählen.</t>
  </si>
  <si>
    <t>U3</t>
  </si>
  <si>
    <t>Mechanical</t>
  </si>
  <si>
    <t>Assembly</t>
  </si>
  <si>
    <t>Passend zu Gehäusebuchse SP1312/S2-N (ENP-00080). 13 A / 250 V AC. Standardvariante I für Kabel-Ø 4–6,5 mm; Variante II für 5–8 mm vor Bestellung prüfen.</t>
  </si>
  <si>
    <t>Passend zu Gehäusebuchse SP1312/S4-N (ENP-00084). 5 A / 200 V AC. Standardvariante I für Kabel-Ø 4–6,5 mm; Variante II für 5–8 mm vor Bestellung prüfen.</t>
  </si>
  <si>
    <t>DNP</t>
  </si>
  <si>
    <t>D1,D2</t>
  </si>
  <si>
    <t>D3,D4</t>
  </si>
  <si>
    <t>J3,J4</t>
  </si>
  <si>
    <t>K1,K2</t>
  </si>
  <si>
    <t>Q1,Q2</t>
  </si>
  <si>
    <t>R1,R2</t>
  </si>
  <si>
    <t>R3,R4</t>
  </si>
  <si>
    <t>R5,R6</t>
  </si>
  <si>
    <t>C3</t>
  </si>
  <si>
    <t>C4</t>
  </si>
  <si>
    <t>C7</t>
  </si>
  <si>
    <t>C8</t>
  </si>
  <si>
    <t>D1</t>
  </si>
  <si>
    <t>Diodes Incorporated B260S1F-7; Reichelt B260S1F-7, ab Lager geprüft 2026-09-08.</t>
  </si>
  <si>
    <t>J3</t>
  </si>
  <si>
    <t>Aktueller KiCad-Footprint für den Sensoranschluss J3.</t>
  </si>
  <si>
    <t>0,68 µH, 8,2 A, DCR 9 mΩ, WE-MAPI 3012</t>
  </si>
  <si>
    <t>Exakte MAPI-3012-Ausführung: 680 nH, 8,2 A, DCR 9 mΩ, AEC-Q200. Einzelpreis, Stand 2026-09-01; Preis und Verfügbarkeit vor Bestellung prüfen.</t>
  </si>
  <si>
    <t>R2</t>
  </si>
  <si>
    <t>R3</t>
  </si>
  <si>
    <t>R7</t>
  </si>
  <si>
    <t>Exakte 1-%-Ausführung; der gefundene Reichelt-Typ mit 5 % wurde nicht übernommen. Einzelpreis, Stand 2026-09-01; Preis und Verfügbarkeit vor Bestellung prüfen.</t>
  </si>
  <si>
    <t>J2</t>
  </si>
  <si>
    <t>1x4, 2,54 mm, THT, vertikal</t>
  </si>
  <si>
    <t>Optionale Messstiftleiste; laut KiCad DNP und nicht für den Betrieb erforderlich.</t>
  </si>
  <si>
    <t>I²C-Konfigurations-EEPROM U3 ist im aktuellen AnalogHydroPressure-Rev.-0.4-Schaltplan DNP.</t>
  </si>
  <si>
    <t>Aktueller Rev.-0.4-PCB-Stand; Fertigungsauftrag und Preis noch offen.</t>
  </si>
  <si>
    <t>J4</t>
  </si>
  <si>
    <t>Q1</t>
  </si>
  <si>
    <t>R1</t>
  </si>
  <si>
    <t>R4</t>
  </si>
  <si>
    <t>Zuschnitt</t>
  </si>
  <si>
    <t>Eine ganze 2x10-Kaufleiste für beide 2x2-Zuschnitte, Rest nicht angerechnet.</t>
  </si>
  <si>
    <t>R1,R2,R3,R4,R5,R6,R7,R8,R9,R10,R11,R12,R13,R14,R15,R16,R17,R18,R19,R20</t>
  </si>
  <si>
    <t>1 unbestückte Platine pro Head. Eigener Artikel. 2 Lagen, 1,6 mm, 35 µm Kupfer. Sensorelektroden vollständig unter Lötstopp; 0,10 mm Kupferspalt. Via-Verschluss gemäß Fertigungsdaten mit Hersteller klären. Angebot und Fertigungsfreigabe offen. C1 ist Kupferstruktur, kein Kaufteil.</t>
  </si>
  <si>
    <t>R2,R4</t>
  </si>
  <si>
    <t>1 unbestückte Platine pro Controller. Eigener Artikel, getrennt vom Head bestellbar. Angebot und Fertigungsfreigabe offen. Ersetzt nicht den alten Stall.biz-Adapterartikel ENP-00053.</t>
  </si>
  <si>
    <t>C1,C5</t>
  </si>
  <si>
    <t>C2</t>
  </si>
  <si>
    <t>Unbestückte castellated Leiterplatte. Fertigungsauftrag und Herstellerfreigabe der fünf kantenmetallisierten Halblöcher sind noch offen. Vor Serienfreigabe mechanischen Sitz, Lötbarkeit und elektrische Inbetriebnahme prüfen.</t>
  </si>
  <si>
    <t>ADC1,ADC2,ADC3,ADC4,GPIO4,GPIO14,GPIO16,GPIO17,GPIO27,GPIO32</t>
  </si>
  <si>
    <t>I2C0_1,I2C0_2,I2C0_3,I2C0_4,I2C1_1,I2C1_2,I2C1_3,I2C1_4</t>
  </si>
  <si>
    <t>I2C1</t>
  </si>
  <si>
    <t>SC1</t>
  </si>
  <si>
    <t>ADC1</t>
  </si>
  <si>
    <t>Direkt angelötetes Pigtail laut Nutzer; ersetzt Schaltplan-Stiftleiste. Länge/Artikel offen.</t>
  </si>
  <si>
    <t>Plan 29.09.2026: 2 Mini, 2 Weatherstation, 2 AnalogHydro, 2 SolarRadiation, 1 SCT013Head, 5 ORing inkl. 1 Reserve.</t>
  </si>
  <si>
    <t>6 negative Bestände klären. PCB-Revisionen getrennt. ESP32 offen. Neue Preise netto; Steuerbasis alter Preise teils ungeklärt.</t>
  </si>
  <si>
    <t>Ergebnis</t>
  </si>
  <si>
    <t>https://www.ebay.de/itm/175537690511?_skw=jst+ph+set&amp;itmmeta=01M0AMR98NFGJV2FS30RR17BQ3&amp;hash=item28dedc978f:g:A3kAAOSw229j0YAt&amp;itmprp=enc%3AAQALAAAA0GfYFPkwiKCW4ZNSs2u11xAqJnJgTdJ%2FIJ1I2fxZKRMDiu6X0YrWY5D3w4DQOc5o%2FaOXGmcjIgTnzr6ZSr5vXhmBWytsd%2BVqmj0wzTE8DG%2BTs8RqbjdKpejAkG5A8BZqR0CHVQRoh5S5YInpcAcul6x8Wctn1VQHQBXPR%2FXsSs9oWck2%2BQ7koAWk9BEZEN9dagXH6v3Mmz5PHheo1V3%2ByPo1rz9Au%2BRLA4rvEIjR474lCC3Jyl3mD3occXmLZjl7i6IY9cBlKcCfkbIa4zkXYnk%3D%7Ctkp%3ABk9SR9aU4dSCaA</t>
  </si>
  <si>
    <t>Stk</t>
  </si>
  <si>
    <t>https://www.ebay.de/itm/173373182853?var=472082388514&amp;mkevt=1&amp;mkcid=1&amp;mkrid=707-53477-19255-0&amp;campid=5338900900&amp;toolid=20006&amp;_ul=DE&amp;customid=56357.a3ed6a6e290d515ebd3c2719dda804fc89ac0aba&amp;gclid=Cj0KCQjwkOvTBhDgARIsAKUNyRushMKf0tSoocu00ZtebiM-JK-GbXhf7yKDhPSZVdsZL-EEyywLbIcaAndsEALw_wcB&amp;gbraid=0AAAAAqbaHat7Q_3DRZ3ZEIWwp68U1IjOi&amp;adtype=pla&amp;loc_physical_ms=9041684</t>
  </si>
  <si>
    <t>BKL 10120946</t>
  </si>
  <si>
    <t>https://www.reichelt.de/de/de/shop/produkt/buchsenleiste_2_54mm_1x4_gerade-266671</t>
  </si>
  <si>
    <t>2026-09-14 00:00:00</t>
  </si>
  <si>
    <t>Reichelt-Produktseite: als ab Lager gelistet, geprüft 2026-09-14.</t>
  </si>
  <si>
    <t>FIS BL1 20 G</t>
  </si>
  <si>
    <t>https://www.reichelt.de/de/de/shop/produkt/buchsenleiste_2_54mm_1x20_trennbar_vergoldet-283787</t>
  </si>
  <si>
    <t>VIS CRCW12064K7</t>
  </si>
  <si>
    <t>https://www.reichelt.de/de/de/shop/produkt/smd-widerstand_1206_4_7_kohm_250_mw_1_-238119</t>
  </si>
  <si>
    <t>KEM X7R1206A100N</t>
  </si>
  <si>
    <t>https://www.reichelt.de/de/de/shop/produkt/vielschicht_kerko_1206_100_nf_10_x7r_100_v_125_c-207151</t>
  </si>
  <si>
    <t>https://www.reichelt.de/de/de/shop/produkt/mlcc_1206_10_f_25_v_-10_x7r-409262</t>
  </si>
  <si>
    <t>TAJ 3528 47/10</t>
  </si>
  <si>
    <t>https://www.reichelt.de/de/de/shop/produkt/smd-tantal_kondensator_47_f_10_v-167014</t>
  </si>
  <si>
    <t>https://www.reichelt.de/de/de/shop/produkt/ldo-spannungsregler_fix_3_3_vout_1_a_sot-223-109407?search=LM3940%2520&amp;</t>
  </si>
  <si>
    <t>https://jlcpcb.com/file/download?uuid=eef69d2d694441c8ab71168d8447cb4c&amp;businessType=example</t>
  </si>
  <si>
    <t>JST PH2P ST</t>
  </si>
  <si>
    <t>https://www.reichelt.de/de/de/shop/produkt/jst_-_stiftleiste_gerade_1x2-polig_-_ph-185049</t>
  </si>
  <si>
    <t>https://www.reichelt.de/de/de/shop/produkt/mosfet_n-ch_30v_5_7a_0_018r_sot-23-166490</t>
  </si>
  <si>
    <t>DEBO SENS SHTC3</t>
  </si>
  <si>
    <t>https://www.reichelt.de/de/de/shop/produkt/arduino_-_temperatur-_feuchtigkeitssensor_shtc3-375947</t>
  </si>
  <si>
    <t>DEBO ADC 16BIT</t>
  </si>
  <si>
    <t>https://www.reichelt.de/de/de/shop/produkt/entwicklerboards_-_adc_4_kanal_16-bit_ads1115-372499?search=ADS1115&amp;#open-modal-image-big-slider</t>
  </si>
  <si>
    <t>PAN ERA8AEB104V</t>
  </si>
  <si>
    <t>https://www.reichelt.de/de/de/shop/produkt/smd-widerstand_1206_100_kohm_250_mw_0_1_-238081</t>
  </si>
  <si>
    <t>SMD 1/4W 100</t>
  </si>
  <si>
    <t>https://www.reichelt.de/de/de/shop/produkt/smd-widerstand_1206_100_ohm_250_mw_5_-18242</t>
  </si>
  <si>
    <t>PAN ERA8AEB103V</t>
  </si>
  <si>
    <t>https://www.reichelt.de/de/de/shop/produkt/smd-widerstand_1206_10_kohm_250_mw_0_1_-238080</t>
  </si>
  <si>
    <t>BKL 10120505</t>
  </si>
  <si>
    <t>https://www.reichelt.de/de/de/shop/produkt/stiftleiste_8-polig_raster_2_54mm-235656</t>
  </si>
  <si>
    <t>ICM 7555 IBAZ</t>
  </si>
  <si>
    <t>https://www.reichelt.de/de/de/shop/produkt/timer-ic_typ_555_so-8-188889</t>
  </si>
  <si>
    <t>FIS BL 3 8G</t>
  </si>
  <si>
    <t>https://www.reichelt.de/de/de/shop/produkt/buchsenleiste_1-reihig_1_x_8_-_2_54_mm-407106#open-modal-image-big-slider</t>
  </si>
  <si>
    <t>RND 1551206 AF</t>
  </si>
  <si>
    <t>https://www.reichelt.de/de/de/shop/produkt/smd-widerstand_1206_47_ohm_250_mw_5_-250359</t>
  </si>
  <si>
    <t>FIN 34.51.7 5V</t>
  </si>
  <si>
    <t>https://www.reichelt.de/de/de/shop/produkt/steck-printrelais_1_co_6_a_5_v_dc_sensitiv-259179?PROVID=2788&amp;gad_source=1&amp;gad_campaignid=21154720511&amp;gbraid=0AAAAADwnxtb50MtqKwtKae8MAeGQARqWX&amp;gclid=CjwKCAjw7p_UBhBlEiwAhpIs72D6cK8XQyuxcrvb0uftoYY3618BT3lTyYSWWSou1J99G9udBcpsbhoCJbcQAvD_BwE</t>
  </si>
  <si>
    <t>24AA025E64T-I/OTCT-ND</t>
  </si>
  <si>
    <t>https://www.digikey.de/de/products/detail/microchip-technology/24AA025E64T-I-OT/3908633</t>
  </si>
  <si>
    <t>JST PH4P ST</t>
  </si>
  <si>
    <t>https://www.reichelt.de/de/de/shop/produkt/jst_-_stiftleiste_gerade_1x4-polig_-_ph-185051?PROVID=2788&amp;gad_source=1&amp;gad_campaignid=21154720511&amp;gbraid=0AAAAADwnxtY1nWJSSrFeiIcYv9xLkqyFk&amp;gclid=Cj0KCQjwnbrUBhDOARIsAKKhPpe2Az4gP1hQm4ZAaF5_8h_A8xPRV2yb28WCjCf626YJKTgCMxHQlnYaAjcNEALw_wcB</t>
  </si>
  <si>
    <t>455-SM04B-SRSS-TBCT-ND</t>
  </si>
  <si>
    <t>https://www.digikey.de/de/products/detail/jst-sales-america-inc/SM04B-SRSS-TB/926710</t>
  </si>
  <si>
    <t>2026-09-08 00:00:00</t>
  </si>
  <si>
    <t>Exakter SM04B-SRSS-TB als Gurtabschnitt; ab Lager bei der Prüfung am 2026-09-08.</t>
  </si>
  <si>
    <t>296-24934-1-ND</t>
  </si>
  <si>
    <t>https://www.digikey.de/de/products/detail/texas-instruments/ADS1115IDGST/2123284?gclsrc=aw.ds&amp;gad_source=1&amp;gad_campaignid=209928500&amp;gbraid=0AAAAADrbLlgS-dOB0YDx-VkZn72tGSXvA&amp;gclid=CjwKCAjwwfnUBhAtEiwAfQpAYt9h9o_o9RJ5yl52XBFmrX4kV-KOzerja3An3HTIqZwhND3u-dqouBoCopgQAvD_BwE</t>
  </si>
  <si>
    <t>https://www.reichelt.de/de/de/shop/produkt/mlcc_1206_1_f_50_v_-5_x7r-409277</t>
  </si>
  <si>
    <t>BAT 54S DIO</t>
  </si>
  <si>
    <t>https://www.reichelt.de/de/de/shop/produkt/schottkydiode_30_v_0_2_a_sot-23-219176</t>
  </si>
  <si>
    <t>https://www.reichelt.de/de/de/shop/produkt/anschlussklemme_3-pol_2_mm_rm_5_08-36606</t>
  </si>
  <si>
    <t>1712-YR1B150RCCCT-ND</t>
  </si>
  <si>
    <t>https://www.digikey.com/en/products/detail/te-connectivity-passive-product/YR1B150RCC/2390715</t>
  </si>
  <si>
    <t>2026-09-07</t>
  </si>
  <si>
    <t>PCB-Lochabstand 7,62 mm bestätigt passend.</t>
  </si>
  <si>
    <t>1N 4148W DIO</t>
  </si>
  <si>
    <t>https://www.reichelt.de/de/de/shop/produkt/kleinsignal-schalt-diode_100_v_150_ma_sod-123-219382</t>
  </si>
  <si>
    <t>AKL 101-03</t>
  </si>
  <si>
    <t>BC 817-25 DIO</t>
  </si>
  <si>
    <t>https://www.reichelt.de/de/de/shop/produkt/bipolartransistor_npn_45v_0_5a_0_25w_sot-23-219186</t>
  </si>
  <si>
    <t>VIS CRCW12061K0</t>
  </si>
  <si>
    <t>https://www.reichelt.de/de/de/shop/produkt/smd-widerstand_1206_1_0_kohm_250_mw_1_-238107?PROVID=2788&amp;gad_source=1&amp;gad_campaignid=1622074784&amp;gbraid=0AAAAADwnxtbRDWe6ThqPkANhw_ak4jWBw&amp;gclid=Cj0KCQjwnbrUBhDOARIsAKKhPpdctdiA6tqULvTn2sTUS6FqmJC1_J6HoVQmYOjjMGhSPlfi9dK4bSQaAmesEALw_wcB</t>
  </si>
  <si>
    <t>ECC HXC500ARA470</t>
  </si>
  <si>
    <t>https://www.reichelt.de/de/de/shop/produkt/elko_smd_47_f_50v_105_c_4000h_aec-q200-289252</t>
  </si>
  <si>
    <t>B360B-13-F DII</t>
  </si>
  <si>
    <t>https://www.reichelt.de/de/de/shop/produkt/gleichrichterdiode_60_v_3_a_smb-216725</t>
  </si>
  <si>
    <t>P6SMB 24A SMD</t>
  </si>
  <si>
    <t>https://www.reichelt.de/de/de/shop/produkt/tvs-diode_unidirectional_24_v_600_w_do-214aa_smb-204320</t>
  </si>
  <si>
    <t>Distrelec</t>
  </si>
  <si>
    <t>300-42-827</t>
  </si>
  <si>
    <t>https://www.distrelec.ch/en/wire-to-board-terminal-block-tht-5mm-pitch-right-angle-screw-clamp-poles-rnd-rnd-205-00001/p/30042827</t>
  </si>
  <si>
    <t>Exakter Artikel RND 205-00001 nachgewiesen. EUR-Preis und Bezug für Deutschland offen. Legacy-Artikel ohne aktuellen Kitbedarf.</t>
  </si>
  <si>
    <t>https://www.reichelt.de/de/de/shop/produkt/dc_dc-wandler_tsr-1_1_w_5_v_1000_ma_sil_to-220-116850</t>
  </si>
  <si>
    <t>https://www.reichelt.de/de/de/shop/produkt/dc_dc-wandler_tsr-1_1_w_3_3_v_1000_ma_sil_to-220-116849?search=TSR-1-2433&amp;</t>
  </si>
  <si>
    <t>https://www.reichelt.de/de/de/shop/produkt/mlcc_1206_10_nf_100_v_-5_x7r-409237</t>
  </si>
  <si>
    <t>METALL 2,00</t>
  </si>
  <si>
    <t>https://www.reichelt.de/de/de/shop/produkt/widerstand_metallschicht_2_0_ohm_0207_0_6_w_1_-11577</t>
  </si>
  <si>
    <t>2994-KXOB25-14X1TF-TRCT-ND</t>
  </si>
  <si>
    <t>https://www.digikey.de/de/products/detail/anysolar-ltd/KXOB25-14X1TF-TR/13999166</t>
  </si>
  <si>
    <t>Bestellt mit DigiKey-Bestellung 101459961.</t>
  </si>
  <si>
    <t>296-26833-1-ND</t>
  </si>
  <si>
    <t>https://www.digikey.de/de/products/detail/texas-instruments/TMP100NA-3K/1670027</t>
  </si>
  <si>
    <t>EUR netto ab 1, abgerufene Produktseite 29.09.2026; indexierter Preis kann abweichen. Vor Kauf aktualisieren. MPN durch TI bestätigt: https://www.ti.com/product/TMP100/part-details/TMP100NA/3K</t>
  </si>
  <si>
    <t>https://jlcpcb.com/</t>
  </si>
  <si>
    <t>Fertigung vorgesehen; kein bestätigtes Angebot. Auftrag/Preis nach konkreter Fertigungsrevision ergänzen.</t>
  </si>
  <si>
    <t>MPE 094-2-014</t>
  </si>
  <si>
    <t>https://www.reichelt.de/de/de/shop/produkt/buchsenleiste_2x7_polig_raster_2_54_mm-119949</t>
  </si>
  <si>
    <t>Footprint-kompatible Alternative zur Würth 61301421821; 8,5 statt 8,4 mm Bauhöhe; ab Lager bei der Prüfung am 2026-09-08.</t>
  </si>
  <si>
    <t>SS 14 VIS</t>
  </si>
  <si>
    <t>https://www.reichelt.de/de/de/shop/produkt/schottkydiode_40_v_1_a_do-214ac-219612</t>
  </si>
  <si>
    <t>S-V 10U 25</t>
  </si>
  <si>
    <t>https://www.reichelt.de/de/de/shop/produkt/smd-elko_10_f_-20_25_v_85_5_x_5_4_mm-228459</t>
  </si>
  <si>
    <t>732-61031421121CT-ND</t>
  </si>
  <si>
    <t>https://www.digikey.de/de/products/detail/w%C3%BCrth-elektronik/61031421121/4846903</t>
  </si>
  <si>
    <t>ECON SL14G2</t>
  </si>
  <si>
    <t>https://www.reichelt.de/de/de/shop/produkt/stiftleiste_2_x_7_polig_gerade_rastermass_2_54_mm-404299</t>
  </si>
  <si>
    <t>KBT KP-3216SURC</t>
  </si>
  <si>
    <t>https://www.reichelt.de/de/de/shop/produkt/smd-led_1206_hyper-rot_250_mcd_645_nm_140_-231713</t>
  </si>
  <si>
    <t>VIS CRCW12061K5</t>
  </si>
  <si>
    <t>https://www.reichelt.de/de/de/shop/produkt/smd-widerstand_1206_1_5_kohm_250_mw_1_-238108</t>
  </si>
  <si>
    <t>https://www.reichelt.de/de/de/shop/produkt/mlcc_1206_4_7uf_25v_x7r_-10_h1_6_mm-429143</t>
  </si>
  <si>
    <t>https://www.reichelt.de/de/de/shop/produkt/mlcc_1210_4_7_f_50v_x7r_-10_-438066</t>
  </si>
  <si>
    <t>732-744383560068HTCT-ND</t>
  </si>
  <si>
    <t>Tatsächlich bestellte HT-Ausführung aus DigiKey-Bestellung 101459961.</t>
  </si>
  <si>
    <t>VIS CRCW12061M0</t>
  </si>
  <si>
    <t>https://www.reichelt.de/de/de/shop/produkt/smd-widerstand_1206_1_0_mohm_250_mw_1_-238109</t>
  </si>
  <si>
    <t>311-71.5KFRCT-ND</t>
  </si>
  <si>
    <t>https://www.digikey.com/en/products/detail/yageo/RC1206FR-0771K5L/729088</t>
  </si>
  <si>
    <t>541-RCV1206220KFKEACT-ND</t>
  </si>
  <si>
    <t>https://www.digikey.de/de/products/detail/vishay-dale/RCV1206220KFKEA/7355256</t>
  </si>
  <si>
    <t>Einzelpreis aus der bereits erfassten DigiKey-Bestellung; Verfügbarkeit vor einer Nachbestellung erneut prüfen.</t>
  </si>
  <si>
    <t>CKN9544-ND</t>
  </si>
  <si>
    <t>https://www.digikey.de/de/products/detail/c-k/OS202011MS2QS1/1981415</t>
  </si>
  <si>
    <t>Mouser-Zuordnung zugunsten einer gemeinsamen DigiKey-Bestellung ersetzt.</t>
  </si>
  <si>
    <t>505-LT8330ES6#TRMPBFCT-ND</t>
  </si>
  <si>
    <t>https://www.digikey.de/en/products/detail/analog-devices-inc/LT8330ES6-TRMPBF/5361665</t>
  </si>
  <si>
    <t>RE 909</t>
  </si>
  <si>
    <t>https://www.reichelt.de/de/de/shop/produkt/adapter_sot23-3_0_95_mm_pitch_rm_2_54_mm-167706</t>
  </si>
  <si>
    <t>1W 100</t>
  </si>
  <si>
    <t>https://www.reichelt.de/de/de/shop/produkt/widerstand_metalloxyd_100_ohm_0207_1_0_w_5_-1777</t>
  </si>
  <si>
    <t>1W 100K</t>
  </si>
  <si>
    <t>https://www.reichelt.de/de/de/shop/produkt/widerstand_metalloxyd_100_kohm_0207_1_0_w_5_-1778</t>
  </si>
  <si>
    <t>SP1312/S2</t>
  </si>
  <si>
    <t>https://www.tme.eu/de/details/sp1312_s2/weipu-steckverbinder/weipu/sp1312-s2-n/</t>
  </si>
  <si>
    <t>EUR netto ab 1, Preisstand der abgerufenen TME-Seite 29.09.2026. Nicht ab Lager laut Quelle; Liefertermin offen.</t>
  </si>
  <si>
    <t>SP1310/P2</t>
  </si>
  <si>
    <t>https://www.tme.eu/de/katalog/weipu-steckverbinder_112972/params/b1322_mechanische-montage/p1436305_fuer-leitungen/</t>
  </si>
  <si>
    <t>EUR netto ab 1. Variante I-N für Kabeldurchmesser 4–6,5 mm; vor Bestellung mit tatsächlichem Kabel abgleichen.</t>
  </si>
  <si>
    <t>SP1312/P2</t>
  </si>
  <si>
    <t>https://www.tme.eu/de/katalog/weipu-steckverbinder_112972/params/b1247_elektrische-montage/p1436385_loeten/</t>
  </si>
  <si>
    <t>SP1310/S2</t>
  </si>
  <si>
    <t>https://www.tme.eu/de/details/sp1310_s2/weipu-steckverbinder/weipu/sp1310-s2i-n/</t>
  </si>
  <si>
    <t>SP1312/S4</t>
  </si>
  <si>
    <t>EUR netto ab 1, Preisstand der abgerufenen TME-Seite 29.09.2026. Verfügbarkeit vor Kauf aktualisieren.</t>
  </si>
  <si>
    <t>SP1310/P4</t>
  </si>
  <si>
    <t>SP1312/P4</t>
  </si>
  <si>
    <t>SP1310/S4</t>
  </si>
  <si>
    <t>https://www.tme.eu/fr/details/sp1310_s4/connecteurs-weipu/weipu/sp1310-s4i-n/</t>
  </si>
  <si>
    <t>DELOCK 90174</t>
  </si>
  <si>
    <t>https://www.reichelt.de/de/de/shop/produkt/steckverbinder_dc_5_5_x_2_1_mm_buchse_zum_einbau_loetversion-371063</t>
  </si>
  <si>
    <t>2073-USB4105-GF-ACT-ND</t>
  </si>
  <si>
    <t>https://www.digikey.com/en/products/detail/gct/USB4105-GF-A/11198510</t>
  </si>
  <si>
    <t>SMD 1/4W 5,1K</t>
  </si>
  <si>
    <t>https://www.reichelt.de/de/de/shop/produkt/smd-widerstand_1206_5_1_kohm_250_mw_5_-18341</t>
  </si>
  <si>
    <t>Yageo RC1206JR-075K1L, 5,1 kΩ, 5 %, 250 mW, 1206; passende USB-C-Rd-Ausführung; ab Lager bei der Prüfung am 2026-09-08.</t>
  </si>
  <si>
    <t>MPE 115-1-008</t>
  </si>
  <si>
    <t>https://www.reichelt.de/de/de/shop/produkt/praez_-buchsenleisten_2_54_mm_1x08_gerade-187275</t>
  </si>
  <si>
    <t>IRF 7309</t>
  </si>
  <si>
    <t>https://www.reichelt.de/de/de/shop/produkt/mosfet_n_p-ch_30v_4_3a_1_4w_so-8-129777</t>
  </si>
  <si>
    <t>SMD 1/4W 100K</t>
  </si>
  <si>
    <t>https://www.reichelt.de/de/de/shop/produkt/smd-widerstand_1206_100_kohm_250_mw_5_-18243</t>
  </si>
  <si>
    <t>SMD 1/4W 10K</t>
  </si>
  <si>
    <t>https://www.reichelt.de/de/de/shop/produkt/smd-widerstand_1206_10_kohm_250_mw_5_-18244</t>
  </si>
  <si>
    <t>https://www.reichelt.de/de/de/shop/produkt/hex_inverting_schmitt_trigger_3_15_v_so-14-18422</t>
  </si>
  <si>
    <t>VF 220/16 P-D8</t>
  </si>
  <si>
    <t>https://www.reichelt.de/de/de/shop/produkt/elko_smd_220_f_16v_2000h_low_esr-109198</t>
  </si>
  <si>
    <t>ECC MZL160ARA471</t>
  </si>
  <si>
    <t>https://www.reichelt.de/de/de/shop/produkt/elko_smd_470_f_16_v_105_c_low_esr_8_x_10_mm-289206</t>
  </si>
  <si>
    <t>JST XH2P ST90</t>
  </si>
  <si>
    <t>https://www.reichelt.de/de/de/shop/produkt/jst_-_stiftleiste_90_1x2-polig_-_xh-185079</t>
  </si>
  <si>
    <t>WAL WR12X1001FTL</t>
  </si>
  <si>
    <t>https://www.reichelt.de/de/de/shop/produkt/smd-widerstand_1206_1_kohm_250_mw_1_-346654</t>
  </si>
  <si>
    <t>EVL 15-21SURD</t>
  </si>
  <si>
    <t>https://www.reichelt.de/de/de/shop/produkt/led_smd_1206_rot_40_mcd_160_-231622</t>
  </si>
  <si>
    <t>https://www.reichelt.de/de/de/shop/produkt/kurzschlussbruecke_schw_m_grifflasche-9019</t>
  </si>
  <si>
    <t>https://www.reichelt.com/de/en/eeprom-serial-32kb-so-8-24lc32a-i-sn-p96551.html</t>
  </si>
  <si>
    <t>2026-09-06 00:00:00</t>
  </si>
  <si>
    <t>SOIC-8-Ausführung passend zum KiCad-Footprint; Einzelpreis und Verfügbarkeit vor Bestellung erneut prüfen.</t>
  </si>
  <si>
    <t>Y29-4808750A</t>
  </si>
  <si>
    <t>https://jlcpcb.com/user-center/orderDetails/?batchNum=W2026090622241850&amp;type=myOrdersBatchSecendLevelRecord&amp;batchOrderStatus=inProduce&amp;batchBookingStatus=0&amp;orderType=1</t>
  </si>
  <si>
    <t>Bereits bestellt; Preis und Liefertermin nach Auftrag ergänzen.</t>
  </si>
  <si>
    <t>Y28-4808750A</t>
  </si>
  <si>
    <t>Y30-4808750A</t>
  </si>
  <si>
    <t>https://www.reichelt.de/de/de/shop/produkt/schottky_60v_2a_sod123f-382925</t>
  </si>
  <si>
    <t>Exakter Typ B260S1F-7 im SOD-123F-Gehäuse; ab Lager bei der Prüfung am 2026-09-08.</t>
  </si>
  <si>
    <t>Vom Nutzer erfasste Auftragsnummer und bestehenden Preis erhalten. Bestellung angekündigt; Wareneingang und offene Menge separat in Stock klären.</t>
  </si>
  <si>
    <t>ECON SL4G1</t>
  </si>
  <si>
    <t>https://www.reichelt.de/de/de/shop/produkt/stiftleiste_1_x_4_polig_gerade_rastermass_2_54_mm-404280</t>
  </si>
  <si>
    <t>Optionales DNP-Teil; ab Lager. Nur bestellen, wenn die Teststiftleiste bestückt werden soll. Reichelt-Produktseite: als ab Lager gelistet, geprüft 2026-09-14.</t>
  </si>
  <si>
    <t>732-61301421821-ND</t>
  </si>
  <si>
    <t>Vollständig geliefert laut DigiKey Auftragsbestätigung 101459961 am 10.09.2026.</t>
  </si>
  <si>
    <t>541-5.10KFCT-ND</t>
  </si>
  <si>
    <t>https://www.reichelt.de/de/de/shop/produkt/2x10pol_-smd-stiftleiste_gerade_rm_2_54-51717</t>
  </si>
  <si>
    <t>Leiste 2x10</t>
  </si>
  <si>
    <t>Ab Lager gelistet. Preis je ganzer Leiste inkl. MwSt., ohne Versand. Zuschnitt auf 2x2; keine automatische Resteverwertung.</t>
  </si>
  <si>
    <t>311-15.0FRCT-ND</t>
  </si>
  <si>
    <t>https://www.digikey.de/en/products/detail/yageo/RC1206FR-0715RL/728555</t>
  </si>
  <si>
    <t>Cut Tape. Datenblatt: https://yageogroup.com/component-documentation/download/specsheet/RC1206FR-0715RL . Preis/Staffel vor Bestellung prüfen.</t>
  </si>
  <si>
    <t>WAL WR12X15R0FTL</t>
  </si>
  <si>
    <t>https://www.reichelt.de/de/de/shop/produkt/smd-widerstand_1206_15_ohm_250_mw_1_-346649</t>
  </si>
  <si>
    <t>Als lagernd gelistet; Einzelpreis inkl. MwSt., ohne Versand. Staffel ab 100 Stück 0,009 EUR.</t>
  </si>
  <si>
    <t>BKL 10120957</t>
  </si>
  <si>
    <t>https://www.reichelt.de/de/de/shop/produkt/buchsenleiste_2_54mm_2x2_gerade-266682</t>
  </si>
  <si>
    <t>Ab Lager gelistet. Einzelpreis inkl. MwSt., ohne Versand.</t>
  </si>
  <si>
    <t>640-USB4125-GF-A-190</t>
  </si>
  <si>
    <t>Artikelnummer nach Mouser-Produktseite korrigiert (Recherche 22.09.2026). Preis vor Bestellung aktualisieren.</t>
  </si>
  <si>
    <t>JST PH2P SM4</t>
  </si>
  <si>
    <t>https://www.reichelt.de/de/de/shop/produkt/jst_-_stiftleiste_rm_2_mm_1x2_polig_gerade_-_ph-190546</t>
  </si>
  <si>
    <t>Hersteller B2B-PH-SM4-TBT, Artikelnummer nach Reichelt korrigiert (Recherche 22.09.2026). Preis offen.</t>
  </si>
  <si>
    <t>455-BM04B-SRSS-TBCT-ND</t>
  </si>
  <si>
    <t>https://www.digikey.de/de/products/detail/jst-sales-america-inc/BM04B-SRSS-TB/926696</t>
  </si>
  <si>
    <t>EUR netto ab 1, Gurtabschnitt; Staffelpreise nicht eingerechnet. Abgerufen 29.09.2026.</t>
  </si>
  <si>
    <t>1503-09</t>
  </si>
  <si>
    <t>https://www.tme.eu/de/details/1503-09/klinken-steckverbinder/lumberg/1503-09/</t>
  </si>
  <si>
    <t>EUR netto ab 1 aus abgerufener deutscher Produktseite; ältere Indexfassung. Preis vor Bestellung erneut bestätigen. MPN 1503 09 durch Lumberg bestätigt.</t>
  </si>
  <si>
    <t>455-B2B-PH-SM4-TBTCT-ND</t>
  </si>
  <si>
    <t>https://www.digikey.de/de/products/detail/jst-sales-america-inc/B2B-PH-SM4-TBT/2137328</t>
  </si>
  <si>
    <t>EUR netto ab 1, Gurtabschnitt. Exakte MPN B2B-PH-SM4-TBT. Reichelt-Datensatz bleibt als Alternative ohne Preis erhalten.</t>
  </si>
  <si>
    <t>Bestehende Nutzer-Auftragsnummer übernommen. Stückpreis und Wareneingang offen.</t>
  </si>
  <si>
    <t>Rev. 0.1 bestellt laut Nutzer. Tatsächliche Auftragsnummer und Stückpreis fehlen.</t>
  </si>
  <si>
    <t>Direkt angelötetes JST-PH-ADC-Pigtail bestätigt; konkrete Länge, Leitungsquerschnitt, Kabelartikel und Preis offen.</t>
  </si>
  <si>
    <t>JST-PH, 4-polig, Set, Kabellänge 4cm</t>
  </si>
  <si>
    <t>https://www.amazon.de/dp/B0DCGCPKHQ?ref=ppx_yo2ov_dt_b_fed_asin_title</t>
  </si>
  <si>
    <t>Amazon</t>
  </si>
  <si>
    <t>ESP-32 NodeMCU Modul 2,4 GHz Dual Core WLAN WiFi Bluetooth CP2102 für Arduino(Micro USB Port)</t>
  </si>
  <si>
    <t xml:space="preserve"> </t>
  </si>
  <si>
    <t>https://www.ebay.de/itm/204799651912</t>
  </si>
  <si>
    <t>LM 3940 IMP-3,3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</si>
</sst>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* #,##0.00\ &quot;€&quot;_-;\-* #,##0.00\ &quot;€&quot;_-;_-* &quot;-&quot;??\ &quot;€&quot;_-;_-@_-"/>
    <numFmt numFmtId="164" formatCode="_-* #,##0.00\ _€_-;\-* #,##0.00\ _€_-;_-* \-??\ _€_-;_-@_-"/>
    <numFmt numFmtId="165" formatCode="_-* #,##0\ _€_-;\-* #,##0\ _€_-;_-* &quot;- &quot;_€_-;_-@_-"/>
    <numFmt numFmtId="166" formatCode="_-* #,##0.00&quot; €&quot;_-;\-* #,##0.00&quot; €&quot;_-;_-* \-??&quot; €&quot;_-;_-@_-"/>
    <numFmt numFmtId="167" formatCode="_-* #,##0&quot; €&quot;_-;\-* #,##0&quot; €&quot;_-;_-* &quot;- €&quot;_-;_-@_-"/>
    <numFmt numFmtId="168" formatCode="0\ %"/>
    <numFmt numFmtId="169" formatCode="\€#,##0.00"/>
    <numFmt numFmtId="170" formatCode="0.00&quot; €&quot;"/>
    <numFmt numFmtId="171" formatCode="\€0.00"/>
    <numFmt numFmtId="172" formatCode="#,##0.00\ [$€-407]"/>
    <numFmt numFmtId="173" formatCode="yyyy\-mm\-dd"/>
  </numFmts>
  <fonts count="37" x14ac:knownFonts="1">
    <font>
      <sz val="10"/>
      <name val="Arial"/>
    </font>
    <font>
      <sz val="10"/>
      <name val="Arial"/>
      <family val="2"/>
    </font>
    <font>
      <sz val="11"/>
      <color theme="10"/>
      <name val="Calibri"/>
      <family val="2"/>
    </font>
    <font>
      <sz val="11"/>
      <name val="Calibri"/>
      <family val="2"/>
    </font>
    <font>
      <sz val="11"/>
      <name val="Abadi ExtraLight"/>
    </font>
    <font>
      <b/>
      <sz val="11"/>
      <color rgb="FFFFFFFF"/>
      <name val="Calibri Light"/>
      <family val="2"/>
    </font>
    <font>
      <sz val="11"/>
      <name val="Calibri Light"/>
      <family val="2"/>
    </font>
    <font>
      <sz val="10"/>
      <name val="Calibri"/>
      <family val="2"/>
    </font>
    <font>
      <b/>
      <sz val="11"/>
      <color rgb="FFFFFFFF"/>
      <name val="Calibri"/>
      <family val="2"/>
    </font>
    <font>
      <i/>
      <sz val="11"/>
      <color rgb="FF1F1F1F"/>
      <name val="Calibri"/>
      <family val="2"/>
    </font>
    <font>
      <b/>
      <sz val="11"/>
      <name val="Calibri"/>
      <family val="2"/>
    </font>
    <font>
      <b/>
      <sz val="11"/>
      <color rgb="FF375623"/>
      <name val="Calibri"/>
      <family val="2"/>
    </font>
    <font>
      <sz val="11"/>
      <color rgb="FF375623"/>
      <name val="Calibri"/>
      <family val="2"/>
    </font>
    <font>
      <b/>
      <sz val="10"/>
      <color rgb="FF385723"/>
      <name val="Arial"/>
      <family val="2"/>
    </font>
    <font>
      <sz val="10"/>
      <color rgb="FF385723"/>
      <name val="Arial"/>
      <family val="2"/>
    </font>
    <font>
      <b/>
      <sz val="11"/>
      <color rgb="FF1F1F1F"/>
      <name val="Calibri"/>
      <family val="2"/>
    </font>
    <font>
      <b/>
      <sz val="10"/>
      <color rgb="FFFFFFFF"/>
      <name val="Arial"/>
      <family val="2"/>
    </font>
    <font>
      <b/>
      <sz val="11"/>
      <color rgb="FF7F7F7F"/>
      <name val="Calibri"/>
      <family val="2"/>
    </font>
    <font>
      <b/>
      <sz val="10"/>
      <name val="Arial"/>
      <family val="2"/>
    </font>
    <font>
      <b/>
      <sz val="11"/>
      <color rgb="FF1F4E78"/>
      <name val="Calibri"/>
      <family val="2"/>
    </font>
    <font>
      <b/>
      <sz val="10"/>
      <color rgb="FF1F4E78"/>
      <name val="Arial"/>
      <family val="2"/>
    </font>
    <font>
      <b/>
      <sz val="11"/>
      <color rgb="FF111111"/>
      <name val="Calibri"/>
      <family val="2"/>
    </font>
    <font>
      <b/>
      <sz val="10"/>
      <color rgb="FF111111"/>
      <name val="Arial"/>
      <family val="2"/>
    </font>
    <font>
      <sz val="11"/>
      <color rgb="FF333333"/>
      <name val="Calibri"/>
      <family val="2"/>
    </font>
    <font>
      <sz val="10"/>
      <color rgb="FF333333"/>
      <name val="Arial"/>
      <family val="2"/>
    </font>
    <font>
      <sz val="11"/>
      <color rgb="FF555555"/>
      <name val="Calibri"/>
      <family val="2"/>
    </font>
    <font>
      <sz val="10"/>
      <color rgb="FF555555"/>
      <name val="Arial"/>
      <family val="2"/>
    </font>
    <font>
      <b/>
      <sz val="10"/>
      <color rgb="FF7F7F7F"/>
      <name val="Arial"/>
      <family val="2"/>
    </font>
    <font>
      <sz val="10"/>
      <color rgb="FF7F7F7F"/>
      <name val="Calibri"/>
      <family val="2"/>
    </font>
    <font>
      <sz val="10"/>
      <color rgb="FF7F7F7F"/>
      <name val="Arial"/>
      <family val="2"/>
    </font>
    <font>
      <sz val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sz val="11"/>
      <name val="Calibri"/>
      <family val="2"/>
    </font>
    <font>
      <b/>
      <sz val="10"/>
      <name val="Arial"/>
      <family val="2"/>
    </font>
    <font>
      <sz val="10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4472C4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146C87"/>
      </patternFill>
    </fill>
    <fill>
      <patternFill patternType="solid">
        <fgColor rgb="FFD9E2F3"/>
      </patternFill>
    </fill>
    <fill>
      <patternFill patternType="solid">
        <fgColor theme="4"/>
      </patternFill>
    </fill>
    <fill>
      <patternFill patternType="solid">
        <fgColor rgb="FFF3F6F9"/>
      </patternFill>
    </fill>
    <fill>
      <patternFill patternType="solid">
        <fgColor rgb="FFE7E6E6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4472C4"/>
      </patternFill>
    </fill>
  </fills>
  <borders count="19">
    <border>
      <left/>
      <right/>
      <top/>
      <bottom/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/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/>
      <right/>
      <top/>
      <bottom style="double">
        <color rgb="FF1F4E78"/>
      </bottom>
      <diagonal/>
    </border>
    <border>
      <left/>
      <right/>
      <top/>
      <bottom style="thin">
        <color rgb="FFB4C7E7"/>
      </bottom>
      <diagonal/>
    </border>
    <border>
      <left/>
      <right style="thin">
        <color rgb="FFB4C7E7"/>
      </right>
      <top style="thin">
        <color rgb="FFB4C7E7"/>
      </top>
      <bottom style="thin">
        <color rgb="FFB4C7E7"/>
      </bottom>
      <diagonal/>
    </border>
    <border>
      <left style="thin">
        <color rgb="FFB4C7E7"/>
      </left>
      <right/>
      <top style="thin">
        <color rgb="FFB4C7E7"/>
      </top>
      <bottom style="thin">
        <color rgb="FFB4C7E7"/>
      </bottom>
      <diagonal/>
    </border>
    <border>
      <left/>
      <right style="thin">
        <color rgb="FFB4C7E7"/>
      </right>
      <top style="thin">
        <color rgb="FFB4C7E7"/>
      </top>
      <bottom/>
      <diagonal/>
    </border>
    <border>
      <left style="thin">
        <color rgb="FFB4C7E7"/>
      </left>
      <right/>
      <top style="thin">
        <color rgb="FFB4C7E7"/>
      </top>
      <bottom/>
      <diagonal/>
    </border>
  </borders>
  <cellStyleXfs count="32">
    <xf numFmtId="0" fontId="0" fillId="0" borderId="0"/>
    <xf numFmtId="164" fontId="1" fillId="0" borderId="0" applyBorder="0" applyAlignment="0" applyProtection="0"/>
    <xf numFmtId="164" fontId="1" fillId="0" borderId="0" applyBorder="0" applyAlignment="0" applyProtection="0"/>
    <xf numFmtId="164" fontId="1" fillId="0" borderId="0" applyBorder="0" applyAlignment="0" applyProtection="0"/>
    <xf numFmtId="164" fontId="1" fillId="0" borderId="0" applyBorder="0" applyAlignment="0" applyProtection="0"/>
    <xf numFmtId="165" fontId="1" fillId="0" borderId="0" applyBorder="0" applyAlignment="0" applyProtection="0"/>
    <xf numFmtId="165" fontId="1" fillId="0" borderId="0" applyBorder="0" applyAlignment="0" applyProtection="0"/>
    <xf numFmtId="165" fontId="1" fillId="0" borderId="0" applyBorder="0" applyAlignment="0" applyProtection="0"/>
    <xf numFmtId="165" fontId="1" fillId="0" borderId="0" applyBorder="0" applyAlignment="0" applyProtection="0"/>
    <xf numFmtId="166" fontId="1" fillId="0" borderId="0" applyBorder="0" applyAlignment="0" applyProtection="0"/>
    <xf numFmtId="166" fontId="1" fillId="0" borderId="0" applyBorder="0" applyAlignment="0" applyProtection="0"/>
    <xf numFmtId="166" fontId="1" fillId="0" borderId="0" applyBorder="0" applyAlignment="0" applyProtection="0"/>
    <xf numFmtId="166" fontId="1" fillId="0" borderId="0" applyBorder="0" applyAlignment="0" applyProtection="0"/>
    <xf numFmtId="167" fontId="1" fillId="0" borderId="0" applyBorder="0" applyAlignment="0" applyProtection="0"/>
    <xf numFmtId="167" fontId="1" fillId="0" borderId="0" applyBorder="0" applyAlignment="0" applyProtection="0"/>
    <xf numFmtId="167" fontId="1" fillId="0" borderId="0" applyBorder="0" applyAlignment="0" applyProtection="0"/>
    <xf numFmtId="167" fontId="1" fillId="0" borderId="0" applyBorder="0" applyAlignment="0" applyProtection="0"/>
    <xf numFmtId="0" fontId="2" fillId="0" borderId="0" applyBorder="0" applyAlignment="0" applyProtection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168" fontId="1" fillId="0" borderId="0" applyBorder="0" applyAlignment="0" applyProtection="0"/>
    <xf numFmtId="168" fontId="1" fillId="0" borderId="0" applyBorder="0" applyAlignment="0" applyProtection="0"/>
    <xf numFmtId="168" fontId="1" fillId="0" borderId="0" applyBorder="0" applyAlignment="0" applyProtection="0"/>
    <xf numFmtId="168" fontId="1" fillId="0" borderId="0" applyBorder="0" applyAlignment="0" applyProtection="0"/>
    <xf numFmtId="0" fontId="1" fillId="0" borderId="0"/>
    <xf numFmtId="0" fontId="3" fillId="0" borderId="0"/>
    <xf numFmtId="0" fontId="1" fillId="0" borderId="0"/>
    <xf numFmtId="0" fontId="1" fillId="0" borderId="0"/>
    <xf numFmtId="44" fontId="30" fillId="0" borderId="0" applyFont="0" applyFill="0" applyBorder="0" applyAlignment="0" applyProtection="0"/>
  </cellStyleXfs>
  <cellXfs count="125">
    <xf numFmtId="0" fontId="0" fillId="0" borderId="0" xfId="0"/>
    <xf numFmtId="0" fontId="8" fillId="2" borderId="0" xfId="28" applyFont="1" applyFill="1" applyAlignment="1">
      <alignment vertical="center"/>
    </xf>
    <xf numFmtId="0" fontId="12" fillId="6" borderId="0" xfId="28" applyFont="1" applyFill="1" applyAlignment="1">
      <alignment vertical="center" wrapText="1"/>
    </xf>
    <xf numFmtId="0" fontId="8" fillId="2" borderId="0" xfId="28" applyFont="1" applyFill="1" applyAlignment="1">
      <alignment vertical="center" wrapText="1"/>
    </xf>
    <xf numFmtId="0" fontId="4" fillId="0" borderId="0" xfId="28" applyFont="1"/>
    <xf numFmtId="0" fontId="5" fillId="2" borderId="1" xfId="30" applyFont="1" applyFill="1" applyBorder="1" applyAlignment="1">
      <alignment vertical="center" wrapText="1"/>
    </xf>
    <xf numFmtId="0" fontId="6" fillId="0" borderId="0" xfId="28" applyFont="1"/>
    <xf numFmtId="49" fontId="3" fillId="0" borderId="2" xfId="30" applyNumberFormat="1" applyFont="1" applyBorder="1" applyAlignment="1">
      <alignment vertical="top"/>
    </xf>
    <xf numFmtId="0" fontId="3" fillId="0" borderId="2" xfId="30" applyFont="1" applyBorder="1" applyAlignment="1">
      <alignment vertical="top"/>
    </xf>
    <xf numFmtId="0" fontId="3" fillId="0" borderId="2" xfId="30" applyFont="1" applyBorder="1" applyAlignment="1">
      <alignment vertical="top" wrapText="1"/>
    </xf>
    <xf numFmtId="49" fontId="3" fillId="0" borderId="2" xfId="30" applyNumberFormat="1" applyFont="1" applyBorder="1" applyAlignment="1">
      <alignment vertical="top" wrapText="1"/>
    </xf>
    <xf numFmtId="169" fontId="3" fillId="0" borderId="2" xfId="30" applyNumberFormat="1" applyFont="1" applyBorder="1" applyAlignment="1">
      <alignment vertical="top" wrapText="1"/>
    </xf>
    <xf numFmtId="1" fontId="3" fillId="0" borderId="2" xfId="30" applyNumberFormat="1" applyFont="1" applyBorder="1" applyAlignment="1">
      <alignment vertical="top"/>
    </xf>
    <xf numFmtId="0" fontId="2" fillId="0" borderId="0" xfId="30" applyFont="1" applyAlignment="1">
      <alignment wrapText="1"/>
    </xf>
    <xf numFmtId="0" fontId="2" fillId="0" borderId="2" xfId="30" applyFont="1" applyBorder="1" applyAlignment="1">
      <alignment vertical="top" wrapText="1"/>
    </xf>
    <xf numFmtId="49" fontId="3" fillId="0" borderId="3" xfId="30" applyNumberFormat="1" applyFont="1" applyBorder="1" applyAlignment="1">
      <alignment vertical="top"/>
    </xf>
    <xf numFmtId="0" fontId="3" fillId="0" borderId="3" xfId="30" applyFont="1" applyBorder="1" applyAlignment="1">
      <alignment vertical="top"/>
    </xf>
    <xf numFmtId="0" fontId="3" fillId="0" borderId="3" xfId="30" applyFont="1" applyBorder="1" applyAlignment="1">
      <alignment vertical="top" wrapText="1"/>
    </xf>
    <xf numFmtId="49" fontId="3" fillId="0" borderId="3" xfId="30" applyNumberFormat="1" applyFont="1" applyBorder="1" applyAlignment="1">
      <alignment vertical="top" wrapText="1"/>
    </xf>
    <xf numFmtId="169" fontId="3" fillId="0" borderId="3" xfId="30" applyNumberFormat="1" applyFont="1" applyBorder="1" applyAlignment="1">
      <alignment vertical="top" wrapText="1"/>
    </xf>
    <xf numFmtId="1" fontId="3" fillId="0" borderId="3" xfId="30" applyNumberFormat="1" applyFont="1" applyBorder="1" applyAlignment="1">
      <alignment vertical="top"/>
    </xf>
    <xf numFmtId="0" fontId="3" fillId="0" borderId="0" xfId="30" applyFont="1"/>
    <xf numFmtId="0" fontId="3" fillId="0" borderId="0" xfId="30" applyFont="1" applyAlignment="1">
      <alignment wrapText="1"/>
    </xf>
    <xf numFmtId="170" fontId="3" fillId="0" borderId="0" xfId="30" applyNumberFormat="1" applyFont="1" applyAlignment="1">
      <alignment wrapText="1"/>
    </xf>
    <xf numFmtId="0" fontId="7" fillId="0" borderId="0" xfId="30" applyFont="1"/>
    <xf numFmtId="0" fontId="7" fillId="0" borderId="0" xfId="30" applyFont="1" applyAlignment="1">
      <alignment wrapText="1"/>
    </xf>
    <xf numFmtId="0" fontId="1" fillId="0" borderId="0" xfId="20"/>
    <xf numFmtId="1" fontId="3" fillId="0" borderId="0" xfId="28" applyNumberFormat="1"/>
    <xf numFmtId="0" fontId="8" fillId="4" borderId="0" xfId="28" applyFont="1" applyFill="1"/>
    <xf numFmtId="0" fontId="3" fillId="0" borderId="4" xfId="28" applyBorder="1"/>
    <xf numFmtId="0" fontId="3" fillId="0" borderId="5" xfId="28" applyBorder="1"/>
    <xf numFmtId="1" fontId="10" fillId="5" borderId="6" xfId="28" applyNumberFormat="1" applyFont="1" applyFill="1" applyBorder="1" applyAlignment="1">
      <alignment horizontal="center"/>
    </xf>
    <xf numFmtId="0" fontId="10" fillId="5" borderId="6" xfId="28" applyFont="1" applyFill="1" applyBorder="1" applyAlignment="1">
      <alignment horizontal="center"/>
    </xf>
    <xf numFmtId="0" fontId="3" fillId="0" borderId="7" xfId="28" applyBorder="1"/>
    <xf numFmtId="0" fontId="3" fillId="0" borderId="8" xfId="28" applyBorder="1"/>
    <xf numFmtId="1" fontId="10" fillId="5" borderId="9" xfId="28" applyNumberFormat="1" applyFont="1" applyFill="1" applyBorder="1" applyAlignment="1">
      <alignment horizontal="center"/>
    </xf>
    <xf numFmtId="0" fontId="3" fillId="0" borderId="10" xfId="28" applyBorder="1"/>
    <xf numFmtId="0" fontId="10" fillId="5" borderId="11" xfId="28" applyFont="1" applyFill="1" applyBorder="1" applyAlignment="1">
      <alignment horizontal="center"/>
    </xf>
    <xf numFmtId="0" fontId="3" fillId="0" borderId="12" xfId="28" applyBorder="1"/>
    <xf numFmtId="1" fontId="10" fillId="5" borderId="11" xfId="28" applyNumberFormat="1" applyFont="1" applyFill="1" applyBorder="1" applyAlignment="1">
      <alignment horizontal="center"/>
    </xf>
    <xf numFmtId="0" fontId="11" fillId="6" borderId="0" xfId="28" applyFont="1" applyFill="1" applyAlignment="1">
      <alignment vertical="center" wrapText="1"/>
    </xf>
    <xf numFmtId="0" fontId="13" fillId="6" borderId="0" xfId="27" applyFont="1" applyFill="1"/>
    <xf numFmtId="0" fontId="14" fillId="6" borderId="0" xfId="27" applyFont="1" applyFill="1"/>
    <xf numFmtId="0" fontId="8" fillId="7" borderId="0" xfId="27" applyFont="1" applyFill="1"/>
    <xf numFmtId="0" fontId="8" fillId="7" borderId="0" xfId="28" applyFont="1" applyFill="1" applyAlignment="1">
      <alignment wrapText="1"/>
    </xf>
    <xf numFmtId="0" fontId="3" fillId="0" borderId="0" xfId="28" applyAlignment="1">
      <alignment wrapText="1"/>
    </xf>
    <xf numFmtId="169" fontId="3" fillId="0" borderId="0" xfId="28" applyNumberFormat="1"/>
    <xf numFmtId="1" fontId="3" fillId="0" borderId="0" xfId="27" applyNumberFormat="1" applyFont="1"/>
    <xf numFmtId="1" fontId="10" fillId="5" borderId="0" xfId="27" applyNumberFormat="1" applyFont="1" applyFill="1" applyAlignment="1">
      <alignment horizontal="center"/>
    </xf>
    <xf numFmtId="172" fontId="1" fillId="0" borderId="0" xfId="27" applyNumberFormat="1"/>
    <xf numFmtId="0" fontId="15" fillId="3" borderId="15" xfId="28" applyFont="1" applyFill="1" applyBorder="1" applyAlignment="1">
      <alignment vertical="center"/>
    </xf>
    <xf numFmtId="1" fontId="10" fillId="5" borderId="16" xfId="28" applyNumberFormat="1" applyFont="1" applyFill="1" applyBorder="1" applyAlignment="1">
      <alignment horizontal="center"/>
    </xf>
    <xf numFmtId="0" fontId="3" fillId="10" borderId="16" xfId="28" applyFill="1" applyBorder="1" applyAlignment="1">
      <alignment horizontal="center"/>
    </xf>
    <xf numFmtId="0" fontId="16" fillId="7" borderId="0" xfId="30" applyFont="1" applyFill="1" applyAlignment="1">
      <alignment wrapText="1"/>
    </xf>
    <xf numFmtId="0" fontId="8" fillId="9" borderId="0" xfId="28" applyFont="1" applyFill="1" applyAlignment="1">
      <alignment horizontal="center" vertical="center" wrapText="1"/>
    </xf>
    <xf numFmtId="0" fontId="17" fillId="11" borderId="0" xfId="28" applyFont="1" applyFill="1"/>
    <xf numFmtId="0" fontId="18" fillId="5" borderId="0" xfId="30" applyFont="1" applyFill="1" applyAlignment="1">
      <alignment horizontal="center"/>
    </xf>
    <xf numFmtId="1" fontId="10" fillId="5" borderId="0" xfId="28" applyNumberFormat="1" applyFont="1" applyFill="1" applyAlignment="1">
      <alignment horizontal="center"/>
    </xf>
    <xf numFmtId="49" fontId="3" fillId="5" borderId="0" xfId="28" applyNumberFormat="1" applyFill="1" applyAlignment="1">
      <alignment horizontal="center"/>
    </xf>
    <xf numFmtId="0" fontId="3" fillId="5" borderId="0" xfId="28" applyFill="1" applyAlignment="1">
      <alignment horizontal="center" vertical="center"/>
    </xf>
    <xf numFmtId="0" fontId="15" fillId="3" borderId="17" xfId="28" applyFont="1" applyFill="1" applyBorder="1" applyAlignment="1">
      <alignment vertical="center"/>
    </xf>
    <xf numFmtId="0" fontId="3" fillId="10" borderId="18" xfId="28" applyFill="1" applyBorder="1" applyAlignment="1">
      <alignment horizontal="center"/>
    </xf>
    <xf numFmtId="0" fontId="19" fillId="12" borderId="0" xfId="18" applyFont="1" applyFill="1" applyAlignment="1">
      <alignment wrapText="1"/>
    </xf>
    <xf numFmtId="0" fontId="19" fillId="12" borderId="0" xfId="27" applyFont="1" applyFill="1" applyAlignment="1">
      <alignment wrapText="1"/>
    </xf>
    <xf numFmtId="0" fontId="20" fillId="12" borderId="0" xfId="27" applyFont="1" applyFill="1" applyAlignment="1">
      <alignment wrapText="1"/>
    </xf>
    <xf numFmtId="0" fontId="1" fillId="12" borderId="0" xfId="18" applyFill="1"/>
    <xf numFmtId="0" fontId="21" fillId="12" borderId="0" xfId="18" applyFont="1" applyFill="1" applyAlignment="1">
      <alignment vertical="center" wrapText="1"/>
    </xf>
    <xf numFmtId="0" fontId="21" fillId="12" borderId="0" xfId="27" applyFont="1" applyFill="1" applyAlignment="1">
      <alignment vertical="center" wrapText="1"/>
    </xf>
    <xf numFmtId="0" fontId="22" fillId="12" borderId="0" xfId="27" applyFont="1" applyFill="1" applyAlignment="1">
      <alignment wrapText="1"/>
    </xf>
    <xf numFmtId="0" fontId="23" fillId="12" borderId="0" xfId="18" applyFont="1" applyFill="1" applyAlignment="1">
      <alignment vertical="top" wrapText="1"/>
    </xf>
    <xf numFmtId="0" fontId="23" fillId="12" borderId="0" xfId="27" applyFont="1" applyFill="1" applyAlignment="1">
      <alignment vertical="top" wrapText="1"/>
    </xf>
    <xf numFmtId="0" fontId="24" fillId="12" borderId="0" xfId="27" applyFont="1" applyFill="1" applyAlignment="1">
      <alignment wrapText="1"/>
    </xf>
    <xf numFmtId="0" fontId="25" fillId="12" borderId="0" xfId="18" applyFont="1" applyFill="1" applyAlignment="1">
      <alignment vertical="top" wrapText="1"/>
    </xf>
    <xf numFmtId="0" fontId="25" fillId="12" borderId="0" xfId="27" applyFont="1" applyFill="1" applyAlignment="1">
      <alignment vertical="top" wrapText="1"/>
    </xf>
    <xf numFmtId="0" fontId="26" fillId="12" borderId="0" xfId="27" applyFont="1" applyFill="1" applyAlignment="1">
      <alignment wrapText="1"/>
    </xf>
    <xf numFmtId="0" fontId="16" fillId="2" borderId="0" xfId="30" applyFont="1" applyFill="1" applyAlignment="1">
      <alignment vertical="center" wrapText="1"/>
    </xf>
    <xf numFmtId="0" fontId="27" fillId="13" borderId="0" xfId="30" applyFont="1" applyFill="1" applyAlignment="1">
      <alignment vertical="center" wrapText="1"/>
    </xf>
    <xf numFmtId="0" fontId="16" fillId="2" borderId="0" xfId="30" applyFont="1" applyFill="1"/>
    <xf numFmtId="0" fontId="1" fillId="0" borderId="0" xfId="21"/>
    <xf numFmtId="0" fontId="16" fillId="14" borderId="0" xfId="0" applyFont="1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/>
    </xf>
    <xf numFmtId="0" fontId="29" fillId="15" borderId="0" xfId="0" applyFont="1" applyFill="1" applyAlignment="1">
      <alignment vertical="center"/>
    </xf>
    <xf numFmtId="0" fontId="27" fillId="15" borderId="0" xfId="0" applyFont="1" applyFill="1" applyAlignment="1">
      <alignment vertical="center" wrapText="1"/>
    </xf>
    <xf numFmtId="0" fontId="0" fillId="0" borderId="0" xfId="0" applyAlignment="1">
      <alignment vertical="top" wrapText="1"/>
    </xf>
    <xf numFmtId="0" fontId="3" fillId="0" borderId="0" xfId="28" applyAlignment="1">
      <alignment vertical="top" wrapText="1"/>
    </xf>
    <xf numFmtId="0" fontId="1" fillId="0" borderId="0" xfId="20" applyAlignment="1">
      <alignment vertical="top" wrapText="1"/>
    </xf>
    <xf numFmtId="1" fontId="3" fillId="0" borderId="0" xfId="28" applyNumberFormat="1" applyAlignment="1">
      <alignment vertical="top" wrapText="1"/>
    </xf>
    <xf numFmtId="169" fontId="3" fillId="0" borderId="0" xfId="28" applyNumberFormat="1" applyAlignment="1">
      <alignment vertical="top" wrapText="1"/>
    </xf>
    <xf numFmtId="1" fontId="3" fillId="0" borderId="0" xfId="27" applyNumberFormat="1" applyFont="1" applyAlignment="1">
      <alignment vertical="top" wrapText="1"/>
    </xf>
    <xf numFmtId="1" fontId="10" fillId="5" borderId="0" xfId="27" applyNumberFormat="1" applyFont="1" applyFill="1" applyAlignment="1">
      <alignment horizontal="center" vertical="top" wrapText="1"/>
    </xf>
    <xf numFmtId="172" fontId="1" fillId="0" borderId="0" xfId="27" applyNumberFormat="1" applyAlignment="1">
      <alignment vertical="top" wrapText="1"/>
    </xf>
    <xf numFmtId="3" fontId="0" fillId="0" borderId="0" xfId="0" applyNumberFormat="1" applyAlignment="1">
      <alignment vertical="top" wrapText="1"/>
    </xf>
    <xf numFmtId="44" fontId="0" fillId="0" borderId="0" xfId="31" applyFont="1"/>
    <xf numFmtId="44" fontId="8" fillId="2" borderId="0" xfId="31" applyFont="1" applyFill="1" applyAlignment="1">
      <alignment vertical="center" wrapText="1"/>
    </xf>
    <xf numFmtId="1" fontId="0" fillId="0" borderId="0" xfId="0" applyNumberFormat="1"/>
    <xf numFmtId="0" fontId="31" fillId="0" borderId="0" xfId="0" applyFont="1"/>
    <xf numFmtId="0" fontId="32" fillId="16" borderId="0" xfId="0" applyFont="1" applyFill="1" applyAlignment="1">
      <alignment horizontal="center"/>
    </xf>
    <xf numFmtId="0" fontId="31" fillId="0" borderId="0" xfId="0" applyFont="1" applyAlignment="1">
      <alignment wrapText="1"/>
    </xf>
    <xf numFmtId="1" fontId="3" fillId="0" borderId="0" xfId="0" applyNumberFormat="1" applyFont="1" applyAlignment="1">
      <alignment vertical="top" wrapText="1"/>
    </xf>
    <xf numFmtId="44" fontId="3" fillId="0" borderId="0" xfId="0" applyNumberFormat="1" applyFont="1" applyAlignment="1">
      <alignment vertical="top" wrapText="1"/>
    </xf>
    <xf numFmtId="44" fontId="0" fillId="0" borderId="0" xfId="0" applyNumberFormat="1" applyAlignment="1">
      <alignment vertical="top" wrapText="1"/>
    </xf>
    <xf numFmtId="0" fontId="7" fillId="0" borderId="0" xfId="0" applyFont="1" applyAlignment="1">
      <alignment vertical="top" wrapText="1"/>
    </xf>
    <xf numFmtId="171" fontId="7" fillId="0" borderId="0" xfId="0" applyNumberFormat="1" applyFont="1" applyAlignment="1">
      <alignment vertical="top" wrapText="1"/>
    </xf>
    <xf numFmtId="173" fontId="7" fillId="0" borderId="0" xfId="0" applyNumberFormat="1" applyFont="1" applyAlignment="1">
      <alignment vertical="top" wrapText="1"/>
    </xf>
    <xf numFmtId="0" fontId="28" fillId="13" borderId="0" xfId="0" applyFont="1" applyFill="1" applyAlignment="1">
      <alignment vertical="top" wrapText="1"/>
    </xf>
    <xf numFmtId="173" fontId="0" fillId="0" borderId="0" xfId="0" applyNumberFormat="1" applyAlignment="1">
      <alignment vertical="top" wrapText="1"/>
    </xf>
    <xf numFmtId="0" fontId="0" fillId="17" borderId="0" xfId="0" applyFill="1"/>
    <xf numFmtId="0" fontId="16" fillId="18" borderId="0" xfId="0" applyFont="1" applyFill="1"/>
    <xf numFmtId="0" fontId="33" fillId="0" borderId="0" xfId="0" applyFont="1" applyAlignment="1">
      <alignment vertical="top" wrapText="1"/>
    </xf>
    <xf numFmtId="0" fontId="32" fillId="0" borderId="0" xfId="0" applyFont="1" applyAlignment="1">
      <alignment horizontal="center"/>
    </xf>
    <xf numFmtId="0" fontId="34" fillId="0" borderId="2" xfId="30" applyFont="1" applyBorder="1" applyAlignment="1">
      <alignment vertical="top" wrapText="1"/>
    </xf>
    <xf numFmtId="0" fontId="35" fillId="5" borderId="0" xfId="30" applyFont="1" applyFill="1" applyAlignment="1">
      <alignment horizontal="center"/>
    </xf>
    <xf numFmtId="0" fontId="34" fillId="5" borderId="0" xfId="28" applyFont="1" applyFill="1" applyAlignment="1">
      <alignment horizontal="center" vertical="center"/>
    </xf>
    <xf numFmtId="169" fontId="34" fillId="0" borderId="2" xfId="30" applyNumberFormat="1" applyFont="1" applyBorder="1" applyAlignment="1">
      <alignment vertical="top" wrapText="1"/>
    </xf>
    <xf numFmtId="0" fontId="36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  <xf numFmtId="1" fontId="10" fillId="8" borderId="0" xfId="27" applyNumberFormat="1" applyFont="1" applyFill="1"/>
    <xf numFmtId="1" fontId="3" fillId="0" borderId="13" xfId="27" applyNumberFormat="1" applyFont="1" applyBorder="1" applyAlignment="1">
      <alignment vertical="top" wrapText="1"/>
    </xf>
    <xf numFmtId="0" fontId="8" fillId="2" borderId="0" xfId="28" applyFont="1" applyFill="1" applyAlignment="1">
      <alignment vertical="center" wrapText="1"/>
    </xf>
    <xf numFmtId="0" fontId="9" fillId="3" borderId="0" xfId="28" applyFont="1" applyFill="1" applyAlignment="1">
      <alignment vertical="center" wrapText="1"/>
    </xf>
    <xf numFmtId="0" fontId="12" fillId="6" borderId="0" xfId="0" applyFont="1" applyFill="1" applyAlignment="1">
      <alignment vertical="center" wrapText="1"/>
    </xf>
    <xf numFmtId="0" fontId="8" fillId="2" borderId="0" xfId="28" applyFont="1" applyFill="1" applyAlignment="1">
      <alignment vertical="center"/>
    </xf>
    <xf numFmtId="0" fontId="8" fillId="2" borderId="14" xfId="28" applyFont="1" applyFill="1" applyBorder="1" applyAlignment="1">
      <alignment vertical="center"/>
    </xf>
  </cellXfs>
  <cellStyles count="32">
    <cellStyle name="Comma" xfId="1" xr:uid="{00000000-0005-0000-0000-000000000000}"/>
    <cellStyle name="Comma [0]" xfId="5" xr:uid="{00000000-0005-0000-0000-000001000000}"/>
    <cellStyle name="Comma [0] 2" xfId="6" xr:uid="{00000000-0005-0000-0000-000002000000}"/>
    <cellStyle name="Comma [0] 3" xfId="7" xr:uid="{00000000-0005-0000-0000-000003000000}"/>
    <cellStyle name="Comma [0] 4" xfId="8" xr:uid="{00000000-0005-0000-0000-000004000000}"/>
    <cellStyle name="Comma 1" xfId="2" xr:uid="{00000000-0005-0000-0000-000005000000}"/>
    <cellStyle name="Comma 2" xfId="3" xr:uid="{00000000-0005-0000-0000-000006000000}"/>
    <cellStyle name="Comma 3" xfId="4" xr:uid="{00000000-0005-0000-0000-000007000000}"/>
    <cellStyle name="Currency" xfId="9" xr:uid="{00000000-0005-0000-0000-000008000000}"/>
    <cellStyle name="Currency [0]" xfId="13" xr:uid="{00000000-0005-0000-0000-000009000000}"/>
    <cellStyle name="Currency [0] 4" xfId="14" xr:uid="{00000000-0005-0000-0000-00000A000000}"/>
    <cellStyle name="Currency [0] 5" xfId="15" xr:uid="{00000000-0005-0000-0000-00000B000000}"/>
    <cellStyle name="Currency [0] 6" xfId="16" xr:uid="{00000000-0005-0000-0000-00000C000000}"/>
    <cellStyle name="Currency 3" xfId="10" xr:uid="{00000000-0005-0000-0000-00000D000000}"/>
    <cellStyle name="Currency 4" xfId="11" xr:uid="{00000000-0005-0000-0000-00000E000000}"/>
    <cellStyle name="Currency 5" xfId="12" xr:uid="{00000000-0005-0000-0000-00000F000000}"/>
    <cellStyle name="Link" xfId="17" xr:uid="{00000000-0005-0000-0000-000010000000}"/>
    <cellStyle name="Normal" xfId="18" xr:uid="{00000000-0005-0000-0000-000011000000}"/>
    <cellStyle name="Normal 1" xfId="19" xr:uid="{00000000-0005-0000-0000-000012000000}"/>
    <cellStyle name="Normal 5" xfId="20" xr:uid="{00000000-0005-0000-0000-000013000000}"/>
    <cellStyle name="Normal 6" xfId="21" xr:uid="{00000000-0005-0000-0000-000014000000}"/>
    <cellStyle name="Normal 7" xfId="22" xr:uid="{00000000-0005-0000-0000-000015000000}"/>
    <cellStyle name="Percent" xfId="23" xr:uid="{00000000-0005-0000-0000-000016000000}"/>
    <cellStyle name="Percent 6" xfId="24" xr:uid="{00000000-0005-0000-0000-000017000000}"/>
    <cellStyle name="Percent 7" xfId="25" xr:uid="{00000000-0005-0000-0000-000018000000}"/>
    <cellStyle name="Percent 8" xfId="26" xr:uid="{00000000-0005-0000-0000-000019000000}"/>
    <cellStyle name="Standard" xfId="0" builtinId="0"/>
    <cellStyle name="Standard 2" xfId="28" xr:uid="{00000000-0005-0000-0000-00001B000000}"/>
    <cellStyle name="Standard 3" xfId="29" xr:uid="{00000000-0005-0000-0000-00001C000000}"/>
    <cellStyle name="Standard 4" xfId="30" xr:uid="{00000000-0005-0000-0000-00001D000000}"/>
    <cellStyle name="Standard 5" xfId="27" xr:uid="{00000000-0005-0000-0000-00001E000000}"/>
    <cellStyle name="Währung" xfId="31" xr:uid="{00000000-0005-0000-0000-00001F000000}"/>
  </cellStyles>
  <dxfs count="12">
    <dxf>
      <font>
        <b/>
        <color rgb="FF7F6000"/>
      </font>
      <fill>
        <patternFill>
          <bgColor rgb="FFFFF2CC"/>
        </patternFill>
      </fill>
    </dxf>
    <dxf>
      <font>
        <color rgb="FF375623"/>
      </font>
      <fill>
        <patternFill>
          <bgColor rgb="FFE2F0D9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375623"/>
      </font>
      <fill>
        <patternFill>
          <bgColor rgb="FFE2F0D9"/>
        </patternFill>
      </fill>
    </dxf>
    <dxf>
      <font>
        <color rgb="FFA6A6A6"/>
      </font>
    </dxf>
    <dxf>
      <font>
        <color rgb="FF7F60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color rgb="FF375623"/>
      </font>
      <fill>
        <patternFill>
          <bgColor rgb="FFE2F0D9"/>
        </patternFill>
      </fill>
    </dxf>
    <dxf>
      <font>
        <b/>
        <color rgb="FF9C6500"/>
      </font>
      <fill>
        <patternFill>
          <bgColor rgb="FFFFF2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385723"/>
      <rgbColor rgb="FF000080"/>
      <rgbColor rgb="FF7F6000"/>
      <rgbColor rgb="FF800080"/>
      <rgbColor rgb="FF146C87"/>
      <rgbColor rgb="FFB4C7E7"/>
      <rgbColor rgb="FF7F7F7F"/>
      <rgbColor rgb="FF9999FF"/>
      <rgbColor rgb="FF555555"/>
      <rgbColor rgb="FFFFF2CC"/>
      <rgbColor rgb="FFD9EA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C1E5F5"/>
      <rgbColor rgb="FFE2F0D9"/>
      <rgbColor rgb="FFFCE4D6"/>
      <rgbColor rgb="FFE7E6E6"/>
      <rgbColor rgb="FFF2F2F2"/>
      <rgbColor rgb="FFF3F6F9"/>
      <rgbColor rgb="FFF4CCCC"/>
      <rgbColor rgb="FF4472C4"/>
      <rgbColor rgb="FF46B1E1"/>
      <rgbColor rgb="FF99CC00"/>
      <rgbColor rgb="FFFFCC00"/>
      <rgbColor rgb="FFFF9900"/>
      <rgbColor rgb="FFFF6600"/>
      <rgbColor rgb="FF467886"/>
      <rgbColor rgb="FFA6A6A6"/>
      <rgbColor rgb="FF375623"/>
      <rgbColor rgb="FF339966"/>
      <rgbColor rgb="FF111111"/>
      <rgbColor rgb="FF1F1F1F"/>
      <rgbColor rgb="FF9C65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PartsTable" displayName="PartsTable" ref="A1:M128" totalsRowShown="0">
  <autoFilter ref="A1:M128" xr:uid="{00000000-0009-0000-0100-000004000000}"/>
  <tableColumns count="13">
    <tableColumn id="1" xr3:uid="{00000000-0010-0000-0000-000001000000}" name="Part_ID"/>
    <tableColumn id="2" xr3:uid="{00000000-0010-0000-0000-000002000000}" name="Category"/>
    <tableColumn id="3" xr3:uid="{00000000-0010-0000-0000-000003000000}" name="Description"/>
    <tableColumn id="4" xr3:uid="{00000000-0010-0000-0000-000004000000}" name="Value_Rating"/>
    <tableColumn id="5" xr3:uid="{00000000-0010-0000-0000-000005000000}" name="Package_Footprint"/>
    <tableColumn id="6" xr3:uid="{00000000-0010-0000-0000-000006000000}" name="Manufacturer"/>
    <tableColumn id="7" xr3:uid="{00000000-0010-0000-0000-000007000000}" name="MPN"/>
    <tableColumn id="8" xr3:uid="{00000000-0010-0000-0000-000008000000}" name="Found_In"/>
    <tableColumn id="9" xr3:uid="{00000000-0010-0000-0000-000009000000}" name="KiCad_References"/>
    <tableColumn id="10" xr3:uid="{00000000-0010-0000-0000-00000A000000}" name="Source"/>
    <tableColumn id="11" xr3:uid="{00000000-0010-0000-0000-00000B000000}" name="Review_Status"/>
    <tableColumn id="12" xr3:uid="{00000000-0010-0000-0000-00000C000000}" name="Notes"/>
    <tableColumn id="13" xr3:uid="{00000000-0010-0000-0000-00000D000000}" name="Duplicate_Check_Ke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KitsTable" displayName="KitsTable" ref="A1:G11" totalsRowShown="0">
  <autoFilter ref="A1:G11" xr:uid="{00000000-000C-0000-FFFF-FFFF01000000}"/>
  <tableColumns count="7">
    <tableColumn id="1" xr3:uid="{00000000-0010-0000-0100-000001000000}" name="Kit_ID"/>
    <tableColumn id="2" xr3:uid="{00000000-0010-0000-0100-000002000000}" name="Kit_Name"/>
    <tableColumn id="3" xr3:uid="{00000000-0010-0000-0100-000003000000}" name="Revision"/>
    <tableColumn id="4" xr3:uid="{00000000-0010-0000-0100-000004000000}" name="Status"/>
    <tableColumn id="5" xr3:uid="{00000000-0010-0000-0100-000005000000}" name="KiCad_Schematic"/>
    <tableColumn id="6" xr3:uid="{00000000-0010-0000-0100-000006000000}" name="KiCad_PCB"/>
    <tableColumn id="7" xr3:uid="{00000000-0010-0000-0100-000007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KitBomTable" displayName="KitBomTable" ref="A1:N108" totalsRowCount="1">
  <autoFilter ref="A1:N107" xr:uid="{00000000-000C-0000-FFFF-FFFF02000000}"/>
  <tableColumns count="14">
    <tableColumn id="1" xr3:uid="{00000000-0010-0000-0200-000001000000}" name="Kit_ID" totalsRowLabel="Ergebnis"/>
    <tableColumn id="2" xr3:uid="{00000000-0010-0000-0200-000002000000}" name="Kit_Revision"/>
    <tableColumn id="3" xr3:uid="{00000000-0010-0000-0200-000003000000}" name="Position"/>
    <tableColumn id="4" xr3:uid="{00000000-0010-0000-0200-000004000000}" name="RefDes"/>
    <tableColumn id="5" xr3:uid="{00000000-0010-0000-0200-000005000000}" name="Part_Number"/>
    <tableColumn id="6" xr3:uid="{00000000-0010-0000-0200-000006000000}" name="Quantity"/>
    <tableColumn id="7" xr3:uid="{00000000-0010-0000-0200-000007000000}" name="Build_Status"/>
    <tableColumn id="8" xr3:uid="{00000000-0010-0000-0200-000008000000}" name="Source_Type"/>
    <tableColumn id="9" xr3:uid="{00000000-0010-0000-0200-000009000000}" name="Value"/>
    <tableColumn id="10" xr3:uid="{00000000-0010-0000-0200-00000A000000}" name="Footprint"/>
    <tableColumn id="11" xr3:uid="{00000000-0010-0000-0200-00000B000000}" name="Unit_Price_EUR"/>
    <tableColumn id="12" xr3:uid="{00000000-0010-0000-0200-00000C000000}" name="Position_Price_EUR"/>
    <tableColumn id="13" xr3:uid="{00000000-0010-0000-0200-00000D000000}" name="Notes"/>
    <tableColumn id="14" xr3:uid="{00000000-0010-0000-0200-00000E000000}" name="Freigegebene_Alternative" totalsRowFunction="coun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3000000}" name="OrderListTable" displayName="OrderListTable" ref="A17:T93" totalsRowCount="1">
  <autoFilter ref="A17:T92" xr:uid="{00000000-000C-0000-FFFF-FFFF03000000}">
    <filterColumn colId="2">
      <filters>
        <filter val="DigiKey"/>
      </filters>
    </filterColumn>
    <filterColumn colId="9">
      <filters>
        <filter val="Bestellvorschlag prüfen"/>
        <filter val="Manuelle Menge prüfen"/>
        <filter val="PCB-Auftrag prüfen"/>
      </filters>
    </filterColumn>
  </autoFilter>
  <sortState xmlns:xlrd2="http://schemas.microsoft.com/office/spreadsheetml/2017/richdata2" ref="A23:T91">
    <sortCondition ref="C17:C92"/>
  </sortState>
  <tableColumns count="20">
    <tableColumn id="1" xr3:uid="{00000000-0010-0000-0300-000001000000}" name="Part_ID" totalsRowLabel="Ergebnis"/>
    <tableColumn id="2" xr3:uid="{00000000-0010-0000-0300-000002000000}" name="Description"/>
    <tableColumn id="3" xr3:uid="{00000000-0010-0000-0300-000003000000}" name="Supplier"/>
    <tableColumn id="4" xr3:uid="{00000000-0010-0000-0300-000004000000}" name="Supplier_PN"/>
    <tableColumn id="5" xr3:uid="{00000000-0010-0000-0300-000005000000}" name="Bedarf"/>
    <tableColumn id="6" xr3:uid="{00000000-0010-0000-0300-000006000000}" name="Packaging_Unit"/>
    <tableColumn id="7" xr3:uid="{00000000-0010-0000-0300-000007000000}" name="Bedarf_gerundet"/>
    <tableColumn id="8" xr3:uid="{00000000-0010-0000-0300-000008000000}" name="Unit_Price_EUR"/>
    <tableColumn id="9" xr3:uid="{00000000-0010-0000-0300-000009000000}" name="Bedarfswert_EUR" totalsRowFunction="sum"/>
    <tableColumn id="10" xr3:uid="{00000000-0010-0000-0300-00000A000000}" name="Import_Status"/>
    <tableColumn id="11" xr3:uid="{00000000-0010-0000-0300-00000B000000}" name="URL"/>
    <tableColumn id="12" xr3:uid="{00000000-0010-0000-0300-00000C000000}" name="Bestand"/>
    <tableColumn id="13" xr3:uid="{00000000-0010-0000-0300-00000D000000}" name="Bestellt"/>
    <tableColumn id="14" xr3:uid="{00000000-0010-0000-0300-00000E000000}" name="Deckung"/>
    <tableColumn id="15" xr3:uid="{00000000-0010-0000-0300-00000F000000}" name="Bestellvorschlag"/>
    <tableColumn id="16" xr3:uid="{00000000-0010-0000-0300-000010000000}" name="Bestellmenge"/>
    <tableColumn id="17" xr3:uid="{00000000-0010-0000-0300-000011000000}" name="Bestellwert"/>
    <tableColumn id="18" xr3:uid="{00000000-0010-0000-0300-000012000000}" name="Alternativbestand"/>
    <tableColumn id="19" xr3:uid="{00000000-0010-0000-0300-000013000000}" name="Alternative_bestellt"/>
    <tableColumn id="20" xr3:uid="{00000000-0010-0000-0300-000014000000}" name="Freigegebene_Alternative" totalsRowFunction="cou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StockTable" displayName="StockTable" ref="A4:M131" totalsRowShown="0">
  <autoFilter ref="A4:M131" xr:uid="{00000000-0009-0000-0100-000006000000}"/>
  <sortState xmlns:xlrd2="http://schemas.microsoft.com/office/spreadsheetml/2017/richdata2" ref="A5:M131">
    <sortCondition ref="A4:A131"/>
  </sortState>
  <tableColumns count="13">
    <tableColumn id="1" xr3:uid="{00000000-0010-0000-0400-000001000000}" name="Part_Number"/>
    <tableColumn id="2" xr3:uid="{00000000-0010-0000-0400-000002000000}" name="Category"/>
    <tableColumn id="3" xr3:uid="{00000000-0010-0000-0400-000003000000}" name="Description"/>
    <tableColumn id="4" xr3:uid="{00000000-0010-0000-0400-000004000000}" name="Value_Rating"/>
    <tableColumn id="5" xr3:uid="{00000000-0010-0000-0400-000005000000}" name="Package_Footprint"/>
    <tableColumn id="6" xr3:uid="{00000000-0010-0000-0400-000006000000}" name="Manufacturer"/>
    <tableColumn id="7" xr3:uid="{00000000-0010-0000-0400-000007000000}" name="MPN"/>
    <tableColumn id="8" xr3:uid="{00000000-0010-0000-0400-000008000000}" name="Supplier"/>
    <tableColumn id="9" xr3:uid="{00000000-0010-0000-0400-000009000000}" name="Supplier_PN"/>
    <tableColumn id="10" xr3:uid="{00000000-0010-0000-0400-00000A000000}" name="Bestand"/>
    <tableColumn id="11" xr3:uid="{00000000-0010-0000-0400-00000B000000}" name="Bestellt"/>
    <tableColumn id="12" xr3:uid="{00000000-0010-0000-0400-00000C000000}" name="Found_In"/>
    <tableColumn id="13" xr3:uid="{00000000-0010-0000-0400-00000D000000}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PartSuppliersTable" displayName="PartSuppliersTable" ref="A1:L129" totalsRowShown="0">
  <autoFilter ref="A1:L129" xr:uid="{00000000-0009-0000-0100-000005000000}"/>
  <tableColumns count="12">
    <tableColumn id="1" xr3:uid="{00000000-0010-0000-0500-000001000000}" name="Part_ID"/>
    <tableColumn id="2" xr3:uid="{00000000-0010-0000-0500-000002000000}" name="Supplier"/>
    <tableColumn id="3" xr3:uid="{00000000-0010-0000-0500-000003000000}" name="Supplier_PN"/>
    <tableColumn id="4" xr3:uid="{00000000-0010-0000-0500-000004000000}" name="URL"/>
    <tableColumn id="5" xr3:uid="{00000000-0010-0000-0500-000005000000}" name="Unit_Price_EUR"/>
    <tableColumn id="6" xr3:uid="{00000000-0010-0000-0500-000006000000}" name="Purchase_Unit"/>
    <tableColumn id="7" xr3:uid="{00000000-0010-0000-0500-000007000000}" name="Packaging_Unit"/>
    <tableColumn id="8" xr3:uid="{00000000-0010-0000-0500-000008000000}" name="Preferred"/>
    <tableColumn id="9" xr3:uid="{00000000-0010-0000-0500-000009000000}" name="Last_Checked"/>
    <tableColumn id="10" xr3:uid="{00000000-0010-0000-0500-00000A000000}" name="Notes"/>
    <tableColumn id="11" xr3:uid="{00000000-0010-0000-0500-00000B000000}" name="Part_Supplier_Key"/>
    <tableColumn id="12" xr3:uid="{00000000-0010-0000-0500-00000C000000}" name="Preferred_Ke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uppliersTable" displayName="SuppliersTable" ref="A1:C10" totalsRowShown="0">
  <tableColumns count="3">
    <tableColumn id="1" xr3:uid="{00000000-0010-0000-0600-000001000000}" name="Supplier"/>
    <tableColumn id="2" xr3:uid="{00000000-0010-0000-0600-000002000000}" name="Active"/>
    <tableColumn id="3" xr3:uid="{00000000-0010-0000-0600-000003000000}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7000000}" name="PartAlternativesTable" displayName="PartAlternativesTable" ref="A1:K4" totalsRowShown="0">
  <tableColumns count="11">
    <tableColumn id="1" xr3:uid="{00000000-0010-0000-0700-000001000000}" name="Required_Part_ID"/>
    <tableColumn id="2" xr3:uid="{00000000-0010-0000-0700-000002000000}" name="Substitute_Part_ID"/>
    <tableColumn id="3" xr3:uid="{00000000-0010-0000-0700-000003000000}" name="Approval_Type"/>
    <tableColumn id="4" xr3:uid="{00000000-0010-0000-0700-000004000000}" name="Scope"/>
    <tableColumn id="5" xr3:uid="{00000000-0010-0000-0700-000005000000}" name="Approved"/>
    <tableColumn id="6" xr3:uid="{00000000-0010-0000-0700-000006000000}" name="Priority"/>
    <tableColumn id="7" xr3:uid="{00000000-0010-0000-0700-000007000000}" name="Notes"/>
    <tableColumn id="8" xr3:uid="{00000000-0010-0000-0700-000008000000}" name="Substitute_Stock"/>
    <tableColumn id="9" xr3:uid="{00000000-0010-0000-0700-000009000000}" name="Substitute_Ordered"/>
    <tableColumn id="10" xr3:uid="{00000000-0010-0000-0700-00000A000000}" name="Alternative_Label"/>
    <tableColumn id="11" xr3:uid="{00000000-0010-0000-0700-00000B000000}" name="Alternative_Ke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www.reichelt.de/de/de/shop/produkt/smd-widerstand_1206_47_ohm_250_mw_5_-250359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hyperlink" Target="https://www.reichelt.de/de/de/shop/produkt/smd-widerstand_1206_15_ohm_250_mw_1_-346649" TargetMode="External"/><Relationship Id="rId1" Type="http://schemas.openxmlformats.org/officeDocument/2006/relationships/hyperlink" Target="https://www.digikey.de/en/products/detail/yageo/RC1206FR-0715RL/728555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28"/>
  <sheetViews>
    <sheetView showGridLines="0" workbookViewId="0">
      <pane xSplit="4" ySplit="1" topLeftCell="E3" activePane="bottomRight" state="frozen"/>
      <selection pane="topRight" activeCell="E1" sqref="E1"/>
      <selection pane="bottomLeft" activeCell="A2" sqref="A2"/>
      <selection pane="bottomRight" activeCell="K129" sqref="K129"/>
    </sheetView>
  </sheetViews>
  <sheetFormatPr baseColWidth="10" defaultColWidth="8.83203125" defaultRowHeight="12" x14ac:dyDescent="0.15"/>
  <cols>
    <col min="1" max="1" width="14" style="4" customWidth="1"/>
    <col min="2" max="2" width="18" style="4" customWidth="1"/>
    <col min="3" max="3" width="38" style="4" customWidth="1"/>
    <col min="4" max="4" width="24" style="4" customWidth="1"/>
    <col min="5" max="5" width="42" style="4" customWidth="1"/>
    <col min="6" max="6" width="24" style="4" customWidth="1"/>
    <col min="7" max="7" width="26" style="4" customWidth="1"/>
    <col min="8" max="8" width="35" style="4" customWidth="1"/>
    <col min="9" max="9" width="42" style="4" customWidth="1"/>
    <col min="10" max="10" width="22" style="4" customWidth="1"/>
    <col min="11" max="11" width="15" style="4" customWidth="1"/>
    <col min="12" max="12" width="55" style="4" customWidth="1"/>
    <col min="13" max="13" width="38" style="4" customWidth="1"/>
    <col min="14" max="14" width="30" style="4" customWidth="1"/>
    <col min="15" max="15" width="42" style="4" customWidth="1"/>
    <col min="16" max="16" width="55.83203125" style="4" customWidth="1"/>
    <col min="17" max="17" width="15" style="4" customWidth="1"/>
    <col min="18" max="18" width="174.33203125" style="4" customWidth="1"/>
    <col min="19" max="19" width="42" style="4" customWidth="1"/>
    <col min="20" max="16384" width="8.83203125" style="4"/>
  </cols>
  <sheetData>
    <row r="1" spans="1:19" s="6" customFormat="1" ht="34" customHeight="1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pans="1:19" ht="48" x14ac:dyDescent="0.15">
      <c r="A2" s="7" t="s">
        <v>84</v>
      </c>
      <c r="B2" s="8" t="s">
        <v>249</v>
      </c>
      <c r="C2" s="9" t="s">
        <v>250</v>
      </c>
      <c r="D2" s="112" t="s">
        <v>1373</v>
      </c>
      <c r="E2" s="9"/>
      <c r="F2" s="9" t="s">
        <v>251</v>
      </c>
      <c r="G2" s="10"/>
      <c r="H2" s="10" t="s">
        <v>252</v>
      </c>
      <c r="I2" s="10" t="s">
        <v>253</v>
      </c>
      <c r="J2" s="9" t="s">
        <v>254</v>
      </c>
      <c r="K2" s="11" t="s">
        <v>255</v>
      </c>
      <c r="L2" s="9" t="s">
        <v>256</v>
      </c>
      <c r="M2" s="12" t="s">
        <v>257</v>
      </c>
      <c r="S2" s="4" t="str">
        <f t="shared" ref="S2:S33" si="0">IF(G2&lt;&gt;"",UPPER(TRIM(G2)),UPPER(TRIM(C2&amp;"|"&amp;E2)))</f>
        <v>SET, SET JST-PH 4-POLIG 2.00MM VERTIKALER PCB-STECKER, BUCHSE THT|</v>
      </c>
    </row>
    <row r="3" spans="1:19" ht="48" x14ac:dyDescent="0.15">
      <c r="A3" s="7" t="s">
        <v>88</v>
      </c>
      <c r="B3" s="8" t="s">
        <v>249</v>
      </c>
      <c r="C3" s="9" t="s">
        <v>258</v>
      </c>
      <c r="D3" s="9" t="s">
        <v>259</v>
      </c>
      <c r="E3" s="9"/>
      <c r="F3" s="9" t="s">
        <v>251</v>
      </c>
      <c r="G3" s="10"/>
      <c r="H3" s="10" t="s">
        <v>252</v>
      </c>
      <c r="I3" s="10" t="s">
        <v>260</v>
      </c>
      <c r="J3" s="9" t="s">
        <v>254</v>
      </c>
      <c r="K3" s="11" t="s">
        <v>255</v>
      </c>
      <c r="L3" s="9" t="s">
        <v>261</v>
      </c>
      <c r="M3" s="12" t="s">
        <v>262</v>
      </c>
      <c r="S3" s="4" t="str">
        <f t="shared" si="0"/>
        <v>QWIIC/JST-SH, 4-POLIGES PIGTAIL JST|</v>
      </c>
    </row>
    <row r="4" spans="1:19" ht="32" x14ac:dyDescent="0.15">
      <c r="A4" s="7" t="s">
        <v>90</v>
      </c>
      <c r="B4" s="8" t="s">
        <v>263</v>
      </c>
      <c r="C4" s="9" t="s">
        <v>264</v>
      </c>
      <c r="D4" s="9" t="s">
        <v>265</v>
      </c>
      <c r="E4" s="9" t="s">
        <v>266</v>
      </c>
      <c r="F4" s="9" t="s">
        <v>267</v>
      </c>
      <c r="G4" s="10">
        <v>10120946</v>
      </c>
      <c r="H4" s="10" t="s">
        <v>268</v>
      </c>
      <c r="I4" s="10" t="s">
        <v>269</v>
      </c>
      <c r="J4" s="9" t="s">
        <v>254</v>
      </c>
      <c r="K4" s="11" t="s">
        <v>255</v>
      </c>
      <c r="L4" s="9" t="s">
        <v>270</v>
      </c>
      <c r="M4" s="12" t="s">
        <v>271</v>
      </c>
      <c r="S4" s="4" t="str">
        <f t="shared" si="0"/>
        <v>10120946</v>
      </c>
    </row>
    <row r="5" spans="1:19" ht="32" x14ac:dyDescent="0.15">
      <c r="A5" s="7" t="s">
        <v>93</v>
      </c>
      <c r="B5" s="8" t="s">
        <v>263</v>
      </c>
      <c r="C5" s="9" t="s">
        <v>272</v>
      </c>
      <c r="D5" s="9" t="s">
        <v>273</v>
      </c>
      <c r="E5" s="9"/>
      <c r="F5" s="9" t="s">
        <v>274</v>
      </c>
      <c r="G5" s="10" t="s">
        <v>275</v>
      </c>
      <c r="H5" s="10" t="s">
        <v>252</v>
      </c>
      <c r="I5" s="10" t="s">
        <v>276</v>
      </c>
      <c r="J5" s="9" t="s">
        <v>254</v>
      </c>
      <c r="K5" s="11" t="s">
        <v>255</v>
      </c>
      <c r="L5" s="9" t="s">
        <v>277</v>
      </c>
      <c r="M5" s="12" t="s">
        <v>275</v>
      </c>
      <c r="S5" s="4" t="str">
        <f t="shared" si="0"/>
        <v>BL1.20 G</v>
      </c>
    </row>
    <row r="6" spans="1:19" ht="80" x14ac:dyDescent="0.15">
      <c r="A6" s="7" t="s">
        <v>94</v>
      </c>
      <c r="B6" s="8" t="s">
        <v>278</v>
      </c>
      <c r="C6" s="9" t="s">
        <v>279</v>
      </c>
      <c r="D6" s="9" t="s">
        <v>280</v>
      </c>
      <c r="E6" s="9" t="s">
        <v>281</v>
      </c>
      <c r="F6" s="9" t="s">
        <v>282</v>
      </c>
      <c r="G6" s="10" t="s">
        <v>283</v>
      </c>
      <c r="H6" s="10" t="s">
        <v>284</v>
      </c>
      <c r="I6" s="10" t="s">
        <v>285</v>
      </c>
      <c r="J6" s="9" t="s">
        <v>254</v>
      </c>
      <c r="K6" s="11" t="s">
        <v>255</v>
      </c>
      <c r="L6" s="9" t="s">
        <v>286</v>
      </c>
      <c r="M6" s="12" t="s">
        <v>283</v>
      </c>
      <c r="S6" s="4" t="str">
        <f t="shared" si="0"/>
        <v>CRCW12064K70FKEA</v>
      </c>
    </row>
    <row r="7" spans="1:19" ht="192" x14ac:dyDescent="0.15">
      <c r="A7" s="7" t="s">
        <v>95</v>
      </c>
      <c r="B7" s="8" t="s">
        <v>287</v>
      </c>
      <c r="C7" s="9" t="s">
        <v>288</v>
      </c>
      <c r="D7" s="9" t="s">
        <v>289</v>
      </c>
      <c r="E7" s="9" t="s">
        <v>290</v>
      </c>
      <c r="F7" s="9" t="s">
        <v>291</v>
      </c>
      <c r="G7" s="10" t="s">
        <v>292</v>
      </c>
      <c r="H7" s="10" t="s">
        <v>293</v>
      </c>
      <c r="I7" s="10" t="s">
        <v>294</v>
      </c>
      <c r="J7" s="9" t="s">
        <v>254</v>
      </c>
      <c r="K7" s="11" t="s">
        <v>255</v>
      </c>
      <c r="L7" s="9" t="s">
        <v>295</v>
      </c>
      <c r="M7" s="12" t="s">
        <v>292</v>
      </c>
      <c r="S7" s="4" t="str">
        <f t="shared" si="0"/>
        <v>C1206F104K1RACTU</v>
      </c>
    </row>
    <row r="8" spans="1:19" ht="48" x14ac:dyDescent="0.15">
      <c r="A8" s="7" t="s">
        <v>97</v>
      </c>
      <c r="B8" s="8" t="s">
        <v>287</v>
      </c>
      <c r="C8" s="9" t="s">
        <v>296</v>
      </c>
      <c r="D8" s="9" t="s">
        <v>297</v>
      </c>
      <c r="E8" s="9" t="s">
        <v>290</v>
      </c>
      <c r="F8" s="9" t="s">
        <v>298</v>
      </c>
      <c r="G8" s="10" t="s">
        <v>299</v>
      </c>
      <c r="H8" s="10" t="s">
        <v>300</v>
      </c>
      <c r="I8" s="10" t="s">
        <v>301</v>
      </c>
      <c r="J8" s="9" t="s">
        <v>254</v>
      </c>
      <c r="K8" s="11" t="s">
        <v>255</v>
      </c>
      <c r="L8" s="9" t="s">
        <v>302</v>
      </c>
      <c r="M8" s="12" t="s">
        <v>299</v>
      </c>
      <c r="S8" s="4" t="str">
        <f t="shared" si="0"/>
        <v>12063C106KAT2A</v>
      </c>
    </row>
    <row r="9" spans="1:19" ht="48" x14ac:dyDescent="0.15">
      <c r="A9" s="7" t="s">
        <v>98</v>
      </c>
      <c r="B9" s="8" t="s">
        <v>287</v>
      </c>
      <c r="C9" s="9" t="s">
        <v>303</v>
      </c>
      <c r="D9" s="9" t="s">
        <v>304</v>
      </c>
      <c r="E9" s="9" t="s">
        <v>305</v>
      </c>
      <c r="F9" s="9" t="s">
        <v>298</v>
      </c>
      <c r="G9" s="10" t="s">
        <v>306</v>
      </c>
      <c r="H9" s="10" t="s">
        <v>307</v>
      </c>
      <c r="I9" s="10" t="s">
        <v>308</v>
      </c>
      <c r="J9" s="9" t="s">
        <v>254</v>
      </c>
      <c r="K9" s="11" t="s">
        <v>255</v>
      </c>
      <c r="L9" s="9" t="s">
        <v>309</v>
      </c>
      <c r="M9" s="12" t="s">
        <v>306</v>
      </c>
      <c r="S9" s="4" t="str">
        <f t="shared" si="0"/>
        <v>TAJB476K010RNJ</v>
      </c>
    </row>
    <row r="10" spans="1:19" ht="48" x14ac:dyDescent="0.15">
      <c r="A10" s="7" t="s">
        <v>99</v>
      </c>
      <c r="B10" s="8" t="s">
        <v>310</v>
      </c>
      <c r="C10" s="9" t="s">
        <v>311</v>
      </c>
      <c r="D10" s="9" t="s">
        <v>312</v>
      </c>
      <c r="E10" s="9" t="s">
        <v>313</v>
      </c>
      <c r="F10" s="9" t="s">
        <v>314</v>
      </c>
      <c r="G10" s="10" t="s">
        <v>315</v>
      </c>
      <c r="H10" s="10" t="s">
        <v>307</v>
      </c>
      <c r="I10" s="10" t="s">
        <v>316</v>
      </c>
      <c r="J10" s="9" t="s">
        <v>254</v>
      </c>
      <c r="K10" s="11" t="s">
        <v>255</v>
      </c>
      <c r="L10" s="9" t="s">
        <v>317</v>
      </c>
      <c r="M10" s="12" t="s">
        <v>315</v>
      </c>
      <c r="S10" s="4" t="str">
        <f t="shared" si="0"/>
        <v>LM3940IMP-3.3/NOPB</v>
      </c>
    </row>
    <row r="11" spans="1:19" ht="64" x14ac:dyDescent="0.15">
      <c r="A11" s="7" t="s">
        <v>100</v>
      </c>
      <c r="B11" s="8" t="s">
        <v>318</v>
      </c>
      <c r="C11" s="9" t="s">
        <v>319</v>
      </c>
      <c r="D11" s="9" t="s">
        <v>320</v>
      </c>
      <c r="E11" s="9" t="s">
        <v>321</v>
      </c>
      <c r="F11" s="9" t="s">
        <v>322</v>
      </c>
      <c r="G11" s="10"/>
      <c r="H11" s="10" t="s">
        <v>323</v>
      </c>
      <c r="I11" s="10" t="s">
        <v>324</v>
      </c>
      <c r="J11" s="9" t="s">
        <v>254</v>
      </c>
      <c r="K11" s="115" t="s">
        <v>255</v>
      </c>
      <c r="L11" s="9" t="s">
        <v>326</v>
      </c>
      <c r="M11" s="12" t="s">
        <v>327</v>
      </c>
      <c r="S11" s="4" t="str">
        <f t="shared" si="0"/>
        <v>ESP32-DEVKITC|PCM_ESPRESSIF:ESP32-DEVKITC</v>
      </c>
    </row>
    <row r="12" spans="1:19" ht="48" x14ac:dyDescent="0.15">
      <c r="A12" s="7" t="s">
        <v>101</v>
      </c>
      <c r="B12" s="8" t="s">
        <v>328</v>
      </c>
      <c r="C12" s="9" t="s">
        <v>329</v>
      </c>
      <c r="D12" s="9" t="s">
        <v>330</v>
      </c>
      <c r="E12" s="9"/>
      <c r="F12" s="9" t="s">
        <v>226</v>
      </c>
      <c r="G12" s="10"/>
      <c r="H12" s="10" t="s">
        <v>252</v>
      </c>
      <c r="I12" s="10"/>
      <c r="J12" s="9" t="s">
        <v>254</v>
      </c>
      <c r="K12" s="11" t="s">
        <v>255</v>
      </c>
      <c r="L12" s="9" t="s">
        <v>331</v>
      </c>
      <c r="M12" s="12" t="s">
        <v>332</v>
      </c>
      <c r="S12" s="4" t="str">
        <f t="shared" si="0"/>
        <v>ENVNODE MAINBOARD REV 0.1|</v>
      </c>
    </row>
    <row r="13" spans="1:19" ht="32" x14ac:dyDescent="0.15">
      <c r="A13" s="7" t="s">
        <v>102</v>
      </c>
      <c r="B13" s="8" t="s">
        <v>263</v>
      </c>
      <c r="C13" s="9" t="s">
        <v>333</v>
      </c>
      <c r="D13" s="9" t="s">
        <v>334</v>
      </c>
      <c r="E13" s="9" t="s">
        <v>335</v>
      </c>
      <c r="F13" s="9" t="s">
        <v>251</v>
      </c>
      <c r="G13" s="10" t="s">
        <v>336</v>
      </c>
      <c r="H13" s="10" t="s">
        <v>337</v>
      </c>
      <c r="I13" s="10" t="s">
        <v>338</v>
      </c>
      <c r="J13" s="9" t="s">
        <v>254</v>
      </c>
      <c r="K13" s="11" t="s">
        <v>255</v>
      </c>
      <c r="L13" s="9"/>
      <c r="M13" s="12" t="s">
        <v>336</v>
      </c>
      <c r="S13" s="4" t="str">
        <f t="shared" si="0"/>
        <v>B2B-PH-K-S</v>
      </c>
    </row>
    <row r="14" spans="1:19" ht="48" x14ac:dyDescent="0.15">
      <c r="A14" s="7" t="s">
        <v>103</v>
      </c>
      <c r="B14" s="8" t="s">
        <v>339</v>
      </c>
      <c r="C14" s="9" t="s">
        <v>340</v>
      </c>
      <c r="D14" s="9" t="s">
        <v>341</v>
      </c>
      <c r="E14" s="9" t="s">
        <v>342</v>
      </c>
      <c r="F14" s="9" t="s">
        <v>343</v>
      </c>
      <c r="G14" s="10" t="s">
        <v>344</v>
      </c>
      <c r="H14" s="10" t="s">
        <v>345</v>
      </c>
      <c r="I14" s="10" t="s">
        <v>346</v>
      </c>
      <c r="J14" s="9" t="s">
        <v>254</v>
      </c>
      <c r="K14" s="11" t="s">
        <v>255</v>
      </c>
      <c r="L14" s="9"/>
      <c r="M14" s="12" t="s">
        <v>344</v>
      </c>
      <c r="S14" s="4" t="str">
        <f t="shared" si="0"/>
        <v>AO3400A</v>
      </c>
    </row>
    <row r="15" spans="1:19" ht="32" x14ac:dyDescent="0.15">
      <c r="A15" s="7" t="s">
        <v>104</v>
      </c>
      <c r="B15" s="8" t="s">
        <v>347</v>
      </c>
      <c r="C15" s="9" t="s">
        <v>348</v>
      </c>
      <c r="D15" s="9" t="s">
        <v>349</v>
      </c>
      <c r="E15" s="9"/>
      <c r="F15" s="9" t="s">
        <v>350</v>
      </c>
      <c r="G15" s="10">
        <v>333032</v>
      </c>
      <c r="H15" s="10" t="s">
        <v>351</v>
      </c>
      <c r="I15" s="10"/>
      <c r="J15" s="9" t="s">
        <v>254</v>
      </c>
      <c r="K15" s="11" t="s">
        <v>255</v>
      </c>
      <c r="L15" s="9"/>
      <c r="M15" s="12" t="s">
        <v>352</v>
      </c>
      <c r="S15" s="4" t="str">
        <f t="shared" si="0"/>
        <v>333032</v>
      </c>
    </row>
    <row r="16" spans="1:19" ht="32" x14ac:dyDescent="0.15">
      <c r="A16" s="7" t="s">
        <v>105</v>
      </c>
      <c r="B16" s="8" t="s">
        <v>318</v>
      </c>
      <c r="C16" s="9" t="s">
        <v>353</v>
      </c>
      <c r="D16" s="9" t="s">
        <v>354</v>
      </c>
      <c r="E16" s="9"/>
      <c r="F16" s="9" t="s">
        <v>350</v>
      </c>
      <c r="G16" s="10">
        <v>333095</v>
      </c>
      <c r="H16" s="10" t="s">
        <v>355</v>
      </c>
      <c r="I16" s="10"/>
      <c r="J16" s="9" t="s">
        <v>254</v>
      </c>
      <c r="K16" s="11" t="s">
        <v>255</v>
      </c>
      <c r="L16" s="9"/>
      <c r="M16" s="12" t="s">
        <v>356</v>
      </c>
      <c r="S16" s="4" t="str">
        <f t="shared" si="0"/>
        <v>333095</v>
      </c>
    </row>
    <row r="17" spans="1:19" ht="80" x14ac:dyDescent="0.15">
      <c r="A17" s="7" t="s">
        <v>107</v>
      </c>
      <c r="B17" s="8" t="s">
        <v>278</v>
      </c>
      <c r="C17" s="9" t="s">
        <v>357</v>
      </c>
      <c r="D17" s="9" t="s">
        <v>358</v>
      </c>
      <c r="E17" s="9" t="s">
        <v>281</v>
      </c>
      <c r="F17" s="9" t="s">
        <v>359</v>
      </c>
      <c r="G17" s="10" t="s">
        <v>360</v>
      </c>
      <c r="H17" s="10" t="s">
        <v>361</v>
      </c>
      <c r="I17" s="10" t="s">
        <v>362</v>
      </c>
      <c r="J17" s="9" t="s">
        <v>254</v>
      </c>
      <c r="K17" s="11" t="s">
        <v>255</v>
      </c>
      <c r="L17" s="9" t="s">
        <v>363</v>
      </c>
      <c r="M17" s="12" t="s">
        <v>360</v>
      </c>
      <c r="S17" s="4" t="str">
        <f t="shared" si="0"/>
        <v>ERA8AEB104V</v>
      </c>
    </row>
    <row r="18" spans="1:19" ht="64" x14ac:dyDescent="0.15">
      <c r="A18" s="7" t="s">
        <v>108</v>
      </c>
      <c r="B18" s="8" t="s">
        <v>278</v>
      </c>
      <c r="C18" s="9" t="s">
        <v>364</v>
      </c>
      <c r="D18" s="9" t="s">
        <v>365</v>
      </c>
      <c r="E18" s="9" t="s">
        <v>281</v>
      </c>
      <c r="F18" s="9" t="s">
        <v>366</v>
      </c>
      <c r="G18" s="10" t="s">
        <v>367</v>
      </c>
      <c r="H18" s="10" t="s">
        <v>368</v>
      </c>
      <c r="I18" s="10" t="s">
        <v>369</v>
      </c>
      <c r="J18" s="9" t="s">
        <v>254</v>
      </c>
      <c r="K18" s="11" t="s">
        <v>255</v>
      </c>
      <c r="L18" s="9"/>
      <c r="M18" s="12" t="s">
        <v>367</v>
      </c>
      <c r="S18" s="4" t="str">
        <f t="shared" si="0"/>
        <v>RC1206JR-07100RL</v>
      </c>
    </row>
    <row r="19" spans="1:19" ht="64" x14ac:dyDescent="0.15">
      <c r="A19" s="7" t="s">
        <v>109</v>
      </c>
      <c r="B19" s="8" t="s">
        <v>278</v>
      </c>
      <c r="C19" s="9" t="s">
        <v>370</v>
      </c>
      <c r="D19" s="9" t="s">
        <v>371</v>
      </c>
      <c r="E19" s="9" t="s">
        <v>281</v>
      </c>
      <c r="F19" s="9" t="s">
        <v>359</v>
      </c>
      <c r="G19" s="10" t="s">
        <v>372</v>
      </c>
      <c r="H19" s="10" t="s">
        <v>373</v>
      </c>
      <c r="I19" s="10" t="s">
        <v>374</v>
      </c>
      <c r="J19" s="9" t="s">
        <v>254</v>
      </c>
      <c r="K19" s="11" t="s">
        <v>255</v>
      </c>
      <c r="L19" s="9" t="s">
        <v>375</v>
      </c>
      <c r="M19" s="12" t="s">
        <v>372</v>
      </c>
      <c r="S19" s="4" t="str">
        <f t="shared" si="0"/>
        <v>ERA8AEB103V</v>
      </c>
    </row>
    <row r="20" spans="1:19" ht="32" x14ac:dyDescent="0.15">
      <c r="A20" s="7" t="s">
        <v>110</v>
      </c>
      <c r="B20" s="8" t="s">
        <v>263</v>
      </c>
      <c r="C20" s="9" t="s">
        <v>376</v>
      </c>
      <c r="D20" s="9" t="s">
        <v>377</v>
      </c>
      <c r="E20" s="9" t="s">
        <v>378</v>
      </c>
      <c r="F20" s="9" t="s">
        <v>379</v>
      </c>
      <c r="G20" s="10">
        <v>10120505</v>
      </c>
      <c r="H20" s="10" t="s">
        <v>380</v>
      </c>
      <c r="I20" s="10" t="s">
        <v>381</v>
      </c>
      <c r="J20" s="9" t="s">
        <v>254</v>
      </c>
      <c r="K20" s="11" t="s">
        <v>255</v>
      </c>
      <c r="L20" s="9"/>
      <c r="M20" s="12" t="s">
        <v>382</v>
      </c>
      <c r="S20" s="4" t="str">
        <f t="shared" si="0"/>
        <v>10120505</v>
      </c>
    </row>
    <row r="21" spans="1:19" ht="48" x14ac:dyDescent="0.15">
      <c r="A21" s="7" t="s">
        <v>111</v>
      </c>
      <c r="B21" s="8" t="s">
        <v>383</v>
      </c>
      <c r="C21" s="9" t="s">
        <v>384</v>
      </c>
      <c r="D21" s="9" t="s">
        <v>385</v>
      </c>
      <c r="E21" s="9" t="s">
        <v>386</v>
      </c>
      <c r="F21" s="9" t="s">
        <v>387</v>
      </c>
      <c r="G21" s="10" t="s">
        <v>388</v>
      </c>
      <c r="H21" s="10" t="s">
        <v>345</v>
      </c>
      <c r="I21" s="10" t="s">
        <v>389</v>
      </c>
      <c r="J21" s="9" t="s">
        <v>254</v>
      </c>
      <c r="K21" s="11" t="s">
        <v>255</v>
      </c>
      <c r="L21" s="9"/>
      <c r="M21" s="12" t="s">
        <v>388</v>
      </c>
      <c r="S21" s="4" t="str">
        <f t="shared" si="0"/>
        <v>ICM7555IBAZ</v>
      </c>
    </row>
    <row r="22" spans="1:19" ht="48" x14ac:dyDescent="0.15">
      <c r="A22" s="7" t="s">
        <v>112</v>
      </c>
      <c r="B22" s="8" t="s">
        <v>263</v>
      </c>
      <c r="C22" s="9" t="s">
        <v>390</v>
      </c>
      <c r="D22" s="9" t="s">
        <v>391</v>
      </c>
      <c r="E22" s="9"/>
      <c r="F22" s="9" t="s">
        <v>274</v>
      </c>
      <c r="G22" s="10" t="s">
        <v>392</v>
      </c>
      <c r="H22" s="10" t="s">
        <v>393</v>
      </c>
      <c r="I22" s="10" t="s">
        <v>394</v>
      </c>
      <c r="J22" s="9" t="s">
        <v>395</v>
      </c>
      <c r="K22" s="11" t="s">
        <v>255</v>
      </c>
      <c r="L22" s="9" t="s">
        <v>396</v>
      </c>
      <c r="M22" s="12" t="s">
        <v>392</v>
      </c>
      <c r="S22" s="4" t="str">
        <f t="shared" si="0"/>
        <v>BL 3 8 G</v>
      </c>
    </row>
    <row r="23" spans="1:19" ht="32" x14ac:dyDescent="0.2">
      <c r="A23" s="7" t="s">
        <v>113</v>
      </c>
      <c r="B23" s="8" t="s">
        <v>278</v>
      </c>
      <c r="C23" s="13" t="s">
        <v>397</v>
      </c>
      <c r="D23" s="9" t="s">
        <v>398</v>
      </c>
      <c r="E23" s="9" t="s">
        <v>281</v>
      </c>
      <c r="F23" s="9" t="s">
        <v>399</v>
      </c>
      <c r="G23" s="10" t="s">
        <v>400</v>
      </c>
      <c r="H23" s="10" t="s">
        <v>401</v>
      </c>
      <c r="I23" s="10"/>
      <c r="J23" s="9" t="s">
        <v>254</v>
      </c>
      <c r="K23" s="11" t="s">
        <v>255</v>
      </c>
      <c r="L23" s="9"/>
      <c r="M23" s="12" t="s">
        <v>400</v>
      </c>
      <c r="S23" s="4" t="str">
        <f t="shared" si="0"/>
        <v>RND 1551206S4J0470T5E</v>
      </c>
    </row>
    <row r="24" spans="1:19" ht="32" x14ac:dyDescent="0.15">
      <c r="A24" s="7" t="s">
        <v>114</v>
      </c>
      <c r="B24" s="8" t="s">
        <v>402</v>
      </c>
      <c r="C24" s="9" t="s">
        <v>403</v>
      </c>
      <c r="D24" s="9" t="s">
        <v>404</v>
      </c>
      <c r="E24" s="9" t="s">
        <v>405</v>
      </c>
      <c r="F24" s="9" t="s">
        <v>406</v>
      </c>
      <c r="G24" s="10" t="s">
        <v>407</v>
      </c>
      <c r="H24" s="10" t="s">
        <v>408</v>
      </c>
      <c r="I24" s="10" t="s">
        <v>409</v>
      </c>
      <c r="J24" s="9" t="s">
        <v>254</v>
      </c>
      <c r="K24" s="11" t="s">
        <v>255</v>
      </c>
      <c r="L24" s="9"/>
      <c r="M24" s="12" t="s">
        <v>407</v>
      </c>
      <c r="S24" s="4" t="str">
        <f t="shared" si="0"/>
        <v>34.51.7.005.0010</v>
      </c>
    </row>
    <row r="25" spans="1:19" ht="144" x14ac:dyDescent="0.15">
      <c r="A25" s="7" t="s">
        <v>115</v>
      </c>
      <c r="B25" s="8" t="s">
        <v>383</v>
      </c>
      <c r="C25" s="9" t="s">
        <v>410</v>
      </c>
      <c r="D25" s="9" t="s">
        <v>411</v>
      </c>
      <c r="E25" s="9" t="s">
        <v>412</v>
      </c>
      <c r="F25" s="9" t="s">
        <v>413</v>
      </c>
      <c r="G25" s="10" t="s">
        <v>414</v>
      </c>
      <c r="H25" s="10" t="s">
        <v>415</v>
      </c>
      <c r="I25" s="10" t="s">
        <v>416</v>
      </c>
      <c r="J25" s="9" t="s">
        <v>417</v>
      </c>
      <c r="K25" s="11" t="s">
        <v>255</v>
      </c>
      <c r="L25" s="9" t="s">
        <v>418</v>
      </c>
      <c r="M25" s="12" t="s">
        <v>414</v>
      </c>
      <c r="S25" s="4" t="str">
        <f t="shared" si="0"/>
        <v>24AA025E64T-I/OT</v>
      </c>
    </row>
    <row r="26" spans="1:19" ht="48" x14ac:dyDescent="0.15">
      <c r="A26" s="7" t="s">
        <v>116</v>
      </c>
      <c r="B26" s="8" t="s">
        <v>263</v>
      </c>
      <c r="C26" s="9" t="s">
        <v>419</v>
      </c>
      <c r="D26" s="9" t="s">
        <v>420</v>
      </c>
      <c r="E26" s="9" t="s">
        <v>421</v>
      </c>
      <c r="F26" s="9" t="s">
        <v>251</v>
      </c>
      <c r="G26" s="10" t="s">
        <v>422</v>
      </c>
      <c r="H26" s="10" t="s">
        <v>423</v>
      </c>
      <c r="I26" s="10" t="s">
        <v>424</v>
      </c>
      <c r="J26" s="9" t="s">
        <v>425</v>
      </c>
      <c r="K26" s="11" t="s">
        <v>255</v>
      </c>
      <c r="L26" s="9" t="s">
        <v>426</v>
      </c>
      <c r="M26" s="12" t="s">
        <v>422</v>
      </c>
      <c r="S26" s="4" t="str">
        <f t="shared" si="0"/>
        <v>B4B-PH-K-S</v>
      </c>
    </row>
    <row r="27" spans="1:19" ht="48" x14ac:dyDescent="0.15">
      <c r="A27" s="7" t="s">
        <v>117</v>
      </c>
      <c r="B27" s="8" t="s">
        <v>263</v>
      </c>
      <c r="C27" s="9" t="s">
        <v>427</v>
      </c>
      <c r="D27" s="9" t="s">
        <v>428</v>
      </c>
      <c r="E27" s="9" t="s">
        <v>429</v>
      </c>
      <c r="F27" s="9" t="s">
        <v>251</v>
      </c>
      <c r="G27" s="10" t="s">
        <v>430</v>
      </c>
      <c r="H27" s="10" t="s">
        <v>431</v>
      </c>
      <c r="I27" s="10" t="s">
        <v>432</v>
      </c>
      <c r="J27" s="9" t="s">
        <v>433</v>
      </c>
      <c r="K27" s="11" t="s">
        <v>255</v>
      </c>
      <c r="L27" s="9" t="s">
        <v>434</v>
      </c>
      <c r="M27" s="12" t="s">
        <v>430</v>
      </c>
      <c r="S27" s="4" t="str">
        <f t="shared" si="0"/>
        <v>SM04B-SRSS-TB</v>
      </c>
    </row>
    <row r="28" spans="1:19" ht="48" x14ac:dyDescent="0.15">
      <c r="A28" s="7" t="s">
        <v>118</v>
      </c>
      <c r="B28" s="8" t="s">
        <v>383</v>
      </c>
      <c r="C28" s="9" t="s">
        <v>435</v>
      </c>
      <c r="D28" s="9" t="s">
        <v>436</v>
      </c>
      <c r="E28" s="9" t="s">
        <v>437</v>
      </c>
      <c r="F28" s="9" t="s">
        <v>314</v>
      </c>
      <c r="G28" s="10" t="s">
        <v>436</v>
      </c>
      <c r="H28" s="10" t="s">
        <v>438</v>
      </c>
      <c r="I28" s="10" t="s">
        <v>439</v>
      </c>
      <c r="J28" s="9" t="s">
        <v>425</v>
      </c>
      <c r="K28" s="11" t="s">
        <v>255</v>
      </c>
      <c r="L28" s="9" t="s">
        <v>440</v>
      </c>
      <c r="M28" s="12" t="s">
        <v>436</v>
      </c>
      <c r="S28" s="4" t="str">
        <f t="shared" si="0"/>
        <v>ADS1115IDGS</v>
      </c>
    </row>
    <row r="29" spans="1:19" ht="32" x14ac:dyDescent="0.15">
      <c r="A29" s="7" t="s">
        <v>119</v>
      </c>
      <c r="B29" s="8" t="s">
        <v>287</v>
      </c>
      <c r="C29" s="9" t="s">
        <v>441</v>
      </c>
      <c r="D29" s="9" t="s">
        <v>442</v>
      </c>
      <c r="E29" s="9" t="s">
        <v>290</v>
      </c>
      <c r="F29" s="9" t="s">
        <v>443</v>
      </c>
      <c r="G29" s="10" t="s">
        <v>444</v>
      </c>
      <c r="H29" s="10" t="s">
        <v>445</v>
      </c>
      <c r="I29" s="10" t="s">
        <v>446</v>
      </c>
      <c r="J29" s="9" t="s">
        <v>425</v>
      </c>
      <c r="K29" s="11" t="s">
        <v>255</v>
      </c>
      <c r="L29" s="9"/>
      <c r="M29" s="12" t="s">
        <v>444</v>
      </c>
      <c r="S29" s="4" t="str">
        <f t="shared" si="0"/>
        <v>12065C105JAT2A</v>
      </c>
    </row>
    <row r="30" spans="1:19" ht="48" x14ac:dyDescent="0.15">
      <c r="A30" s="7" t="s">
        <v>120</v>
      </c>
      <c r="B30" s="8" t="s">
        <v>447</v>
      </c>
      <c r="C30" s="9" t="s">
        <v>448</v>
      </c>
      <c r="D30" s="9" t="s">
        <v>449</v>
      </c>
      <c r="E30" s="9" t="s">
        <v>342</v>
      </c>
      <c r="F30" s="9" t="s">
        <v>450</v>
      </c>
      <c r="G30" s="10" t="s">
        <v>449</v>
      </c>
      <c r="H30" s="10" t="s">
        <v>445</v>
      </c>
      <c r="I30" s="10" t="s">
        <v>451</v>
      </c>
      <c r="J30" s="9" t="s">
        <v>425</v>
      </c>
      <c r="K30" s="11" t="s">
        <v>255</v>
      </c>
      <c r="L30" s="9" t="s">
        <v>452</v>
      </c>
      <c r="M30" s="12" t="s">
        <v>449</v>
      </c>
      <c r="S30" s="4" t="str">
        <f t="shared" si="0"/>
        <v>BAT54S</v>
      </c>
    </row>
    <row r="31" spans="1:19" ht="48" x14ac:dyDescent="0.15">
      <c r="A31" s="7" t="s">
        <v>121</v>
      </c>
      <c r="B31" s="8" t="s">
        <v>263</v>
      </c>
      <c r="C31" s="9" t="s">
        <v>453</v>
      </c>
      <c r="D31" s="9" t="s">
        <v>454</v>
      </c>
      <c r="E31" s="9" t="s">
        <v>455</v>
      </c>
      <c r="F31" s="9"/>
      <c r="G31" s="10"/>
      <c r="H31" s="10" t="s">
        <v>456</v>
      </c>
      <c r="I31" s="10" t="s">
        <v>457</v>
      </c>
      <c r="J31" s="9" t="s">
        <v>425</v>
      </c>
      <c r="K31" s="11" t="s">
        <v>325</v>
      </c>
      <c r="L31" s="9" t="s">
        <v>458</v>
      </c>
      <c r="M31" s="12" t="s">
        <v>459</v>
      </c>
      <c r="S31" s="4" t="str">
        <f t="shared" si="0"/>
        <v>BUCHSENLEISTE 2X4, VERTIKAL|PINSOCKET_2X04_P2.54MM_VERTICAL / ENVNODE BOTTOM-VARIANTE</v>
      </c>
    </row>
    <row r="32" spans="1:19" ht="32" x14ac:dyDescent="0.15">
      <c r="A32" s="7" t="s">
        <v>122</v>
      </c>
      <c r="B32" s="8" t="s">
        <v>263</v>
      </c>
      <c r="C32" s="9" t="s">
        <v>460</v>
      </c>
      <c r="D32" s="9" t="s">
        <v>461</v>
      </c>
      <c r="E32" s="9" t="s">
        <v>462</v>
      </c>
      <c r="F32" s="9"/>
      <c r="G32" s="10"/>
      <c r="H32" s="10" t="s">
        <v>445</v>
      </c>
      <c r="I32" s="10" t="s">
        <v>463</v>
      </c>
      <c r="J32" s="9" t="s">
        <v>425</v>
      </c>
      <c r="K32" s="11" t="s">
        <v>464</v>
      </c>
      <c r="L32" s="9"/>
      <c r="M32" s="12" t="s">
        <v>465</v>
      </c>
      <c r="S32" s="4" t="str">
        <f t="shared" si="0"/>
        <v>BUCHSENLEISTE 1X2, VERTIKAL|CONNECTOR_PINSOCKET_2.54MM:PINSOCKET_1X02_P2.54MM_VERTICAL</v>
      </c>
    </row>
    <row r="33" spans="1:19" ht="32" x14ac:dyDescent="0.15">
      <c r="A33" s="7" t="s">
        <v>123</v>
      </c>
      <c r="B33" s="8" t="s">
        <v>278</v>
      </c>
      <c r="C33" s="9" t="s">
        <v>466</v>
      </c>
      <c r="D33" s="9" t="s">
        <v>467</v>
      </c>
      <c r="E33" s="9" t="s">
        <v>468</v>
      </c>
      <c r="F33" s="9" t="s">
        <v>469</v>
      </c>
      <c r="G33" s="10" t="s">
        <v>470</v>
      </c>
      <c r="H33" s="10" t="s">
        <v>445</v>
      </c>
      <c r="I33" s="10" t="s">
        <v>471</v>
      </c>
      <c r="J33" s="9" t="s">
        <v>472</v>
      </c>
      <c r="K33" s="11" t="s">
        <v>255</v>
      </c>
      <c r="L33" s="9" t="s">
        <v>473</v>
      </c>
      <c r="M33" s="12" t="s">
        <v>470</v>
      </c>
      <c r="S33" s="4" t="str">
        <f t="shared" si="0"/>
        <v>YR1B150RCC</v>
      </c>
    </row>
    <row r="34" spans="1:19" ht="32" x14ac:dyDescent="0.15">
      <c r="A34" s="7" t="s">
        <v>124</v>
      </c>
      <c r="B34" s="8" t="s">
        <v>447</v>
      </c>
      <c r="C34" s="9" t="s">
        <v>474</v>
      </c>
      <c r="D34" s="9" t="s">
        <v>475</v>
      </c>
      <c r="E34" s="9" t="s">
        <v>476</v>
      </c>
      <c r="F34" s="9" t="s">
        <v>450</v>
      </c>
      <c r="G34" s="10" t="s">
        <v>475</v>
      </c>
      <c r="H34" s="10" t="s">
        <v>408</v>
      </c>
      <c r="I34" s="10" t="s">
        <v>477</v>
      </c>
      <c r="J34" s="9" t="s">
        <v>425</v>
      </c>
      <c r="K34" s="11" t="s">
        <v>255</v>
      </c>
      <c r="L34" s="9"/>
      <c r="M34" s="12" t="s">
        <v>475</v>
      </c>
      <c r="S34" s="4" t="str">
        <f t="shared" ref="S34:S54" si="1">IF(G34&lt;&gt;"",UPPER(TRIM(G34)),UPPER(TRIM(C34&amp;"|"&amp;E34)))</f>
        <v>1N4148W</v>
      </c>
    </row>
    <row r="35" spans="1:19" ht="32" x14ac:dyDescent="0.15">
      <c r="A35" s="7" t="s">
        <v>125</v>
      </c>
      <c r="B35" s="8" t="s">
        <v>263</v>
      </c>
      <c r="C35" s="9" t="s">
        <v>478</v>
      </c>
      <c r="D35" s="9" t="s">
        <v>479</v>
      </c>
      <c r="E35" s="9" t="s">
        <v>480</v>
      </c>
      <c r="F35" s="9" t="s">
        <v>481</v>
      </c>
      <c r="G35" s="10" t="s">
        <v>482</v>
      </c>
      <c r="H35" s="10" t="s">
        <v>408</v>
      </c>
      <c r="I35" s="10" t="s">
        <v>483</v>
      </c>
      <c r="J35" s="9" t="s">
        <v>425</v>
      </c>
      <c r="K35" s="11" t="s">
        <v>255</v>
      </c>
      <c r="L35" s="9" t="s">
        <v>484</v>
      </c>
      <c r="M35" s="9" t="s">
        <v>485</v>
      </c>
      <c r="S35" s="4" t="str">
        <f t="shared" si="1"/>
        <v>31101103</v>
      </c>
    </row>
    <row r="36" spans="1:19" ht="32" x14ac:dyDescent="0.15">
      <c r="A36" s="7" t="s">
        <v>126</v>
      </c>
      <c r="B36" s="8" t="s">
        <v>486</v>
      </c>
      <c r="C36" s="9" t="s">
        <v>487</v>
      </c>
      <c r="D36" s="9" t="s">
        <v>488</v>
      </c>
      <c r="E36" s="9" t="s">
        <v>489</v>
      </c>
      <c r="F36" s="9" t="s">
        <v>450</v>
      </c>
      <c r="G36" s="10" t="s">
        <v>488</v>
      </c>
      <c r="H36" s="10" t="s">
        <v>408</v>
      </c>
      <c r="I36" s="10" t="s">
        <v>490</v>
      </c>
      <c r="J36" s="9" t="s">
        <v>425</v>
      </c>
      <c r="K36" s="11" t="s">
        <v>255</v>
      </c>
      <c r="L36" s="9"/>
      <c r="M36" s="12" t="s">
        <v>488</v>
      </c>
      <c r="S36" s="4" t="str">
        <f t="shared" si="1"/>
        <v>BC817</v>
      </c>
    </row>
    <row r="37" spans="1:19" ht="48" x14ac:dyDescent="0.15">
      <c r="A37" s="7" t="s">
        <v>127</v>
      </c>
      <c r="B37" s="8" t="s">
        <v>278</v>
      </c>
      <c r="C37" s="9" t="s">
        <v>491</v>
      </c>
      <c r="D37" s="9" t="s">
        <v>492</v>
      </c>
      <c r="E37" s="9" t="s">
        <v>281</v>
      </c>
      <c r="F37" s="9" t="s">
        <v>282</v>
      </c>
      <c r="G37" s="10" t="s">
        <v>493</v>
      </c>
      <c r="H37" s="10" t="s">
        <v>494</v>
      </c>
      <c r="I37" s="10" t="s">
        <v>495</v>
      </c>
      <c r="J37" s="9" t="s">
        <v>425</v>
      </c>
      <c r="K37" s="11" t="s">
        <v>255</v>
      </c>
      <c r="L37" s="9"/>
      <c r="M37" s="12" t="s">
        <v>493</v>
      </c>
      <c r="S37" s="4" t="str">
        <f t="shared" si="1"/>
        <v>CRCW12061K00FKEA</v>
      </c>
    </row>
    <row r="38" spans="1:19" ht="16" x14ac:dyDescent="0.15">
      <c r="A38" s="7" t="s">
        <v>128</v>
      </c>
      <c r="B38" s="8" t="s">
        <v>287</v>
      </c>
      <c r="C38" s="9" t="s">
        <v>496</v>
      </c>
      <c r="D38" s="9" t="s">
        <v>497</v>
      </c>
      <c r="E38" s="9" t="s">
        <v>498</v>
      </c>
      <c r="F38" s="9" t="s">
        <v>499</v>
      </c>
      <c r="G38" s="10" t="s">
        <v>500</v>
      </c>
      <c r="H38" s="10" t="s">
        <v>501</v>
      </c>
      <c r="I38" s="10" t="s">
        <v>502</v>
      </c>
      <c r="J38" s="14" t="s">
        <v>425</v>
      </c>
      <c r="K38" s="11" t="s">
        <v>255</v>
      </c>
      <c r="L38" s="9"/>
      <c r="M38" s="12" t="s">
        <v>500</v>
      </c>
      <c r="S38" s="4" t="str">
        <f t="shared" si="1"/>
        <v>HHXC500ARA470MHA0G</v>
      </c>
    </row>
    <row r="39" spans="1:19" ht="16" x14ac:dyDescent="0.15">
      <c r="A39" s="7" t="s">
        <v>129</v>
      </c>
      <c r="B39" s="8" t="s">
        <v>447</v>
      </c>
      <c r="C39" s="9" t="s">
        <v>503</v>
      </c>
      <c r="D39" s="9" t="s">
        <v>504</v>
      </c>
      <c r="E39" s="9" t="s">
        <v>505</v>
      </c>
      <c r="F39" s="9" t="s">
        <v>506</v>
      </c>
      <c r="G39" s="10" t="s">
        <v>507</v>
      </c>
      <c r="H39" s="10" t="s">
        <v>501</v>
      </c>
      <c r="I39" s="10" t="s">
        <v>508</v>
      </c>
      <c r="J39" s="9" t="s">
        <v>425</v>
      </c>
      <c r="K39" s="11" t="s">
        <v>255</v>
      </c>
      <c r="L39" s="9"/>
      <c r="M39" s="12" t="s">
        <v>507</v>
      </c>
      <c r="S39" s="4" t="str">
        <f t="shared" si="1"/>
        <v>STPS3L60S</v>
      </c>
    </row>
    <row r="40" spans="1:19" ht="16" x14ac:dyDescent="0.15">
      <c r="A40" s="7" t="s">
        <v>130</v>
      </c>
      <c r="B40" s="8" t="s">
        <v>509</v>
      </c>
      <c r="C40" s="9" t="s">
        <v>510</v>
      </c>
      <c r="D40" s="9" t="s">
        <v>511</v>
      </c>
      <c r="E40" s="9" t="s">
        <v>505</v>
      </c>
      <c r="F40" s="9" t="s">
        <v>512</v>
      </c>
      <c r="G40" s="10" t="s">
        <v>513</v>
      </c>
      <c r="H40" s="10" t="s">
        <v>501</v>
      </c>
      <c r="I40" s="10" t="s">
        <v>514</v>
      </c>
      <c r="J40" s="9" t="s">
        <v>425</v>
      </c>
      <c r="K40" s="11" t="s">
        <v>255</v>
      </c>
      <c r="L40" s="9"/>
      <c r="M40" s="12" t="s">
        <v>513</v>
      </c>
      <c r="S40" s="4" t="str">
        <f t="shared" si="1"/>
        <v>SMBJ24A</v>
      </c>
    </row>
    <row r="41" spans="1:19" ht="48" x14ac:dyDescent="0.15">
      <c r="A41" s="7" t="s">
        <v>131</v>
      </c>
      <c r="B41" s="8" t="s">
        <v>515</v>
      </c>
      <c r="C41" s="9" t="s">
        <v>516</v>
      </c>
      <c r="D41" s="9" t="s">
        <v>517</v>
      </c>
      <c r="E41" s="9" t="s">
        <v>518</v>
      </c>
      <c r="F41" s="9" t="s">
        <v>512</v>
      </c>
      <c r="G41" s="10"/>
      <c r="H41" s="10" t="s">
        <v>501</v>
      </c>
      <c r="I41" s="10" t="s">
        <v>519</v>
      </c>
      <c r="J41" s="9" t="s">
        <v>425</v>
      </c>
      <c r="K41" s="11" t="s">
        <v>464</v>
      </c>
      <c r="L41" s="9" t="s">
        <v>520</v>
      </c>
      <c r="M41" s="12" t="s">
        <v>521</v>
      </c>
      <c r="S41" s="4" t="str">
        <f t="shared" si="1"/>
        <v>SICHERUNG 2 A|FUSE:FUSE_LITTELFUSE-NANO2-451_453</v>
      </c>
    </row>
    <row r="42" spans="1:19" ht="32" x14ac:dyDescent="0.15">
      <c r="A42" s="7" t="s">
        <v>132</v>
      </c>
      <c r="B42" s="8" t="s">
        <v>263</v>
      </c>
      <c r="C42" s="9" t="s">
        <v>522</v>
      </c>
      <c r="D42" s="9" t="s">
        <v>523</v>
      </c>
      <c r="E42" s="9" t="s">
        <v>524</v>
      </c>
      <c r="F42" s="9" t="s">
        <v>525</v>
      </c>
      <c r="G42" s="10" t="s">
        <v>526</v>
      </c>
      <c r="H42" s="10" t="s">
        <v>501</v>
      </c>
      <c r="I42" s="10" t="s">
        <v>527</v>
      </c>
      <c r="J42" s="9" t="s">
        <v>425</v>
      </c>
      <c r="K42" s="11" t="s">
        <v>464</v>
      </c>
      <c r="L42" s="9"/>
      <c r="M42" s="12" t="s">
        <v>526</v>
      </c>
      <c r="S42" s="4" t="str">
        <f t="shared" si="1"/>
        <v>205-00001</v>
      </c>
    </row>
    <row r="43" spans="1:19" ht="32" x14ac:dyDescent="0.15">
      <c r="A43" s="7" t="s">
        <v>133</v>
      </c>
      <c r="B43" s="8" t="s">
        <v>528</v>
      </c>
      <c r="C43" s="9" t="s">
        <v>529</v>
      </c>
      <c r="D43" s="9" t="s">
        <v>530</v>
      </c>
      <c r="E43" s="9" t="s">
        <v>531</v>
      </c>
      <c r="F43" s="9" t="s">
        <v>532</v>
      </c>
      <c r="G43" s="10" t="s">
        <v>530</v>
      </c>
      <c r="H43" s="10" t="s">
        <v>501</v>
      </c>
      <c r="I43" s="10" t="s">
        <v>533</v>
      </c>
      <c r="J43" s="9" t="s">
        <v>425</v>
      </c>
      <c r="K43" s="11" t="s">
        <v>255</v>
      </c>
      <c r="L43" s="9"/>
      <c r="M43" s="12" t="s">
        <v>530</v>
      </c>
      <c r="S43" s="4" t="str">
        <f t="shared" si="1"/>
        <v>TSR 1-2450</v>
      </c>
    </row>
    <row r="44" spans="1:19" ht="32" x14ac:dyDescent="0.15">
      <c r="A44" s="7" t="s">
        <v>134</v>
      </c>
      <c r="B44" s="8" t="s">
        <v>528</v>
      </c>
      <c r="C44" s="9" t="s">
        <v>534</v>
      </c>
      <c r="D44" s="9" t="s">
        <v>535</v>
      </c>
      <c r="E44" s="9" t="s">
        <v>531</v>
      </c>
      <c r="F44" s="9" t="s">
        <v>532</v>
      </c>
      <c r="G44" s="10" t="s">
        <v>535</v>
      </c>
      <c r="H44" s="10" t="s">
        <v>501</v>
      </c>
      <c r="I44" s="10" t="s">
        <v>536</v>
      </c>
      <c r="J44" s="9" t="s">
        <v>425</v>
      </c>
      <c r="K44" s="11" t="s">
        <v>255</v>
      </c>
      <c r="L44" s="9" t="s">
        <v>537</v>
      </c>
      <c r="M44" s="12" t="s">
        <v>535</v>
      </c>
      <c r="S44" s="4" t="str">
        <f t="shared" si="1"/>
        <v>TSR 1-2433</v>
      </c>
    </row>
    <row r="45" spans="1:19" ht="32" x14ac:dyDescent="0.15">
      <c r="A45" s="7" t="s">
        <v>135</v>
      </c>
      <c r="B45" s="8" t="s">
        <v>287</v>
      </c>
      <c r="C45" s="9" t="s">
        <v>538</v>
      </c>
      <c r="D45" s="9" t="s">
        <v>539</v>
      </c>
      <c r="E45" s="9" t="s">
        <v>290</v>
      </c>
      <c r="F45" s="9" t="s">
        <v>443</v>
      </c>
      <c r="G45" s="10" t="s">
        <v>540</v>
      </c>
      <c r="H45" s="10" t="s">
        <v>541</v>
      </c>
      <c r="I45" s="10" t="s">
        <v>542</v>
      </c>
      <c r="J45" s="9" t="s">
        <v>425</v>
      </c>
      <c r="K45" s="11" t="s">
        <v>255</v>
      </c>
      <c r="L45" s="9"/>
      <c r="M45" s="12" t="s">
        <v>540</v>
      </c>
      <c r="S45" s="4" t="str">
        <f t="shared" si="1"/>
        <v>12061C103JAT2A</v>
      </c>
    </row>
    <row r="46" spans="1:19" ht="32" x14ac:dyDescent="0.15">
      <c r="A46" s="7" t="s">
        <v>136</v>
      </c>
      <c r="B46" s="8" t="s">
        <v>278</v>
      </c>
      <c r="C46" s="9" t="s">
        <v>543</v>
      </c>
      <c r="D46" s="9" t="s">
        <v>544</v>
      </c>
      <c r="E46" s="9" t="s">
        <v>468</v>
      </c>
      <c r="F46" s="9" t="s">
        <v>545</v>
      </c>
      <c r="G46" s="10" t="s">
        <v>546</v>
      </c>
      <c r="H46" s="10" t="s">
        <v>547</v>
      </c>
      <c r="I46" s="10" t="s">
        <v>548</v>
      </c>
      <c r="J46" s="9" t="s">
        <v>425</v>
      </c>
      <c r="K46" s="11" t="s">
        <v>255</v>
      </c>
      <c r="L46" s="9" t="s">
        <v>549</v>
      </c>
      <c r="M46" s="12" t="s">
        <v>546</v>
      </c>
      <c r="S46" s="4" t="str">
        <f t="shared" si="1"/>
        <v>MF0207FTE52-2R</v>
      </c>
    </row>
    <row r="47" spans="1:19" ht="48" x14ac:dyDescent="0.15">
      <c r="A47" s="7" t="s">
        <v>137</v>
      </c>
      <c r="B47" s="8" t="s">
        <v>550</v>
      </c>
      <c r="C47" s="9" t="s">
        <v>551</v>
      </c>
      <c r="D47" s="9" t="s">
        <v>552</v>
      </c>
      <c r="E47" s="9" t="s">
        <v>553</v>
      </c>
      <c r="F47" s="9" t="s">
        <v>554</v>
      </c>
      <c r="G47" s="10" t="s">
        <v>552</v>
      </c>
      <c r="H47" s="10" t="s">
        <v>547</v>
      </c>
      <c r="I47" s="10" t="s">
        <v>555</v>
      </c>
      <c r="J47" s="9" t="s">
        <v>556</v>
      </c>
      <c r="K47" s="11" t="s">
        <v>255</v>
      </c>
      <c r="L47" s="9" t="s">
        <v>557</v>
      </c>
      <c r="M47" s="12" t="s">
        <v>552</v>
      </c>
      <c r="S47" s="4" t="str">
        <f t="shared" si="1"/>
        <v>KXOB25-14X1TF-TR</v>
      </c>
    </row>
    <row r="48" spans="1:19" ht="32" x14ac:dyDescent="0.15">
      <c r="A48" s="7" t="s">
        <v>138</v>
      </c>
      <c r="B48" s="8" t="s">
        <v>558</v>
      </c>
      <c r="C48" s="9" t="s">
        <v>559</v>
      </c>
      <c r="D48" s="9" t="s">
        <v>560</v>
      </c>
      <c r="E48" s="9" t="s">
        <v>412</v>
      </c>
      <c r="F48" s="9" t="s">
        <v>314</v>
      </c>
      <c r="G48" s="10" t="s">
        <v>561</v>
      </c>
      <c r="H48" s="10" t="s">
        <v>547</v>
      </c>
      <c r="I48" s="10" t="s">
        <v>562</v>
      </c>
      <c r="J48" s="9" t="s">
        <v>425</v>
      </c>
      <c r="K48" s="11" t="s">
        <v>255</v>
      </c>
      <c r="L48" s="9" t="s">
        <v>563</v>
      </c>
      <c r="M48" s="12" t="s">
        <v>561</v>
      </c>
      <c r="S48" s="4" t="str">
        <f t="shared" si="1"/>
        <v>TMP100NA/3K</v>
      </c>
    </row>
    <row r="49" spans="1:19" ht="32" x14ac:dyDescent="0.15">
      <c r="A49" s="7" t="s">
        <v>139</v>
      </c>
      <c r="B49" s="8" t="s">
        <v>328</v>
      </c>
      <c r="C49" s="9" t="s">
        <v>564</v>
      </c>
      <c r="D49" s="9" t="s">
        <v>565</v>
      </c>
      <c r="E49" s="9" t="s">
        <v>566</v>
      </c>
      <c r="F49" s="9" t="s">
        <v>226</v>
      </c>
      <c r="G49" s="10"/>
      <c r="H49" s="10" t="s">
        <v>252</v>
      </c>
      <c r="I49" s="10"/>
      <c r="J49" s="9" t="s">
        <v>425</v>
      </c>
      <c r="K49" s="11" t="s">
        <v>464</v>
      </c>
      <c r="L49" s="9" t="s">
        <v>567</v>
      </c>
      <c r="M49" s="12" t="s">
        <v>568</v>
      </c>
      <c r="S49" s="4" t="str">
        <f t="shared" si="1"/>
        <v>ENVNODE MAINBOARD PCB|PCB: ENVNODE.KICAD_PCB</v>
      </c>
    </row>
    <row r="50" spans="1:19" ht="32" x14ac:dyDescent="0.15">
      <c r="A50" s="7" t="s">
        <v>140</v>
      </c>
      <c r="B50" s="8" t="s">
        <v>328</v>
      </c>
      <c r="C50" s="9" t="s">
        <v>569</v>
      </c>
      <c r="D50" s="9" t="s">
        <v>330</v>
      </c>
      <c r="E50" s="9" t="s">
        <v>570</v>
      </c>
      <c r="F50" s="9" t="s">
        <v>226</v>
      </c>
      <c r="G50" s="10"/>
      <c r="H50" s="10" t="s">
        <v>501</v>
      </c>
      <c r="I50" s="10"/>
      <c r="J50" s="9" t="s">
        <v>425</v>
      </c>
      <c r="K50" s="11" t="s">
        <v>464</v>
      </c>
      <c r="L50" s="9" t="s">
        <v>571</v>
      </c>
      <c r="M50" s="12" t="s">
        <v>572</v>
      </c>
      <c r="S50" s="4" t="str">
        <f t="shared" si="1"/>
        <v>ENVNODE MINI PCB|PCB: ENVNODEMINI.KICAD_PCB</v>
      </c>
    </row>
    <row r="51" spans="1:19" ht="16" x14ac:dyDescent="0.15">
      <c r="A51" s="7" t="s">
        <v>141</v>
      </c>
      <c r="B51" s="8" t="s">
        <v>328</v>
      </c>
      <c r="C51" s="9" t="s">
        <v>573</v>
      </c>
      <c r="D51" s="9" t="s">
        <v>330</v>
      </c>
      <c r="E51" s="9" t="s">
        <v>574</v>
      </c>
      <c r="F51" s="9" t="s">
        <v>226</v>
      </c>
      <c r="G51" s="10"/>
      <c r="H51" s="10" t="s">
        <v>575</v>
      </c>
      <c r="I51" s="10"/>
      <c r="J51" s="9" t="s">
        <v>425</v>
      </c>
      <c r="K51" s="11" t="s">
        <v>464</v>
      </c>
      <c r="L51" s="9" t="s">
        <v>576</v>
      </c>
      <c r="M51" s="12" t="s">
        <v>577</v>
      </c>
      <c r="S51" s="4" t="str">
        <f t="shared" si="1"/>
        <v>ANALOGINPUT HALFSIZE PCB|PCB: ANALOGINPUT.KICAD_PCB</v>
      </c>
    </row>
    <row r="52" spans="1:19" ht="32" x14ac:dyDescent="0.15">
      <c r="A52" s="7" t="s">
        <v>142</v>
      </c>
      <c r="B52" s="8" t="s">
        <v>328</v>
      </c>
      <c r="C52" s="9" t="s">
        <v>578</v>
      </c>
      <c r="D52" s="9" t="s">
        <v>330</v>
      </c>
      <c r="E52" s="9" t="s">
        <v>579</v>
      </c>
      <c r="F52" s="9" t="s">
        <v>226</v>
      </c>
      <c r="G52" s="10"/>
      <c r="H52" s="10" t="s">
        <v>580</v>
      </c>
      <c r="I52" s="10"/>
      <c r="J52" s="9" t="s">
        <v>425</v>
      </c>
      <c r="K52" s="11" t="s">
        <v>464</v>
      </c>
      <c r="L52" s="9" t="s">
        <v>581</v>
      </c>
      <c r="M52" s="12" t="s">
        <v>582</v>
      </c>
      <c r="S52" s="4" t="str">
        <f t="shared" si="1"/>
        <v>DUORELAY FULLSIZE PCB REV 0.1|PCB: DUORELAY.KICAD_PCB</v>
      </c>
    </row>
    <row r="53" spans="1:19" ht="32" x14ac:dyDescent="0.15">
      <c r="A53" s="7" t="s">
        <v>143</v>
      </c>
      <c r="B53" s="8" t="s">
        <v>328</v>
      </c>
      <c r="C53" s="9" t="s">
        <v>583</v>
      </c>
      <c r="D53" s="9" t="s">
        <v>330</v>
      </c>
      <c r="E53" s="9" t="s">
        <v>584</v>
      </c>
      <c r="F53" s="9" t="s">
        <v>226</v>
      </c>
      <c r="G53" s="10"/>
      <c r="H53" s="10" t="s">
        <v>547</v>
      </c>
      <c r="I53" s="10" t="s">
        <v>585</v>
      </c>
      <c r="J53" s="9" t="s">
        <v>425</v>
      </c>
      <c r="K53" s="11" t="s">
        <v>255</v>
      </c>
      <c r="L53" s="9" t="s">
        <v>586</v>
      </c>
      <c r="M53" s="12" t="s">
        <v>587</v>
      </c>
      <c r="S53" s="4" t="str">
        <f t="shared" si="1"/>
        <v>SOLARRADIATION PCB|PCB: SENSORS/SOLARRADIATION/SOLARRADIATION.KICAD_PCB</v>
      </c>
    </row>
    <row r="54" spans="1:19" ht="16" x14ac:dyDescent="0.15">
      <c r="A54" s="15" t="s">
        <v>144</v>
      </c>
      <c r="B54" s="16" t="s">
        <v>328</v>
      </c>
      <c r="C54" s="17" t="s">
        <v>588</v>
      </c>
      <c r="D54" s="17" t="s">
        <v>589</v>
      </c>
      <c r="E54" s="17" t="s">
        <v>590</v>
      </c>
      <c r="F54" s="17" t="s">
        <v>226</v>
      </c>
      <c r="G54" s="18"/>
      <c r="H54" s="18" t="s">
        <v>380</v>
      </c>
      <c r="I54" s="18"/>
      <c r="J54" s="17" t="s">
        <v>425</v>
      </c>
      <c r="K54" s="19" t="s">
        <v>255</v>
      </c>
      <c r="L54" s="17" t="s">
        <v>576</v>
      </c>
      <c r="M54" s="20" t="s">
        <v>591</v>
      </c>
      <c r="S54" s="4" t="str">
        <f t="shared" si="1"/>
        <v>RAINDETECTOR PCB|PCB: RAINDETECTOR.KICAD_PCB</v>
      </c>
    </row>
    <row r="55" spans="1:19" ht="64" x14ac:dyDescent="0.2">
      <c r="A55" s="21" t="s">
        <v>145</v>
      </c>
      <c r="B55" s="21" t="s">
        <v>263</v>
      </c>
      <c r="C55" s="22" t="s">
        <v>592</v>
      </c>
      <c r="D55" s="22" t="s">
        <v>593</v>
      </c>
      <c r="E55" s="22" t="s">
        <v>594</v>
      </c>
      <c r="F55" s="21" t="s">
        <v>595</v>
      </c>
      <c r="G55" s="21" t="s">
        <v>596</v>
      </c>
      <c r="H55" s="22" t="s">
        <v>597</v>
      </c>
      <c r="I55" s="22" t="s">
        <v>598</v>
      </c>
      <c r="J55" s="22" t="s">
        <v>599</v>
      </c>
      <c r="K55" s="23" t="s">
        <v>255</v>
      </c>
      <c r="L55" s="22" t="s">
        <v>600</v>
      </c>
      <c r="M55" s="24" t="s">
        <v>596</v>
      </c>
    </row>
    <row r="56" spans="1:19" ht="80" x14ac:dyDescent="0.2">
      <c r="A56" s="21" t="s">
        <v>146</v>
      </c>
      <c r="B56" s="21" t="s">
        <v>447</v>
      </c>
      <c r="C56" s="22" t="s">
        <v>601</v>
      </c>
      <c r="D56" s="22" t="s">
        <v>602</v>
      </c>
      <c r="E56" s="22" t="s">
        <v>603</v>
      </c>
      <c r="F56" s="21" t="s">
        <v>282</v>
      </c>
      <c r="G56" s="21" t="s">
        <v>604</v>
      </c>
      <c r="H56" s="22" t="s">
        <v>605</v>
      </c>
      <c r="I56" s="22" t="s">
        <v>606</v>
      </c>
      <c r="J56" s="22" t="s">
        <v>607</v>
      </c>
      <c r="K56" s="22" t="s">
        <v>255</v>
      </c>
      <c r="L56" s="22" t="s">
        <v>608</v>
      </c>
      <c r="M56" s="24" t="s">
        <v>604</v>
      </c>
    </row>
    <row r="57" spans="1:19" ht="64" x14ac:dyDescent="0.2">
      <c r="A57" s="21" t="s">
        <v>147</v>
      </c>
      <c r="B57" s="21" t="s">
        <v>287</v>
      </c>
      <c r="C57" s="22" t="s">
        <v>609</v>
      </c>
      <c r="D57" s="22" t="s">
        <v>610</v>
      </c>
      <c r="E57" s="22" t="s">
        <v>611</v>
      </c>
      <c r="F57" s="21" t="s">
        <v>359</v>
      </c>
      <c r="G57" s="21" t="s">
        <v>612</v>
      </c>
      <c r="H57" s="22" t="s">
        <v>605</v>
      </c>
      <c r="I57" s="22" t="s">
        <v>613</v>
      </c>
      <c r="J57" s="22" t="s">
        <v>614</v>
      </c>
      <c r="K57" s="22" t="s">
        <v>255</v>
      </c>
      <c r="L57" s="22" t="s">
        <v>615</v>
      </c>
      <c r="M57" s="24" t="s">
        <v>612</v>
      </c>
    </row>
    <row r="58" spans="1:19" ht="32" x14ac:dyDescent="0.2">
      <c r="A58" s="21" t="s">
        <v>148</v>
      </c>
      <c r="B58" s="21" t="s">
        <v>328</v>
      </c>
      <c r="C58" s="22" t="s">
        <v>616</v>
      </c>
      <c r="D58" s="22" t="s">
        <v>565</v>
      </c>
      <c r="E58" s="22" t="s">
        <v>617</v>
      </c>
      <c r="F58" s="9" t="s">
        <v>226</v>
      </c>
      <c r="G58" s="24"/>
      <c r="H58" s="22" t="s">
        <v>618</v>
      </c>
      <c r="I58" s="25"/>
      <c r="J58" s="25" t="s">
        <v>425</v>
      </c>
      <c r="K58" s="25" t="s">
        <v>255</v>
      </c>
      <c r="L58" s="22" t="s">
        <v>567</v>
      </c>
      <c r="M58" s="21" t="s">
        <v>619</v>
      </c>
    </row>
    <row r="59" spans="1:19" ht="64" x14ac:dyDescent="0.2">
      <c r="A59" s="21" t="s">
        <v>149</v>
      </c>
      <c r="B59" s="21" t="s">
        <v>263</v>
      </c>
      <c r="C59" s="22" t="s">
        <v>620</v>
      </c>
      <c r="D59" s="22" t="s">
        <v>621</v>
      </c>
      <c r="E59" s="22" t="s">
        <v>622</v>
      </c>
      <c r="F59" s="21" t="s">
        <v>623</v>
      </c>
      <c r="G59" s="21" t="s">
        <v>624</v>
      </c>
      <c r="H59" s="22" t="s">
        <v>625</v>
      </c>
      <c r="I59" s="22" t="s">
        <v>626</v>
      </c>
      <c r="J59" s="22" t="s">
        <v>627</v>
      </c>
      <c r="K59" s="23" t="s">
        <v>255</v>
      </c>
      <c r="L59" s="22" t="s">
        <v>628</v>
      </c>
      <c r="M59" s="24" t="s">
        <v>624</v>
      </c>
    </row>
    <row r="60" spans="1:19" ht="112" x14ac:dyDescent="0.2">
      <c r="A60" s="21" t="s">
        <v>150</v>
      </c>
      <c r="B60" s="21" t="s">
        <v>263</v>
      </c>
      <c r="C60" s="22" t="s">
        <v>629</v>
      </c>
      <c r="D60" s="22" t="s">
        <v>630</v>
      </c>
      <c r="E60" s="22" t="s">
        <v>631</v>
      </c>
      <c r="F60" s="21" t="s">
        <v>632</v>
      </c>
      <c r="G60" s="21" t="s">
        <v>633</v>
      </c>
      <c r="H60" s="22" t="s">
        <v>634</v>
      </c>
      <c r="I60" s="22" t="s">
        <v>635</v>
      </c>
      <c r="J60" s="22" t="s">
        <v>636</v>
      </c>
      <c r="K60" s="23" t="s">
        <v>255</v>
      </c>
      <c r="L60" s="22" t="s">
        <v>637</v>
      </c>
      <c r="M60" s="24" t="s">
        <v>638</v>
      </c>
    </row>
    <row r="61" spans="1:19" ht="32" x14ac:dyDescent="0.2">
      <c r="A61" s="21" t="s">
        <v>151</v>
      </c>
      <c r="B61" s="21" t="s">
        <v>328</v>
      </c>
      <c r="C61" s="22" t="s">
        <v>639</v>
      </c>
      <c r="D61" s="22" t="s">
        <v>640</v>
      </c>
      <c r="E61" s="22" t="s">
        <v>641</v>
      </c>
      <c r="F61" s="24" t="s">
        <v>226</v>
      </c>
      <c r="G61" s="24"/>
      <c r="H61" s="25" t="s">
        <v>642</v>
      </c>
      <c r="I61" s="25"/>
      <c r="J61" s="25" t="s">
        <v>425</v>
      </c>
      <c r="K61" s="23" t="s">
        <v>255</v>
      </c>
      <c r="L61" s="22" t="s">
        <v>643</v>
      </c>
      <c r="M61" s="24" t="s">
        <v>644</v>
      </c>
    </row>
    <row r="62" spans="1:19" ht="32" x14ac:dyDescent="0.2">
      <c r="A62" s="21" t="s">
        <v>152</v>
      </c>
      <c r="B62" s="21" t="s">
        <v>328</v>
      </c>
      <c r="C62" s="22" t="s">
        <v>645</v>
      </c>
      <c r="D62" s="22" t="s">
        <v>640</v>
      </c>
      <c r="E62" s="22" t="s">
        <v>646</v>
      </c>
      <c r="F62" s="24" t="s">
        <v>226</v>
      </c>
      <c r="G62" s="24"/>
      <c r="H62" s="25" t="s">
        <v>647</v>
      </c>
      <c r="I62" s="25"/>
      <c r="J62" s="25" t="s">
        <v>425</v>
      </c>
      <c r="K62" s="23" t="s">
        <v>255</v>
      </c>
      <c r="L62" s="22" t="s">
        <v>643</v>
      </c>
      <c r="M62" s="24" t="s">
        <v>648</v>
      </c>
    </row>
    <row r="63" spans="1:19" ht="32" x14ac:dyDescent="0.2">
      <c r="A63" s="21" t="s">
        <v>153</v>
      </c>
      <c r="B63" s="21" t="s">
        <v>328</v>
      </c>
      <c r="C63" s="22" t="s">
        <v>649</v>
      </c>
      <c r="D63" s="22" t="s">
        <v>640</v>
      </c>
      <c r="E63" s="22" t="s">
        <v>650</v>
      </c>
      <c r="F63" s="24" t="s">
        <v>226</v>
      </c>
      <c r="G63" s="24"/>
      <c r="H63" s="25" t="s">
        <v>651</v>
      </c>
      <c r="I63" s="25"/>
      <c r="J63" s="25" t="s">
        <v>425</v>
      </c>
      <c r="K63" s="23" t="s">
        <v>255</v>
      </c>
      <c r="L63" s="22" t="s">
        <v>643</v>
      </c>
      <c r="M63" s="24" t="s">
        <v>652</v>
      </c>
    </row>
    <row r="64" spans="1:19" ht="32" x14ac:dyDescent="0.2">
      <c r="A64" s="21" t="s">
        <v>154</v>
      </c>
      <c r="B64" s="21" t="s">
        <v>328</v>
      </c>
      <c r="C64" s="22" t="s">
        <v>653</v>
      </c>
      <c r="D64" s="22" t="s">
        <v>640</v>
      </c>
      <c r="E64" s="22" t="s">
        <v>654</v>
      </c>
      <c r="F64" s="24" t="s">
        <v>226</v>
      </c>
      <c r="G64" s="24"/>
      <c r="H64" s="25" t="s">
        <v>655</v>
      </c>
      <c r="I64" s="25"/>
      <c r="J64" s="25" t="s">
        <v>425</v>
      </c>
      <c r="K64" s="23" t="s">
        <v>255</v>
      </c>
      <c r="L64" s="22" t="s">
        <v>643</v>
      </c>
      <c r="M64" s="24" t="s">
        <v>656</v>
      </c>
    </row>
    <row r="65" spans="1:13" ht="64" x14ac:dyDescent="0.2">
      <c r="A65" s="21" t="s">
        <v>155</v>
      </c>
      <c r="B65" s="21" t="s">
        <v>657</v>
      </c>
      <c r="C65" s="22" t="s">
        <v>658</v>
      </c>
      <c r="D65" s="22" t="s">
        <v>659</v>
      </c>
      <c r="E65" s="22" t="s">
        <v>660</v>
      </c>
      <c r="F65" s="21" t="s">
        <v>661</v>
      </c>
      <c r="G65" s="21" t="s">
        <v>662</v>
      </c>
      <c r="H65" s="22" t="s">
        <v>663</v>
      </c>
      <c r="I65" s="22" t="s">
        <v>664</v>
      </c>
      <c r="J65" s="22" t="s">
        <v>665</v>
      </c>
      <c r="K65" s="23" t="s">
        <v>255</v>
      </c>
      <c r="L65" s="22" t="s">
        <v>666</v>
      </c>
      <c r="M65" s="24" t="s">
        <v>662</v>
      </c>
    </row>
    <row r="66" spans="1:13" ht="32" x14ac:dyDescent="0.2">
      <c r="A66" s="21" t="s">
        <v>156</v>
      </c>
      <c r="B66" s="21" t="s">
        <v>278</v>
      </c>
      <c r="C66" s="22" t="s">
        <v>667</v>
      </c>
      <c r="D66" s="22" t="s">
        <v>668</v>
      </c>
      <c r="E66" s="22" t="s">
        <v>281</v>
      </c>
      <c r="F66" s="21" t="s">
        <v>282</v>
      </c>
      <c r="G66" s="21" t="s">
        <v>669</v>
      </c>
      <c r="H66" s="22" t="s">
        <v>663</v>
      </c>
      <c r="I66" s="22" t="s">
        <v>670</v>
      </c>
      <c r="J66" s="22" t="s">
        <v>671</v>
      </c>
      <c r="K66" s="23" t="s">
        <v>255</v>
      </c>
      <c r="L66" s="22" t="s">
        <v>672</v>
      </c>
      <c r="M66" s="24" t="s">
        <v>673</v>
      </c>
    </row>
    <row r="67" spans="1:13" ht="32" x14ac:dyDescent="0.2">
      <c r="A67" s="21" t="s">
        <v>157</v>
      </c>
      <c r="B67" s="21" t="s">
        <v>328</v>
      </c>
      <c r="C67" s="22" t="s">
        <v>674</v>
      </c>
      <c r="D67" s="22" t="s">
        <v>565</v>
      </c>
      <c r="E67" s="22" t="s">
        <v>675</v>
      </c>
      <c r="F67" s="9" t="s">
        <v>226</v>
      </c>
      <c r="G67" s="24"/>
      <c r="H67" s="22" t="s">
        <v>676</v>
      </c>
      <c r="I67" s="25"/>
      <c r="J67" s="25" t="s">
        <v>425</v>
      </c>
      <c r="K67" s="23" t="s">
        <v>255</v>
      </c>
      <c r="L67" s="22" t="s">
        <v>567</v>
      </c>
      <c r="M67" s="21" t="s">
        <v>677</v>
      </c>
    </row>
    <row r="68" spans="1:13" ht="48" x14ac:dyDescent="0.2">
      <c r="A68" s="21" t="s">
        <v>158</v>
      </c>
      <c r="B68" s="21" t="s">
        <v>287</v>
      </c>
      <c r="C68" s="22" t="s">
        <v>678</v>
      </c>
      <c r="D68" s="22" t="s">
        <v>679</v>
      </c>
      <c r="E68" s="22" t="s">
        <v>290</v>
      </c>
      <c r="F68" s="21" t="s">
        <v>680</v>
      </c>
      <c r="G68" s="21" t="s">
        <v>681</v>
      </c>
      <c r="H68" s="22" t="s">
        <v>682</v>
      </c>
      <c r="I68" s="22" t="s">
        <v>683</v>
      </c>
      <c r="J68" s="22" t="s">
        <v>671</v>
      </c>
      <c r="K68" s="23" t="s">
        <v>255</v>
      </c>
      <c r="L68" s="22" t="s">
        <v>684</v>
      </c>
      <c r="M68" s="24" t="s">
        <v>685</v>
      </c>
    </row>
    <row r="69" spans="1:13" ht="48" x14ac:dyDescent="0.2">
      <c r="A69" s="21" t="s">
        <v>159</v>
      </c>
      <c r="B69" s="21" t="s">
        <v>287</v>
      </c>
      <c r="C69" s="22" t="s">
        <v>678</v>
      </c>
      <c r="D69" s="22" t="s">
        <v>686</v>
      </c>
      <c r="E69" s="22" t="s">
        <v>687</v>
      </c>
      <c r="F69" s="21" t="s">
        <v>680</v>
      </c>
      <c r="G69" s="21" t="s">
        <v>688</v>
      </c>
      <c r="H69" s="22" t="s">
        <v>682</v>
      </c>
      <c r="I69" s="22" t="s">
        <v>689</v>
      </c>
      <c r="J69" s="22" t="s">
        <v>671</v>
      </c>
      <c r="K69" s="23" t="s">
        <v>255</v>
      </c>
      <c r="L69" s="22" t="s">
        <v>690</v>
      </c>
      <c r="M69" s="24" t="s">
        <v>691</v>
      </c>
    </row>
    <row r="70" spans="1:13" ht="64" x14ac:dyDescent="0.2">
      <c r="A70" s="21" t="s">
        <v>160</v>
      </c>
      <c r="B70" s="21" t="s">
        <v>447</v>
      </c>
      <c r="C70" s="22" t="s">
        <v>692</v>
      </c>
      <c r="D70" s="22" t="s">
        <v>693</v>
      </c>
      <c r="E70" s="22" t="s">
        <v>694</v>
      </c>
      <c r="F70" s="24"/>
      <c r="G70" s="24"/>
      <c r="H70" s="25" t="s">
        <v>695</v>
      </c>
      <c r="I70" s="25" t="s">
        <v>696</v>
      </c>
      <c r="J70" s="25" t="s">
        <v>425</v>
      </c>
      <c r="K70" s="23" t="s">
        <v>464</v>
      </c>
      <c r="L70" s="22" t="s">
        <v>697</v>
      </c>
      <c r="M70" s="24" t="s">
        <v>698</v>
      </c>
    </row>
    <row r="71" spans="1:13" ht="48" x14ac:dyDescent="0.2">
      <c r="A71" s="21" t="s">
        <v>161</v>
      </c>
      <c r="B71" s="21" t="s">
        <v>699</v>
      </c>
      <c r="C71" s="22" t="s">
        <v>700</v>
      </c>
      <c r="D71" s="22" t="s">
        <v>701</v>
      </c>
      <c r="E71" s="22" t="s">
        <v>702</v>
      </c>
      <c r="F71" s="21" t="s">
        <v>623</v>
      </c>
      <c r="G71" s="21" t="s">
        <v>703</v>
      </c>
      <c r="H71" s="22" t="s">
        <v>682</v>
      </c>
      <c r="I71" s="22" t="s">
        <v>704</v>
      </c>
      <c r="J71" s="22" t="s">
        <v>705</v>
      </c>
      <c r="K71" s="23" t="s">
        <v>255</v>
      </c>
      <c r="L71" s="22" t="s">
        <v>706</v>
      </c>
      <c r="M71" s="24" t="s">
        <v>707</v>
      </c>
    </row>
    <row r="72" spans="1:13" ht="32" x14ac:dyDescent="0.2">
      <c r="A72" s="21" t="s">
        <v>162</v>
      </c>
      <c r="B72" s="21" t="s">
        <v>278</v>
      </c>
      <c r="C72" s="22" t="s">
        <v>708</v>
      </c>
      <c r="D72" s="22" t="s">
        <v>709</v>
      </c>
      <c r="E72" s="22" t="s">
        <v>281</v>
      </c>
      <c r="F72" s="21" t="s">
        <v>282</v>
      </c>
      <c r="G72" s="21" t="s">
        <v>710</v>
      </c>
      <c r="H72" s="22" t="s">
        <v>682</v>
      </c>
      <c r="I72" s="22" t="s">
        <v>711</v>
      </c>
      <c r="J72" s="22" t="s">
        <v>671</v>
      </c>
      <c r="K72" s="23" t="s">
        <v>255</v>
      </c>
      <c r="L72" s="22" t="s">
        <v>712</v>
      </c>
      <c r="M72" s="24" t="s">
        <v>713</v>
      </c>
    </row>
    <row r="73" spans="1:13" ht="48" x14ac:dyDescent="0.2">
      <c r="A73" s="21" t="s">
        <v>163</v>
      </c>
      <c r="B73" s="21" t="s">
        <v>278</v>
      </c>
      <c r="C73" s="22" t="s">
        <v>714</v>
      </c>
      <c r="D73" s="22" t="s">
        <v>715</v>
      </c>
      <c r="E73" s="22" t="s">
        <v>281</v>
      </c>
      <c r="F73" s="21" t="s">
        <v>545</v>
      </c>
      <c r="G73" s="21" t="s">
        <v>716</v>
      </c>
      <c r="H73" s="22" t="s">
        <v>682</v>
      </c>
      <c r="I73" s="25" t="s">
        <v>717</v>
      </c>
      <c r="J73" s="22" t="s">
        <v>718</v>
      </c>
      <c r="K73" s="23" t="s">
        <v>255</v>
      </c>
      <c r="L73" s="22" t="s">
        <v>719</v>
      </c>
      <c r="M73" s="24" t="s">
        <v>720</v>
      </c>
    </row>
    <row r="74" spans="1:13" ht="32" x14ac:dyDescent="0.2">
      <c r="A74" s="21" t="s">
        <v>164</v>
      </c>
      <c r="B74" s="21" t="s">
        <v>278</v>
      </c>
      <c r="C74" s="22" t="s">
        <v>721</v>
      </c>
      <c r="D74" s="22" t="s">
        <v>722</v>
      </c>
      <c r="E74" s="22" t="s">
        <v>281</v>
      </c>
      <c r="F74" s="21" t="s">
        <v>723</v>
      </c>
      <c r="G74" s="21" t="s">
        <v>724</v>
      </c>
      <c r="H74" s="22" t="s">
        <v>682</v>
      </c>
      <c r="I74" s="22" t="s">
        <v>725</v>
      </c>
      <c r="J74" s="22" t="s">
        <v>472</v>
      </c>
      <c r="K74" s="23" t="s">
        <v>255</v>
      </c>
      <c r="L74" s="22" t="s">
        <v>726</v>
      </c>
      <c r="M74" s="24" t="s">
        <v>724</v>
      </c>
    </row>
    <row r="75" spans="1:13" ht="48" x14ac:dyDescent="0.2">
      <c r="A75" s="21" t="s">
        <v>165</v>
      </c>
      <c r="B75" s="21" t="s">
        <v>727</v>
      </c>
      <c r="C75" s="22" t="s">
        <v>728</v>
      </c>
      <c r="D75" s="22" t="s">
        <v>729</v>
      </c>
      <c r="E75" s="22" t="s">
        <v>730</v>
      </c>
      <c r="F75" s="21" t="s">
        <v>731</v>
      </c>
      <c r="G75" s="21" t="s">
        <v>732</v>
      </c>
      <c r="H75" s="22" t="s">
        <v>695</v>
      </c>
      <c r="I75" s="22" t="s">
        <v>733</v>
      </c>
      <c r="J75" s="22" t="s">
        <v>734</v>
      </c>
      <c r="K75" s="23" t="s">
        <v>255</v>
      </c>
      <c r="L75" s="22" t="s">
        <v>735</v>
      </c>
      <c r="M75" s="24" t="s">
        <v>732</v>
      </c>
    </row>
    <row r="76" spans="1:13" ht="48" x14ac:dyDescent="0.2">
      <c r="A76" s="21" t="s">
        <v>166</v>
      </c>
      <c r="B76" s="21" t="s">
        <v>528</v>
      </c>
      <c r="C76" s="22" t="s">
        <v>736</v>
      </c>
      <c r="D76" s="22" t="s">
        <v>737</v>
      </c>
      <c r="E76" s="22" t="s">
        <v>412</v>
      </c>
      <c r="F76" s="21" t="s">
        <v>738</v>
      </c>
      <c r="G76" s="21" t="s">
        <v>739</v>
      </c>
      <c r="H76" s="22" t="s">
        <v>682</v>
      </c>
      <c r="I76" s="22" t="s">
        <v>740</v>
      </c>
      <c r="J76" s="22" t="s">
        <v>741</v>
      </c>
      <c r="K76" s="23" t="s">
        <v>255</v>
      </c>
      <c r="L76" s="22" t="s">
        <v>742</v>
      </c>
      <c r="M76" s="24" t="s">
        <v>743</v>
      </c>
    </row>
    <row r="77" spans="1:13" ht="48" x14ac:dyDescent="0.2">
      <c r="A77" s="21" t="s">
        <v>167</v>
      </c>
      <c r="B77" s="21" t="s">
        <v>328</v>
      </c>
      <c r="C77" s="22" t="s">
        <v>744</v>
      </c>
      <c r="D77" s="22" t="s">
        <v>565</v>
      </c>
      <c r="E77" s="22" t="s">
        <v>745</v>
      </c>
      <c r="F77" s="9" t="s">
        <v>226</v>
      </c>
      <c r="G77" s="24"/>
      <c r="H77" s="22" t="s">
        <v>682</v>
      </c>
      <c r="I77" s="25"/>
      <c r="J77" s="25" t="s">
        <v>425</v>
      </c>
      <c r="K77" s="25" t="s">
        <v>255</v>
      </c>
      <c r="L77" s="22" t="s">
        <v>746</v>
      </c>
      <c r="M77" s="21" t="s">
        <v>747</v>
      </c>
    </row>
    <row r="78" spans="1:13" ht="32" x14ac:dyDescent="0.2">
      <c r="A78" s="21" t="s">
        <v>168</v>
      </c>
      <c r="B78" s="21" t="s">
        <v>748</v>
      </c>
      <c r="C78" s="22" t="s">
        <v>749</v>
      </c>
      <c r="D78" s="22" t="s">
        <v>750</v>
      </c>
      <c r="E78" s="25"/>
      <c r="F78" s="21" t="s">
        <v>751</v>
      </c>
      <c r="G78" s="21" t="s">
        <v>752</v>
      </c>
      <c r="H78" s="22" t="s">
        <v>753</v>
      </c>
      <c r="I78" s="22"/>
      <c r="J78" s="22" t="s">
        <v>754</v>
      </c>
      <c r="K78" s="22" t="s">
        <v>255</v>
      </c>
      <c r="L78" s="22" t="s">
        <v>755</v>
      </c>
      <c r="M78" s="24" t="s">
        <v>752</v>
      </c>
    </row>
    <row r="79" spans="1:13" ht="32" x14ac:dyDescent="0.2">
      <c r="A79" s="21" t="s">
        <v>170</v>
      </c>
      <c r="B79" s="21" t="s">
        <v>278</v>
      </c>
      <c r="C79" s="22" t="s">
        <v>756</v>
      </c>
      <c r="D79" s="22" t="s">
        <v>757</v>
      </c>
      <c r="E79" s="22" t="s">
        <v>758</v>
      </c>
      <c r="F79" s="21" t="s">
        <v>759</v>
      </c>
      <c r="G79" s="21" t="s">
        <v>760</v>
      </c>
      <c r="H79" s="22" t="s">
        <v>753</v>
      </c>
      <c r="I79" s="22"/>
      <c r="J79" s="22" t="s">
        <v>754</v>
      </c>
      <c r="K79" s="22" t="s">
        <v>255</v>
      </c>
      <c r="L79" s="22" t="s">
        <v>761</v>
      </c>
      <c r="M79" s="24" t="s">
        <v>760</v>
      </c>
    </row>
    <row r="80" spans="1:13" ht="32" x14ac:dyDescent="0.2">
      <c r="A80" s="21" t="s">
        <v>171</v>
      </c>
      <c r="B80" s="21" t="s">
        <v>278</v>
      </c>
      <c r="C80" s="22" t="s">
        <v>762</v>
      </c>
      <c r="D80" s="22" t="s">
        <v>763</v>
      </c>
      <c r="E80" s="22" t="s">
        <v>758</v>
      </c>
      <c r="F80" s="21" t="s">
        <v>759</v>
      </c>
      <c r="G80" s="21" t="s">
        <v>764</v>
      </c>
      <c r="H80" s="22" t="s">
        <v>753</v>
      </c>
      <c r="I80" s="22"/>
      <c r="J80" s="22" t="s">
        <v>754</v>
      </c>
      <c r="K80" s="22" t="s">
        <v>255</v>
      </c>
      <c r="L80" s="22" t="s">
        <v>761</v>
      </c>
      <c r="M80" s="24" t="s">
        <v>764</v>
      </c>
    </row>
    <row r="81" spans="1:13" ht="48" x14ac:dyDescent="0.2">
      <c r="A81" s="21" t="s">
        <v>172</v>
      </c>
      <c r="B81" s="21" t="s">
        <v>263</v>
      </c>
      <c r="C81" s="22" t="s">
        <v>765</v>
      </c>
      <c r="D81" s="22" t="s">
        <v>766</v>
      </c>
      <c r="E81" s="22" t="s">
        <v>765</v>
      </c>
      <c r="F81" s="21" t="s">
        <v>767</v>
      </c>
      <c r="G81" s="21" t="s">
        <v>768</v>
      </c>
      <c r="H81" s="25" t="s">
        <v>769</v>
      </c>
      <c r="I81" s="25" t="s">
        <v>770</v>
      </c>
      <c r="J81" s="22" t="s">
        <v>771</v>
      </c>
      <c r="K81" s="25" t="s">
        <v>255</v>
      </c>
      <c r="L81" s="22" t="s">
        <v>772</v>
      </c>
      <c r="M81" s="24" t="s">
        <v>768</v>
      </c>
    </row>
    <row r="82" spans="1:13" ht="32" x14ac:dyDescent="0.2">
      <c r="A82" s="21" t="s">
        <v>173</v>
      </c>
      <c r="B82" s="21" t="s">
        <v>263</v>
      </c>
      <c r="C82" s="22" t="s">
        <v>773</v>
      </c>
      <c r="D82" s="22" t="s">
        <v>774</v>
      </c>
      <c r="E82" s="22" t="s">
        <v>773</v>
      </c>
      <c r="F82" s="21" t="s">
        <v>767</v>
      </c>
      <c r="G82" s="21" t="s">
        <v>775</v>
      </c>
      <c r="H82" s="25" t="s">
        <v>769</v>
      </c>
      <c r="I82" s="25" t="s">
        <v>770</v>
      </c>
      <c r="J82" s="22" t="s">
        <v>771</v>
      </c>
      <c r="K82" s="25" t="s">
        <v>255</v>
      </c>
      <c r="L82" s="22" t="s">
        <v>776</v>
      </c>
      <c r="M82" s="24" t="s">
        <v>775</v>
      </c>
    </row>
    <row r="83" spans="1:13" ht="48" x14ac:dyDescent="0.2">
      <c r="A83" s="21" t="s">
        <v>174</v>
      </c>
      <c r="B83" s="21" t="s">
        <v>263</v>
      </c>
      <c r="C83" s="22" t="s">
        <v>777</v>
      </c>
      <c r="D83" s="22" t="s">
        <v>778</v>
      </c>
      <c r="E83" s="22" t="s">
        <v>777</v>
      </c>
      <c r="F83" s="21" t="s">
        <v>767</v>
      </c>
      <c r="G83" s="21" t="s">
        <v>779</v>
      </c>
      <c r="H83" s="25" t="s">
        <v>780</v>
      </c>
      <c r="I83" s="25"/>
      <c r="J83" s="22" t="s">
        <v>771</v>
      </c>
      <c r="K83" s="25" t="s">
        <v>255</v>
      </c>
      <c r="L83" s="22" t="s">
        <v>781</v>
      </c>
      <c r="M83" s="24" t="s">
        <v>779</v>
      </c>
    </row>
    <row r="84" spans="1:13" ht="32" x14ac:dyDescent="0.2">
      <c r="A84" s="21" t="s">
        <v>175</v>
      </c>
      <c r="B84" s="21" t="s">
        <v>263</v>
      </c>
      <c r="C84" s="22" t="s">
        <v>782</v>
      </c>
      <c r="D84" s="22" t="s">
        <v>783</v>
      </c>
      <c r="E84" s="22" t="s">
        <v>782</v>
      </c>
      <c r="F84" s="21" t="s">
        <v>767</v>
      </c>
      <c r="G84" s="21" t="s">
        <v>784</v>
      </c>
      <c r="H84" s="25" t="s">
        <v>780</v>
      </c>
      <c r="I84" s="25"/>
      <c r="J84" s="22" t="s">
        <v>771</v>
      </c>
      <c r="K84" s="25" t="s">
        <v>255</v>
      </c>
      <c r="L84" s="22" t="s">
        <v>776</v>
      </c>
      <c r="M84" s="24" t="s">
        <v>784</v>
      </c>
    </row>
    <row r="85" spans="1:13" ht="48" x14ac:dyDescent="0.2">
      <c r="A85" s="21" t="s">
        <v>176</v>
      </c>
      <c r="B85" s="21" t="s">
        <v>263</v>
      </c>
      <c r="C85" s="22" t="s">
        <v>785</v>
      </c>
      <c r="D85" s="22" t="s">
        <v>786</v>
      </c>
      <c r="E85" s="22" t="s">
        <v>785</v>
      </c>
      <c r="F85" s="21" t="s">
        <v>767</v>
      </c>
      <c r="G85" s="21" t="s">
        <v>787</v>
      </c>
      <c r="H85" s="25" t="s">
        <v>769</v>
      </c>
      <c r="I85" s="25" t="s">
        <v>770</v>
      </c>
      <c r="J85" s="22" t="s">
        <v>771</v>
      </c>
      <c r="K85" s="25" t="s">
        <v>255</v>
      </c>
      <c r="L85" s="22" t="s">
        <v>788</v>
      </c>
      <c r="M85" s="24" t="s">
        <v>787</v>
      </c>
    </row>
    <row r="86" spans="1:13" ht="32" x14ac:dyDescent="0.2">
      <c r="A86" s="21" t="s">
        <v>177</v>
      </c>
      <c r="B86" s="21" t="s">
        <v>263</v>
      </c>
      <c r="C86" s="22" t="s">
        <v>789</v>
      </c>
      <c r="D86" s="22" t="s">
        <v>790</v>
      </c>
      <c r="E86" s="22" t="s">
        <v>789</v>
      </c>
      <c r="F86" s="21" t="s">
        <v>767</v>
      </c>
      <c r="G86" s="21" t="s">
        <v>791</v>
      </c>
      <c r="H86" s="25" t="s">
        <v>769</v>
      </c>
      <c r="I86" s="25" t="s">
        <v>770</v>
      </c>
      <c r="J86" s="22" t="s">
        <v>771</v>
      </c>
      <c r="K86" s="25" t="s">
        <v>255</v>
      </c>
      <c r="L86" s="22" t="s">
        <v>776</v>
      </c>
      <c r="M86" s="24" t="s">
        <v>791</v>
      </c>
    </row>
    <row r="87" spans="1:13" ht="48" x14ac:dyDescent="0.2">
      <c r="A87" s="21" t="s">
        <v>178</v>
      </c>
      <c r="B87" s="21" t="s">
        <v>263</v>
      </c>
      <c r="C87" s="22" t="s">
        <v>792</v>
      </c>
      <c r="D87" s="22" t="s">
        <v>793</v>
      </c>
      <c r="E87" s="22" t="s">
        <v>792</v>
      </c>
      <c r="F87" s="21" t="s">
        <v>767</v>
      </c>
      <c r="G87" s="21" t="s">
        <v>794</v>
      </c>
      <c r="H87" s="25" t="s">
        <v>780</v>
      </c>
      <c r="I87" s="25"/>
      <c r="J87" s="22" t="s">
        <v>771</v>
      </c>
      <c r="K87" s="25" t="s">
        <v>255</v>
      </c>
      <c r="L87" s="22" t="s">
        <v>795</v>
      </c>
      <c r="M87" s="24" t="s">
        <v>794</v>
      </c>
    </row>
    <row r="88" spans="1:13" ht="32" x14ac:dyDescent="0.2">
      <c r="A88" s="21" t="s">
        <v>179</v>
      </c>
      <c r="B88" s="21" t="s">
        <v>263</v>
      </c>
      <c r="C88" s="22" t="s">
        <v>796</v>
      </c>
      <c r="D88" s="22" t="s">
        <v>797</v>
      </c>
      <c r="E88" s="22" t="s">
        <v>796</v>
      </c>
      <c r="F88" s="21" t="s">
        <v>767</v>
      </c>
      <c r="G88" s="21" t="s">
        <v>798</v>
      </c>
      <c r="H88" s="25" t="s">
        <v>780</v>
      </c>
      <c r="I88" s="25"/>
      <c r="J88" s="22" t="s">
        <v>771</v>
      </c>
      <c r="K88" s="25" t="s">
        <v>255</v>
      </c>
      <c r="L88" s="22" t="s">
        <v>776</v>
      </c>
      <c r="M88" s="24" t="s">
        <v>798</v>
      </c>
    </row>
    <row r="89" spans="1:13" ht="48" x14ac:dyDescent="0.2">
      <c r="A89" s="21" t="s">
        <v>180</v>
      </c>
      <c r="B89" s="21" t="s">
        <v>263</v>
      </c>
      <c r="C89" s="25" t="s">
        <v>799</v>
      </c>
      <c r="D89" s="22" t="s">
        <v>800</v>
      </c>
      <c r="E89" s="25"/>
      <c r="F89" s="21" t="s">
        <v>801</v>
      </c>
      <c r="G89" s="21" t="s">
        <v>802</v>
      </c>
      <c r="H89" s="22" t="s">
        <v>780</v>
      </c>
      <c r="I89" s="22"/>
      <c r="J89" s="22" t="s">
        <v>803</v>
      </c>
      <c r="K89" s="22" t="s">
        <v>255</v>
      </c>
      <c r="L89" s="22" t="s">
        <v>804</v>
      </c>
      <c r="M89" s="24" t="s">
        <v>802</v>
      </c>
    </row>
    <row r="90" spans="1:13" ht="80" x14ac:dyDescent="0.2">
      <c r="A90" s="21" t="s">
        <v>182</v>
      </c>
      <c r="B90" s="21" t="s">
        <v>263</v>
      </c>
      <c r="C90" s="22" t="s">
        <v>805</v>
      </c>
      <c r="D90" s="22" t="s">
        <v>806</v>
      </c>
      <c r="E90" s="22" t="s">
        <v>807</v>
      </c>
      <c r="F90" s="21" t="s">
        <v>808</v>
      </c>
      <c r="G90" s="21" t="s">
        <v>809</v>
      </c>
      <c r="H90" s="22" t="s">
        <v>810</v>
      </c>
      <c r="I90" s="22" t="s">
        <v>811</v>
      </c>
      <c r="J90" s="22" t="s">
        <v>812</v>
      </c>
      <c r="K90" s="25" t="s">
        <v>255</v>
      </c>
      <c r="L90" s="22" t="s">
        <v>813</v>
      </c>
      <c r="M90" s="24" t="s">
        <v>809</v>
      </c>
    </row>
    <row r="91" spans="1:13" ht="48" x14ac:dyDescent="0.2">
      <c r="A91" s="21" t="s">
        <v>183</v>
      </c>
      <c r="B91" s="21" t="s">
        <v>278</v>
      </c>
      <c r="C91" s="22" t="s">
        <v>814</v>
      </c>
      <c r="D91" s="22" t="s">
        <v>815</v>
      </c>
      <c r="E91" s="22" t="s">
        <v>281</v>
      </c>
      <c r="F91" s="21" t="s">
        <v>545</v>
      </c>
      <c r="G91" s="21" t="s">
        <v>816</v>
      </c>
      <c r="H91" s="22" t="s">
        <v>810</v>
      </c>
      <c r="I91" s="22" t="s">
        <v>817</v>
      </c>
      <c r="J91" s="22" t="s">
        <v>599</v>
      </c>
      <c r="K91" s="22" t="s">
        <v>255</v>
      </c>
      <c r="L91" s="22" t="s">
        <v>818</v>
      </c>
      <c r="M91" s="24" t="s">
        <v>816</v>
      </c>
    </row>
    <row r="92" spans="1:13" ht="48" x14ac:dyDescent="0.2">
      <c r="A92" s="21" t="s">
        <v>184</v>
      </c>
      <c r="B92" s="21" t="s">
        <v>263</v>
      </c>
      <c r="C92" s="22" t="s">
        <v>819</v>
      </c>
      <c r="D92" s="22" t="s">
        <v>820</v>
      </c>
      <c r="E92" s="22" t="s">
        <v>821</v>
      </c>
      <c r="F92" s="21" t="s">
        <v>822</v>
      </c>
      <c r="G92" s="21" t="s">
        <v>823</v>
      </c>
      <c r="H92" s="22" t="s">
        <v>753</v>
      </c>
      <c r="I92" s="22"/>
      <c r="J92" s="22" t="s">
        <v>824</v>
      </c>
      <c r="K92" s="22" t="s">
        <v>255</v>
      </c>
      <c r="L92" s="22" t="s">
        <v>825</v>
      </c>
      <c r="M92" s="24" t="s">
        <v>823</v>
      </c>
    </row>
    <row r="93" spans="1:13" ht="32" x14ac:dyDescent="0.2">
      <c r="A93" s="21" t="s">
        <v>185</v>
      </c>
      <c r="B93" s="21" t="s">
        <v>339</v>
      </c>
      <c r="C93" s="22" t="s">
        <v>826</v>
      </c>
      <c r="D93" s="22" t="s">
        <v>827</v>
      </c>
      <c r="E93" s="22" t="s">
        <v>386</v>
      </c>
      <c r="F93" s="21" t="s">
        <v>828</v>
      </c>
      <c r="G93" s="21" t="s">
        <v>829</v>
      </c>
      <c r="H93" s="22" t="s">
        <v>753</v>
      </c>
      <c r="I93" s="22"/>
      <c r="J93" s="22" t="s">
        <v>824</v>
      </c>
      <c r="K93" s="22" t="s">
        <v>255</v>
      </c>
      <c r="L93" s="22" t="s">
        <v>830</v>
      </c>
      <c r="M93" s="24" t="s">
        <v>829</v>
      </c>
    </row>
    <row r="94" spans="1:13" ht="48" x14ac:dyDescent="0.2">
      <c r="A94" s="21" t="s">
        <v>186</v>
      </c>
      <c r="B94" s="21" t="s">
        <v>278</v>
      </c>
      <c r="C94" s="22" t="s">
        <v>831</v>
      </c>
      <c r="D94" s="22" t="s">
        <v>832</v>
      </c>
      <c r="E94" s="22" t="s">
        <v>281</v>
      </c>
      <c r="F94" s="21" t="s">
        <v>545</v>
      </c>
      <c r="G94" s="21" t="s">
        <v>833</v>
      </c>
      <c r="H94" s="22" t="s">
        <v>753</v>
      </c>
      <c r="I94" s="22"/>
      <c r="J94" s="22" t="s">
        <v>824</v>
      </c>
      <c r="K94" s="22" t="s">
        <v>255</v>
      </c>
      <c r="L94" s="22" t="s">
        <v>834</v>
      </c>
      <c r="M94" s="24" t="s">
        <v>833</v>
      </c>
    </row>
    <row r="95" spans="1:13" ht="48" x14ac:dyDescent="0.2">
      <c r="A95" s="21" t="s">
        <v>187</v>
      </c>
      <c r="B95" s="21" t="s">
        <v>278</v>
      </c>
      <c r="C95" s="22" t="s">
        <v>835</v>
      </c>
      <c r="D95" s="22" t="s">
        <v>836</v>
      </c>
      <c r="E95" s="22" t="s">
        <v>281</v>
      </c>
      <c r="F95" s="21" t="s">
        <v>545</v>
      </c>
      <c r="G95" s="21" t="s">
        <v>837</v>
      </c>
      <c r="H95" s="22" t="s">
        <v>753</v>
      </c>
      <c r="I95" s="22"/>
      <c r="J95" s="22" t="s">
        <v>824</v>
      </c>
      <c r="K95" s="22" t="s">
        <v>255</v>
      </c>
      <c r="L95" s="22" t="s">
        <v>838</v>
      </c>
      <c r="M95" s="24" t="s">
        <v>837</v>
      </c>
    </row>
    <row r="96" spans="1:13" ht="48" x14ac:dyDescent="0.2">
      <c r="A96" s="21" t="s">
        <v>188</v>
      </c>
      <c r="B96" s="21" t="s">
        <v>383</v>
      </c>
      <c r="C96" s="22" t="s">
        <v>839</v>
      </c>
      <c r="D96" s="22" t="s">
        <v>840</v>
      </c>
      <c r="E96" s="22" t="s">
        <v>841</v>
      </c>
      <c r="F96" s="21" t="s">
        <v>842</v>
      </c>
      <c r="G96" s="24"/>
      <c r="H96" s="22" t="s">
        <v>753</v>
      </c>
      <c r="I96" s="22"/>
      <c r="J96" s="22" t="s">
        <v>824</v>
      </c>
      <c r="K96" s="22" t="s">
        <v>325</v>
      </c>
      <c r="L96" s="22" t="s">
        <v>843</v>
      </c>
      <c r="M96" s="24" t="s">
        <v>844</v>
      </c>
    </row>
    <row r="97" spans="1:19" ht="32" x14ac:dyDescent="0.2">
      <c r="A97" s="21" t="s">
        <v>189</v>
      </c>
      <c r="B97" s="21" t="s">
        <v>287</v>
      </c>
      <c r="C97" s="22" t="s">
        <v>845</v>
      </c>
      <c r="D97" s="22" t="s">
        <v>846</v>
      </c>
      <c r="E97" s="22" t="s">
        <v>498</v>
      </c>
      <c r="F97" s="21" t="s">
        <v>359</v>
      </c>
      <c r="G97" s="21" t="s">
        <v>847</v>
      </c>
      <c r="H97" s="22" t="s">
        <v>753</v>
      </c>
      <c r="I97" s="22"/>
      <c r="J97" s="22" t="s">
        <v>824</v>
      </c>
      <c r="K97" s="22" t="s">
        <v>255</v>
      </c>
      <c r="L97" s="22" t="s">
        <v>848</v>
      </c>
      <c r="M97" s="24" t="s">
        <v>847</v>
      </c>
    </row>
    <row r="98" spans="1:19" ht="32" x14ac:dyDescent="0.2">
      <c r="A98" s="21" t="s">
        <v>190</v>
      </c>
      <c r="B98" s="21" t="s">
        <v>287</v>
      </c>
      <c r="C98" s="22" t="s">
        <v>849</v>
      </c>
      <c r="D98" s="22" t="s">
        <v>850</v>
      </c>
      <c r="E98" s="22" t="s">
        <v>851</v>
      </c>
      <c r="F98" s="21" t="s">
        <v>852</v>
      </c>
      <c r="G98" s="21" t="s">
        <v>853</v>
      </c>
      <c r="H98" s="22" t="s">
        <v>753</v>
      </c>
      <c r="I98" s="22"/>
      <c r="J98" s="22" t="s">
        <v>824</v>
      </c>
      <c r="K98" s="22" t="s">
        <v>255</v>
      </c>
      <c r="L98" s="22" t="s">
        <v>854</v>
      </c>
      <c r="M98" s="24" t="s">
        <v>853</v>
      </c>
    </row>
    <row r="99" spans="1:19" ht="32" x14ac:dyDescent="0.2">
      <c r="A99" s="21" t="s">
        <v>191</v>
      </c>
      <c r="B99" s="21" t="s">
        <v>263</v>
      </c>
      <c r="C99" s="22" t="s">
        <v>855</v>
      </c>
      <c r="D99" s="22" t="s">
        <v>856</v>
      </c>
      <c r="E99" s="22" t="s">
        <v>857</v>
      </c>
      <c r="F99" s="21" t="s">
        <v>251</v>
      </c>
      <c r="G99" s="21" t="s">
        <v>858</v>
      </c>
      <c r="H99" s="22" t="s">
        <v>753</v>
      </c>
      <c r="I99" s="22"/>
      <c r="J99" s="22" t="s">
        <v>824</v>
      </c>
      <c r="K99" s="22" t="s">
        <v>255</v>
      </c>
      <c r="L99" s="22" t="s">
        <v>859</v>
      </c>
      <c r="M99" s="24" t="s">
        <v>858</v>
      </c>
    </row>
    <row r="100" spans="1:19" ht="48" x14ac:dyDescent="0.2">
      <c r="A100" s="21" t="s">
        <v>192</v>
      </c>
      <c r="B100" s="21" t="s">
        <v>278</v>
      </c>
      <c r="C100" s="22" t="s">
        <v>860</v>
      </c>
      <c r="D100" s="22" t="s">
        <v>861</v>
      </c>
      <c r="E100" s="22" t="s">
        <v>281</v>
      </c>
      <c r="F100" s="21" t="s">
        <v>862</v>
      </c>
      <c r="G100" s="21" t="s">
        <v>863</v>
      </c>
      <c r="H100" s="22" t="s">
        <v>753</v>
      </c>
      <c r="I100" s="22"/>
      <c r="J100" s="22" t="s">
        <v>824</v>
      </c>
      <c r="K100" s="22" t="s">
        <v>255</v>
      </c>
      <c r="L100" s="22" t="s">
        <v>864</v>
      </c>
      <c r="M100" s="24" t="s">
        <v>863</v>
      </c>
    </row>
    <row r="101" spans="1:19" ht="48" x14ac:dyDescent="0.2">
      <c r="A101" s="21" t="s">
        <v>193</v>
      </c>
      <c r="B101" s="21" t="s">
        <v>657</v>
      </c>
      <c r="C101" s="22" t="s">
        <v>658</v>
      </c>
      <c r="D101" s="22" t="s">
        <v>865</v>
      </c>
      <c r="E101" s="22" t="s">
        <v>660</v>
      </c>
      <c r="F101" s="21" t="s">
        <v>866</v>
      </c>
      <c r="G101" s="21" t="s">
        <v>867</v>
      </c>
      <c r="H101" s="22" t="s">
        <v>753</v>
      </c>
      <c r="I101" s="22"/>
      <c r="J101" s="22" t="s">
        <v>824</v>
      </c>
      <c r="K101" s="22" t="s">
        <v>255</v>
      </c>
      <c r="L101" s="22" t="s">
        <v>868</v>
      </c>
      <c r="M101" s="24" t="s">
        <v>867</v>
      </c>
    </row>
    <row r="102" spans="1:19" ht="48" x14ac:dyDescent="0.2">
      <c r="A102" s="21" t="s">
        <v>194</v>
      </c>
      <c r="B102" s="21" t="s">
        <v>869</v>
      </c>
      <c r="C102" s="22" t="s">
        <v>870</v>
      </c>
      <c r="D102" s="22" t="s">
        <v>871</v>
      </c>
      <c r="E102" s="25"/>
      <c r="F102" s="21" t="s">
        <v>842</v>
      </c>
      <c r="G102" s="24"/>
      <c r="H102" s="22" t="s">
        <v>753</v>
      </c>
      <c r="I102" s="22"/>
      <c r="J102" s="22" t="s">
        <v>824</v>
      </c>
      <c r="K102" s="22" t="s">
        <v>325</v>
      </c>
      <c r="L102" s="22" t="s">
        <v>872</v>
      </c>
      <c r="M102" s="24" t="s">
        <v>873</v>
      </c>
    </row>
    <row r="103" spans="1:19" ht="128" x14ac:dyDescent="0.2">
      <c r="A103" s="21" t="s">
        <v>195</v>
      </c>
      <c r="B103" s="21" t="s">
        <v>874</v>
      </c>
      <c r="C103" s="22" t="s">
        <v>875</v>
      </c>
      <c r="D103" s="22" t="s">
        <v>876</v>
      </c>
      <c r="E103" s="25" t="s">
        <v>386</v>
      </c>
      <c r="F103" s="21" t="s">
        <v>413</v>
      </c>
      <c r="G103" s="24" t="s">
        <v>877</v>
      </c>
      <c r="H103" s="22" t="s">
        <v>878</v>
      </c>
      <c r="I103" s="22" t="s">
        <v>879</v>
      </c>
      <c r="J103" s="22" t="s">
        <v>880</v>
      </c>
      <c r="K103" s="22" t="s">
        <v>255</v>
      </c>
      <c r="L103" s="22" t="s">
        <v>881</v>
      </c>
      <c r="M103" s="24" t="s">
        <v>877</v>
      </c>
    </row>
    <row r="104" spans="1:19" ht="32" x14ac:dyDescent="0.2">
      <c r="A104" s="21" t="s">
        <v>196</v>
      </c>
      <c r="B104" s="21" t="s">
        <v>328</v>
      </c>
      <c r="C104" s="22" t="s">
        <v>882</v>
      </c>
      <c r="D104" s="22" t="s">
        <v>883</v>
      </c>
      <c r="E104" s="25" t="s">
        <v>617</v>
      </c>
      <c r="F104" s="21" t="s">
        <v>226</v>
      </c>
      <c r="G104" s="24" t="s">
        <v>884</v>
      </c>
      <c r="H104" s="22" t="s">
        <v>885</v>
      </c>
      <c r="I104" s="22"/>
      <c r="J104" s="22" t="s">
        <v>886</v>
      </c>
      <c r="K104" s="22" t="s">
        <v>255</v>
      </c>
      <c r="L104" s="22" t="s">
        <v>887</v>
      </c>
      <c r="M104" s="24" t="s">
        <v>888</v>
      </c>
    </row>
    <row r="105" spans="1:19" ht="32" x14ac:dyDescent="0.2">
      <c r="A105" s="21" t="s">
        <v>197</v>
      </c>
      <c r="B105" s="21" t="s">
        <v>328</v>
      </c>
      <c r="C105" s="22" t="s">
        <v>889</v>
      </c>
      <c r="D105" s="22" t="s">
        <v>883</v>
      </c>
      <c r="E105" s="25" t="s">
        <v>675</v>
      </c>
      <c r="F105" s="21" t="s">
        <v>226</v>
      </c>
      <c r="G105" s="24" t="s">
        <v>890</v>
      </c>
      <c r="H105" s="22" t="s">
        <v>891</v>
      </c>
      <c r="I105" s="22" t="s">
        <v>892</v>
      </c>
      <c r="J105" s="22" t="s">
        <v>886</v>
      </c>
      <c r="K105" s="22" t="s">
        <v>255</v>
      </c>
      <c r="L105" s="22" t="s">
        <v>887</v>
      </c>
      <c r="M105" s="24" t="s">
        <v>893</v>
      </c>
    </row>
    <row r="106" spans="1:19" ht="45" x14ac:dyDescent="0.2">
      <c r="A106" s="21" t="s">
        <v>198</v>
      </c>
      <c r="B106" s="21" t="s">
        <v>328</v>
      </c>
      <c r="C106" s="22" t="s">
        <v>894</v>
      </c>
      <c r="D106" s="22" t="s">
        <v>883</v>
      </c>
      <c r="E106" s="25" t="s">
        <v>745</v>
      </c>
      <c r="F106" s="21" t="s">
        <v>226</v>
      </c>
      <c r="G106" s="24" t="s">
        <v>895</v>
      </c>
      <c r="H106" s="22" t="s">
        <v>896</v>
      </c>
      <c r="I106" s="22"/>
      <c r="J106" s="22" t="s">
        <v>886</v>
      </c>
      <c r="K106" s="22" t="s">
        <v>255</v>
      </c>
      <c r="L106" s="22" t="s">
        <v>887</v>
      </c>
      <c r="M106" s="24" t="s">
        <v>897</v>
      </c>
    </row>
    <row r="107" spans="1:19" x14ac:dyDescent="0.15">
      <c r="A107" s="4" t="s">
        <v>199</v>
      </c>
      <c r="B107" s="4" t="s">
        <v>447</v>
      </c>
      <c r="C107" s="4" t="s">
        <v>898</v>
      </c>
      <c r="D107" s="4" t="s">
        <v>899</v>
      </c>
      <c r="E107" s="4" t="s">
        <v>900</v>
      </c>
      <c r="F107" s="4" t="s">
        <v>901</v>
      </c>
      <c r="G107" s="4" t="s">
        <v>902</v>
      </c>
      <c r="H107" s="4" t="s">
        <v>903</v>
      </c>
      <c r="I107" s="4" t="s">
        <v>696</v>
      </c>
      <c r="J107" s="4" t="s">
        <v>599</v>
      </c>
      <c r="K107" s="4" t="s">
        <v>255</v>
      </c>
      <c r="L107" s="4" t="s">
        <v>904</v>
      </c>
      <c r="M107" s="4" t="s">
        <v>902</v>
      </c>
    </row>
    <row r="108" spans="1:19" ht="48" x14ac:dyDescent="0.2">
      <c r="A108" s="21" t="s">
        <v>200</v>
      </c>
      <c r="B108" s="21" t="s">
        <v>328</v>
      </c>
      <c r="C108" s="22" t="s">
        <v>905</v>
      </c>
      <c r="D108" s="22" t="s">
        <v>906</v>
      </c>
      <c r="E108" s="25" t="s">
        <v>745</v>
      </c>
      <c r="F108" s="21" t="s">
        <v>226</v>
      </c>
      <c r="G108" s="24" t="s">
        <v>907</v>
      </c>
      <c r="H108" s="22" t="s">
        <v>903</v>
      </c>
      <c r="I108" s="22"/>
      <c r="J108" s="22" t="s">
        <v>908</v>
      </c>
      <c r="K108" s="22" t="s">
        <v>255</v>
      </c>
      <c r="L108" s="22" t="s">
        <v>909</v>
      </c>
      <c r="M108" s="24" t="s">
        <v>910</v>
      </c>
    </row>
    <row r="109" spans="1:19" ht="64" x14ac:dyDescent="0.2">
      <c r="A109" s="21" t="s">
        <v>201</v>
      </c>
      <c r="B109" s="21" t="s">
        <v>263</v>
      </c>
      <c r="C109" s="22" t="s">
        <v>911</v>
      </c>
      <c r="D109" s="22" t="s">
        <v>912</v>
      </c>
      <c r="E109" s="25" t="s">
        <v>913</v>
      </c>
      <c r="F109" s="21" t="s">
        <v>632</v>
      </c>
      <c r="G109" s="24" t="s">
        <v>914</v>
      </c>
      <c r="H109" s="22" t="s">
        <v>915</v>
      </c>
      <c r="I109" s="22" t="s">
        <v>916</v>
      </c>
      <c r="J109" s="22" t="s">
        <v>599</v>
      </c>
      <c r="K109" s="22" t="s">
        <v>255</v>
      </c>
      <c r="L109" s="22" t="s">
        <v>917</v>
      </c>
      <c r="M109" s="24" t="s">
        <v>914</v>
      </c>
    </row>
    <row r="110" spans="1:19" ht="48" x14ac:dyDescent="0.2">
      <c r="A110" s="21" t="s">
        <v>202</v>
      </c>
      <c r="B110" s="21" t="s">
        <v>263</v>
      </c>
      <c r="C110" s="22" t="s">
        <v>592</v>
      </c>
      <c r="D110" s="22" t="s">
        <v>918</v>
      </c>
      <c r="E110" s="25" t="s">
        <v>594</v>
      </c>
      <c r="F110" s="21" t="s">
        <v>623</v>
      </c>
      <c r="G110" s="24" t="s">
        <v>919</v>
      </c>
      <c r="H110" s="22" t="s">
        <v>753</v>
      </c>
      <c r="I110" s="22"/>
      <c r="J110" s="22" t="s">
        <v>920</v>
      </c>
      <c r="K110" s="22" t="s">
        <v>255</v>
      </c>
      <c r="L110" s="22" t="s">
        <v>921</v>
      </c>
      <c r="M110" s="24" t="s">
        <v>919</v>
      </c>
      <c r="S110" s="4" t="str">
        <f>IF(G110&lt;&gt;"",UPPER(TRIM(G110)),UPPER(TRIM(C110&amp;"|"&amp;E110)))</f>
        <v>61301421821</v>
      </c>
    </row>
    <row r="111" spans="1:19" ht="48" x14ac:dyDescent="0.2">
      <c r="A111" s="21" t="s">
        <v>203</v>
      </c>
      <c r="B111" s="21" t="s">
        <v>278</v>
      </c>
      <c r="C111" s="22" t="s">
        <v>922</v>
      </c>
      <c r="D111" s="22" t="s">
        <v>923</v>
      </c>
      <c r="E111" s="25" t="s">
        <v>281</v>
      </c>
      <c r="F111" s="21" t="s">
        <v>723</v>
      </c>
      <c r="G111" s="24" t="s">
        <v>924</v>
      </c>
      <c r="H111" s="22" t="s">
        <v>925</v>
      </c>
      <c r="I111" s="22" t="s">
        <v>926</v>
      </c>
      <c r="J111" s="22" t="s">
        <v>920</v>
      </c>
      <c r="K111" s="22" t="s">
        <v>255</v>
      </c>
      <c r="L111" s="22" t="s">
        <v>927</v>
      </c>
      <c r="M111" s="24" t="s">
        <v>924</v>
      </c>
      <c r="S111" s="4" t="str">
        <f>IF(G111&lt;&gt;"",UPPER(TRIM(G111)),UPPER(TRIM(C111&amp;"|"&amp;E111)))</f>
        <v>CRCW12065K10FKEA</v>
      </c>
    </row>
    <row r="112" spans="1:19" ht="64" x14ac:dyDescent="0.2">
      <c r="A112" s="21" t="s">
        <v>204</v>
      </c>
      <c r="B112" s="21" t="s">
        <v>263</v>
      </c>
      <c r="C112" s="22" t="s">
        <v>928</v>
      </c>
      <c r="D112" s="22" t="s">
        <v>929</v>
      </c>
      <c r="E112" s="25" t="s">
        <v>930</v>
      </c>
      <c r="F112" s="21" t="s">
        <v>842</v>
      </c>
      <c r="G112" s="24"/>
      <c r="H112" s="22" t="s">
        <v>931</v>
      </c>
      <c r="I112" s="22" t="s">
        <v>932</v>
      </c>
      <c r="J112" s="22" t="s">
        <v>933</v>
      </c>
      <c r="K112" s="22" t="s">
        <v>464</v>
      </c>
      <c r="L112" s="22" t="s">
        <v>934</v>
      </c>
      <c r="M112" s="24" t="s">
        <v>935</v>
      </c>
    </row>
    <row r="113" spans="1:13" ht="80" x14ac:dyDescent="0.2">
      <c r="A113" s="21" t="s">
        <v>205</v>
      </c>
      <c r="B113" s="21" t="s">
        <v>278</v>
      </c>
      <c r="C113" s="22" t="s">
        <v>936</v>
      </c>
      <c r="D113" s="22" t="s">
        <v>937</v>
      </c>
      <c r="E113" s="25" t="s">
        <v>281</v>
      </c>
      <c r="F113" s="21" t="s">
        <v>366</v>
      </c>
      <c r="G113" s="24" t="s">
        <v>938</v>
      </c>
      <c r="H113" s="22" t="s">
        <v>939</v>
      </c>
      <c r="I113" s="22" t="s">
        <v>940</v>
      </c>
      <c r="J113" s="22" t="s">
        <v>941</v>
      </c>
      <c r="K113" s="22" t="s">
        <v>255</v>
      </c>
      <c r="L113" s="22" t="s">
        <v>942</v>
      </c>
      <c r="M113" s="24" t="s">
        <v>938</v>
      </c>
    </row>
    <row r="114" spans="1:13" ht="80" x14ac:dyDescent="0.2">
      <c r="A114" s="21" t="s">
        <v>206</v>
      </c>
      <c r="B114" s="21" t="s">
        <v>328</v>
      </c>
      <c r="C114" s="22" t="s">
        <v>943</v>
      </c>
      <c r="D114" s="22" t="s">
        <v>944</v>
      </c>
      <c r="E114" s="25" t="s">
        <v>945</v>
      </c>
      <c r="F114" s="21" t="s">
        <v>226</v>
      </c>
      <c r="G114" s="24" t="s">
        <v>946</v>
      </c>
      <c r="H114" s="22" t="s">
        <v>931</v>
      </c>
      <c r="I114" s="22" t="s">
        <v>947</v>
      </c>
      <c r="J114" s="22" t="s">
        <v>948</v>
      </c>
      <c r="K114" s="22" t="s">
        <v>464</v>
      </c>
      <c r="L114" s="22" t="s">
        <v>949</v>
      </c>
      <c r="M114" s="24" t="s">
        <v>950</v>
      </c>
    </row>
    <row r="115" spans="1:13" ht="64" x14ac:dyDescent="0.2">
      <c r="A115" s="21" t="s">
        <v>207</v>
      </c>
      <c r="B115" s="21" t="s">
        <v>328</v>
      </c>
      <c r="C115" s="22" t="s">
        <v>951</v>
      </c>
      <c r="D115" s="22" t="s">
        <v>952</v>
      </c>
      <c r="E115" s="25" t="s">
        <v>953</v>
      </c>
      <c r="F115" s="21" t="s">
        <v>226</v>
      </c>
      <c r="G115" s="24" t="s">
        <v>954</v>
      </c>
      <c r="H115" s="22" t="s">
        <v>955</v>
      </c>
      <c r="I115" s="22" t="s">
        <v>956</v>
      </c>
      <c r="J115" s="22" t="s">
        <v>948</v>
      </c>
      <c r="K115" s="22" t="s">
        <v>255</v>
      </c>
      <c r="L115" s="22" t="s">
        <v>957</v>
      </c>
      <c r="M115" s="24" t="s">
        <v>958</v>
      </c>
    </row>
    <row r="116" spans="1:13" ht="48" x14ac:dyDescent="0.2">
      <c r="A116" s="21" t="s">
        <v>208</v>
      </c>
      <c r="B116" s="21" t="s">
        <v>278</v>
      </c>
      <c r="C116" s="22" t="s">
        <v>936</v>
      </c>
      <c r="D116" s="22" t="s">
        <v>959</v>
      </c>
      <c r="E116" s="25" t="s">
        <v>281</v>
      </c>
      <c r="F116" s="21" t="s">
        <v>862</v>
      </c>
      <c r="G116" s="24" t="s">
        <v>960</v>
      </c>
      <c r="H116" s="22" t="s">
        <v>931</v>
      </c>
      <c r="I116" s="22" t="s">
        <v>961</v>
      </c>
      <c r="J116" s="22" t="s">
        <v>962</v>
      </c>
      <c r="K116" s="22" t="s">
        <v>255</v>
      </c>
      <c r="L116" s="22" t="s">
        <v>963</v>
      </c>
      <c r="M116" s="24" t="s">
        <v>960</v>
      </c>
    </row>
    <row r="117" spans="1:13" ht="48" x14ac:dyDescent="0.2">
      <c r="A117" s="21" t="s">
        <v>209</v>
      </c>
      <c r="B117" s="21" t="s">
        <v>263</v>
      </c>
      <c r="C117" s="22" t="s">
        <v>964</v>
      </c>
      <c r="D117" s="22" t="s">
        <v>965</v>
      </c>
      <c r="E117" s="25" t="s">
        <v>966</v>
      </c>
      <c r="F117" s="21" t="s">
        <v>267</v>
      </c>
      <c r="G117" s="24" t="s">
        <v>967</v>
      </c>
      <c r="H117" s="22" t="s">
        <v>955</v>
      </c>
      <c r="I117" s="22" t="s">
        <v>968</v>
      </c>
      <c r="J117" s="22" t="s">
        <v>933</v>
      </c>
      <c r="K117" s="22" t="s">
        <v>255</v>
      </c>
      <c r="L117" s="22" t="s">
        <v>969</v>
      </c>
      <c r="M117" s="24" t="s">
        <v>967</v>
      </c>
    </row>
    <row r="118" spans="1:13" ht="64" x14ac:dyDescent="0.2">
      <c r="A118" s="21" t="s">
        <v>210</v>
      </c>
      <c r="B118" s="21" t="s">
        <v>263</v>
      </c>
      <c r="C118" s="22" t="s">
        <v>970</v>
      </c>
      <c r="D118" s="22" t="s">
        <v>971</v>
      </c>
      <c r="E118" s="25" t="s">
        <v>972</v>
      </c>
      <c r="F118" s="21" t="s">
        <v>808</v>
      </c>
      <c r="G118" s="24" t="s">
        <v>973</v>
      </c>
      <c r="H118" s="22" t="s">
        <v>974</v>
      </c>
      <c r="I118" s="22" t="s">
        <v>975</v>
      </c>
      <c r="J118" s="22" t="s">
        <v>976</v>
      </c>
      <c r="K118" s="22" t="s">
        <v>255</v>
      </c>
      <c r="L118" s="22" t="s">
        <v>977</v>
      </c>
      <c r="M118" s="24" t="s">
        <v>973</v>
      </c>
    </row>
    <row r="119" spans="1:13" ht="64" x14ac:dyDescent="0.2">
      <c r="A119" s="21" t="s">
        <v>211</v>
      </c>
      <c r="B119" s="21" t="s">
        <v>328</v>
      </c>
      <c r="C119" s="22" t="s">
        <v>978</v>
      </c>
      <c r="D119" s="22" t="s">
        <v>979</v>
      </c>
      <c r="E119" s="25" t="s">
        <v>980</v>
      </c>
      <c r="F119" s="21" t="s">
        <v>226</v>
      </c>
      <c r="G119" s="24" t="s">
        <v>981</v>
      </c>
      <c r="H119" s="22" t="s">
        <v>974</v>
      </c>
      <c r="I119" s="22" t="s">
        <v>982</v>
      </c>
      <c r="J119" s="22" t="s">
        <v>983</v>
      </c>
      <c r="K119" s="22" t="s">
        <v>255</v>
      </c>
      <c r="L119" s="22" t="s">
        <v>984</v>
      </c>
      <c r="M119" s="24" t="s">
        <v>985</v>
      </c>
    </row>
    <row r="120" spans="1:13" ht="48" x14ac:dyDescent="0.2">
      <c r="A120" s="21" t="s">
        <v>212</v>
      </c>
      <c r="B120" s="21" t="s">
        <v>263</v>
      </c>
      <c r="C120" s="22" t="s">
        <v>986</v>
      </c>
      <c r="D120" s="22" t="s">
        <v>987</v>
      </c>
      <c r="E120" s="25" t="s">
        <v>988</v>
      </c>
      <c r="F120" s="21" t="s">
        <v>251</v>
      </c>
      <c r="G120" s="24" t="s">
        <v>989</v>
      </c>
      <c r="H120" s="22" t="s">
        <v>974</v>
      </c>
      <c r="I120" s="22" t="s">
        <v>990</v>
      </c>
      <c r="J120" s="22" t="s">
        <v>991</v>
      </c>
      <c r="K120" s="22" t="s">
        <v>255</v>
      </c>
      <c r="L120" s="22" t="s">
        <v>992</v>
      </c>
      <c r="M120" s="24" t="s">
        <v>989</v>
      </c>
    </row>
    <row r="121" spans="1:13" ht="32" x14ac:dyDescent="0.2">
      <c r="A121" s="21" t="s">
        <v>213</v>
      </c>
      <c r="B121" s="21" t="s">
        <v>328</v>
      </c>
      <c r="C121" s="22" t="s">
        <v>993</v>
      </c>
      <c r="D121" s="22" t="s">
        <v>994</v>
      </c>
      <c r="E121" s="25" t="s">
        <v>617</v>
      </c>
      <c r="F121" s="21" t="s">
        <v>226</v>
      </c>
      <c r="G121" s="24" t="s">
        <v>995</v>
      </c>
      <c r="H121" s="22" t="s">
        <v>996</v>
      </c>
      <c r="I121" s="22"/>
      <c r="J121" s="22"/>
      <c r="K121" s="22" t="s">
        <v>255</v>
      </c>
      <c r="L121" s="22" t="s">
        <v>997</v>
      </c>
      <c r="M121" s="24" t="s">
        <v>998</v>
      </c>
    </row>
    <row r="122" spans="1:13" ht="48" x14ac:dyDescent="0.2">
      <c r="A122" s="21" t="s">
        <v>214</v>
      </c>
      <c r="B122" s="21" t="s">
        <v>328</v>
      </c>
      <c r="C122" s="22" t="s">
        <v>999</v>
      </c>
      <c r="D122" s="22" t="s">
        <v>330</v>
      </c>
      <c r="E122" s="25" t="s">
        <v>1000</v>
      </c>
      <c r="F122" s="21" t="s">
        <v>226</v>
      </c>
      <c r="G122" s="24"/>
      <c r="H122" s="22" t="s">
        <v>999</v>
      </c>
      <c r="I122" s="22"/>
      <c r="J122" s="22"/>
      <c r="K122" s="22" t="s">
        <v>464</v>
      </c>
      <c r="L122" s="22" t="s">
        <v>1001</v>
      </c>
      <c r="M122" s="24" t="s">
        <v>1002</v>
      </c>
    </row>
    <row r="123" spans="1:13" ht="78" customHeight="1" x14ac:dyDescent="0.15">
      <c r="A123" s="99" t="s">
        <v>215</v>
      </c>
      <c r="B123" s="99" t="s">
        <v>263</v>
      </c>
      <c r="C123" s="99" t="s">
        <v>1003</v>
      </c>
      <c r="D123" s="99" t="s">
        <v>1004</v>
      </c>
      <c r="E123" s="99" t="s">
        <v>1005</v>
      </c>
      <c r="F123" s="99" t="s">
        <v>251</v>
      </c>
      <c r="G123" s="99" t="s">
        <v>1006</v>
      </c>
      <c r="H123" s="99" t="s">
        <v>1007</v>
      </c>
      <c r="I123" s="99" t="s">
        <v>1008</v>
      </c>
      <c r="J123" s="99" t="s">
        <v>1009</v>
      </c>
      <c r="K123" s="99" t="s">
        <v>255</v>
      </c>
      <c r="L123" s="99" t="s">
        <v>1010</v>
      </c>
      <c r="M123" s="99" t="s">
        <v>1006</v>
      </c>
    </row>
    <row r="124" spans="1:13" ht="100" customHeight="1" x14ac:dyDescent="0.15">
      <c r="A124" s="85" t="s">
        <v>1011</v>
      </c>
      <c r="B124" s="85" t="s">
        <v>328</v>
      </c>
      <c r="C124" s="85" t="s">
        <v>1012</v>
      </c>
      <c r="D124" s="85" t="s">
        <v>1013</v>
      </c>
      <c r="E124" s="85" t="s">
        <v>617</v>
      </c>
      <c r="F124" s="85" t="s">
        <v>226</v>
      </c>
      <c r="G124" s="85"/>
      <c r="H124" s="85" t="s">
        <v>1014</v>
      </c>
      <c r="I124" s="85" t="s">
        <v>770</v>
      </c>
      <c r="J124" s="85" t="s">
        <v>1015</v>
      </c>
      <c r="K124" s="117" t="s">
        <v>255</v>
      </c>
      <c r="L124" s="85" t="s">
        <v>1016</v>
      </c>
      <c r="M124" s="85" t="s">
        <v>1017</v>
      </c>
    </row>
    <row r="125" spans="1:13" ht="100" customHeight="1" x14ac:dyDescent="0.15">
      <c r="A125" s="85" t="s">
        <v>1018</v>
      </c>
      <c r="B125" s="85" t="s">
        <v>328</v>
      </c>
      <c r="C125" s="85" t="s">
        <v>1019</v>
      </c>
      <c r="D125" s="85" t="s">
        <v>565</v>
      </c>
      <c r="E125" s="85" t="s">
        <v>1000</v>
      </c>
      <c r="F125" s="85" t="s">
        <v>226</v>
      </c>
      <c r="G125" s="85"/>
      <c r="H125" s="85" t="s">
        <v>1020</v>
      </c>
      <c r="I125" s="85" t="s">
        <v>1021</v>
      </c>
      <c r="J125" s="85" t="s">
        <v>1015</v>
      </c>
      <c r="K125" s="117" t="s">
        <v>255</v>
      </c>
      <c r="L125" s="85" t="s">
        <v>1022</v>
      </c>
      <c r="M125" s="85" t="s">
        <v>1023</v>
      </c>
    </row>
    <row r="126" spans="1:13" ht="100" customHeight="1" x14ac:dyDescent="0.15">
      <c r="A126" s="85" t="s">
        <v>1024</v>
      </c>
      <c r="B126" s="85" t="s">
        <v>263</v>
      </c>
      <c r="C126" s="85" t="s">
        <v>1025</v>
      </c>
      <c r="D126" s="85" t="s">
        <v>1026</v>
      </c>
      <c r="E126" s="85" t="s">
        <v>1027</v>
      </c>
      <c r="F126" s="85" t="s">
        <v>1028</v>
      </c>
      <c r="G126" s="85" t="s">
        <v>1029</v>
      </c>
      <c r="H126" s="85" t="s">
        <v>1030</v>
      </c>
      <c r="I126" s="85" t="s">
        <v>1031</v>
      </c>
      <c r="J126" s="85" t="s">
        <v>1015</v>
      </c>
      <c r="K126" s="85" t="s">
        <v>325</v>
      </c>
      <c r="L126" s="85" t="s">
        <v>1032</v>
      </c>
      <c r="M126" s="85" t="s">
        <v>1029</v>
      </c>
    </row>
    <row r="127" spans="1:13" ht="100" customHeight="1" x14ac:dyDescent="0.15">
      <c r="A127" s="85" t="s">
        <v>1033</v>
      </c>
      <c r="B127" s="85" t="s">
        <v>328</v>
      </c>
      <c r="C127" s="85" t="s">
        <v>1034</v>
      </c>
      <c r="D127" s="85" t="s">
        <v>330</v>
      </c>
      <c r="E127" s="85" t="s">
        <v>1035</v>
      </c>
      <c r="F127" s="85" t="s">
        <v>226</v>
      </c>
      <c r="G127" s="85"/>
      <c r="H127" s="85" t="s">
        <v>1030</v>
      </c>
      <c r="I127" s="85" t="s">
        <v>1036</v>
      </c>
      <c r="J127" s="85" t="s">
        <v>1015</v>
      </c>
      <c r="K127" s="117" t="s">
        <v>255</v>
      </c>
      <c r="L127" s="85" t="s">
        <v>1037</v>
      </c>
      <c r="M127" s="85" t="s">
        <v>1038</v>
      </c>
    </row>
    <row r="128" spans="1:13" ht="100" customHeight="1" x14ac:dyDescent="0.15">
      <c r="A128" s="85" t="s">
        <v>1039</v>
      </c>
      <c r="B128" s="85" t="s">
        <v>249</v>
      </c>
      <c r="C128" s="85" t="s">
        <v>1040</v>
      </c>
      <c r="D128" s="85" t="s">
        <v>1041</v>
      </c>
      <c r="E128" s="85" t="s">
        <v>1042</v>
      </c>
      <c r="F128" s="85"/>
      <c r="G128" s="85"/>
      <c r="H128" s="85" t="s">
        <v>1030</v>
      </c>
      <c r="I128" s="85" t="s">
        <v>1043</v>
      </c>
      <c r="J128" s="85" t="s">
        <v>1015</v>
      </c>
      <c r="K128" s="117" t="s">
        <v>255</v>
      </c>
      <c r="L128" s="85" t="s">
        <v>1044</v>
      </c>
      <c r="M128" s="85" t="s">
        <v>1045</v>
      </c>
    </row>
  </sheetData>
  <conditionalFormatting sqref="Q2:Q54">
    <cfRule type="containsText" dxfId="11" priority="2" operator="containsText" text="Prüfen">
      <formula>NOT(ISERROR(SEARCH("Prüfen",Q2)))</formula>
    </cfRule>
    <cfRule type="containsText" dxfId="10" priority="3" operator="containsText" text="OK">
      <formula>NOT(ISERROR(SEARCH("OK",Q2)))</formula>
    </cfRule>
  </conditionalFormatting>
  <conditionalFormatting sqref="S2:S54">
    <cfRule type="duplicateValues" dxfId="9" priority="4"/>
  </conditionalFormatting>
  <dataValidations count="1">
    <dataValidation type="list" sqref="Q1:Q119 Q123:Q1093" xr:uid="{00000000-0002-0000-0000-000000000000}">
      <formula1>"OK,Prüfen,Legacy"</formula1>
      <formula2>0</formula2>
    </dataValidation>
  </dataValidations>
  <hyperlinks>
    <hyperlink ref="C23" r:id="rId1" xr:uid="{00000000-0004-0000-0000-000000000000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96"/>
  <sheetViews>
    <sheetView showGridLines="0" workbookViewId="0">
      <selection activeCell="B6" sqref="B6"/>
    </sheetView>
  </sheetViews>
  <sheetFormatPr baseColWidth="10" defaultColWidth="8.83203125" defaultRowHeight="13" x14ac:dyDescent="0.15"/>
  <cols>
    <col min="1" max="1" width="14" customWidth="1"/>
    <col min="2" max="2" width="41" customWidth="1"/>
    <col min="4" max="4" width="12" customWidth="1"/>
    <col min="5" max="6" width="54" customWidth="1"/>
    <col min="7" max="7" width="72" customWidth="1"/>
  </cols>
  <sheetData>
    <row r="1" spans="1:7" ht="15" x14ac:dyDescent="0.15">
      <c r="A1" s="1" t="s">
        <v>13</v>
      </c>
      <c r="B1" s="1" t="s">
        <v>14</v>
      </c>
      <c r="C1" s="1" t="s">
        <v>15</v>
      </c>
      <c r="D1" s="1" t="s">
        <v>16</v>
      </c>
      <c r="E1" s="1" t="s">
        <v>17</v>
      </c>
      <c r="F1" s="1" t="s">
        <v>18</v>
      </c>
      <c r="G1" s="1" t="s">
        <v>11</v>
      </c>
    </row>
    <row r="2" spans="1:7" ht="65" customHeight="1" x14ac:dyDescent="0.15">
      <c r="A2" s="85" t="s">
        <v>36</v>
      </c>
      <c r="B2" s="85" t="s">
        <v>37</v>
      </c>
      <c r="C2" s="85" t="s">
        <v>1046</v>
      </c>
      <c r="D2" s="85" t="s">
        <v>1047</v>
      </c>
      <c r="E2" s="85" t="s">
        <v>1048</v>
      </c>
      <c r="F2" s="85" t="s">
        <v>1049</v>
      </c>
      <c r="G2" s="85" t="s">
        <v>1050</v>
      </c>
    </row>
    <row r="3" spans="1:7" ht="65" customHeight="1" x14ac:dyDescent="0.15">
      <c r="A3" s="85" t="s">
        <v>40</v>
      </c>
      <c r="B3" s="85" t="s">
        <v>41</v>
      </c>
      <c r="C3" s="85" t="s">
        <v>1051</v>
      </c>
      <c r="D3" s="85" t="s">
        <v>1047</v>
      </c>
      <c r="E3" s="85" t="s">
        <v>1052</v>
      </c>
      <c r="F3" s="85" t="s">
        <v>1053</v>
      </c>
      <c r="G3" s="85" t="s">
        <v>1054</v>
      </c>
    </row>
    <row r="4" spans="1:7" ht="65" customHeight="1" x14ac:dyDescent="0.15">
      <c r="A4" s="85" t="s">
        <v>43</v>
      </c>
      <c r="B4" s="85" t="s">
        <v>44</v>
      </c>
      <c r="C4" s="85" t="s">
        <v>1055</v>
      </c>
      <c r="D4" s="85" t="s">
        <v>1047</v>
      </c>
      <c r="E4" s="85" t="s">
        <v>1056</v>
      </c>
      <c r="F4" s="85" t="s">
        <v>1057</v>
      </c>
      <c r="G4" s="85" t="s">
        <v>1058</v>
      </c>
    </row>
    <row r="5" spans="1:7" ht="65" customHeight="1" x14ac:dyDescent="0.15">
      <c r="A5" s="85" t="s">
        <v>45</v>
      </c>
      <c r="B5" s="85" t="s">
        <v>1059</v>
      </c>
      <c r="C5" s="85" t="s">
        <v>1060</v>
      </c>
      <c r="D5" s="85" t="s">
        <v>464</v>
      </c>
      <c r="E5" s="85" t="s">
        <v>1061</v>
      </c>
      <c r="F5" s="85" t="s">
        <v>1062</v>
      </c>
      <c r="G5" s="85" t="s">
        <v>1063</v>
      </c>
    </row>
    <row r="6" spans="1:7" ht="65" customHeight="1" x14ac:dyDescent="0.15">
      <c r="A6" s="85" t="s">
        <v>48</v>
      </c>
      <c r="B6" s="85" t="s">
        <v>49</v>
      </c>
      <c r="C6" s="85" t="s">
        <v>1064</v>
      </c>
      <c r="D6" s="85" t="s">
        <v>1065</v>
      </c>
      <c r="E6" s="85" t="s">
        <v>1066</v>
      </c>
      <c r="F6" s="85" t="s">
        <v>1067</v>
      </c>
      <c r="G6" s="85" t="s">
        <v>1068</v>
      </c>
    </row>
    <row r="7" spans="1:7" ht="65" customHeight="1" x14ac:dyDescent="0.15">
      <c r="A7" s="85" t="s">
        <v>50</v>
      </c>
      <c r="B7" s="85" t="s">
        <v>51</v>
      </c>
      <c r="C7" s="85" t="s">
        <v>1051</v>
      </c>
      <c r="D7" s="85" t="s">
        <v>1065</v>
      </c>
      <c r="E7" s="85" t="s">
        <v>1069</v>
      </c>
      <c r="F7" s="85" t="s">
        <v>1070</v>
      </c>
      <c r="G7" s="85" t="s">
        <v>1071</v>
      </c>
    </row>
    <row r="8" spans="1:7" ht="65" customHeight="1" x14ac:dyDescent="0.15">
      <c r="A8" s="85" t="s">
        <v>54</v>
      </c>
      <c r="B8" s="85" t="s">
        <v>1072</v>
      </c>
      <c r="C8" s="85" t="s">
        <v>1064</v>
      </c>
      <c r="D8" s="85" t="s">
        <v>1047</v>
      </c>
      <c r="E8" s="85" t="s">
        <v>1073</v>
      </c>
      <c r="F8" s="85" t="s">
        <v>1074</v>
      </c>
      <c r="G8" s="85" t="s">
        <v>1075</v>
      </c>
    </row>
    <row r="9" spans="1:7" ht="65" customHeight="1" x14ac:dyDescent="0.15">
      <c r="A9" s="85" t="s">
        <v>57</v>
      </c>
      <c r="B9" s="85" t="s">
        <v>1076</v>
      </c>
      <c r="C9" s="85" t="s">
        <v>1077</v>
      </c>
      <c r="D9" s="85" t="s">
        <v>1065</v>
      </c>
      <c r="E9" s="85" t="s">
        <v>1078</v>
      </c>
      <c r="F9" s="85" t="s">
        <v>1079</v>
      </c>
      <c r="G9" s="85" t="s">
        <v>1080</v>
      </c>
    </row>
    <row r="10" spans="1:7" ht="65" customHeight="1" x14ac:dyDescent="0.15">
      <c r="A10" s="85" t="s">
        <v>1081</v>
      </c>
      <c r="B10" s="85" t="s">
        <v>1082</v>
      </c>
      <c r="C10" s="85" t="s">
        <v>1064</v>
      </c>
      <c r="D10" s="85" t="s">
        <v>1047</v>
      </c>
      <c r="E10" s="85" t="s">
        <v>1083</v>
      </c>
      <c r="F10" s="85" t="s">
        <v>1084</v>
      </c>
      <c r="G10" s="85" t="s">
        <v>1085</v>
      </c>
    </row>
    <row r="11" spans="1:7" ht="65" customHeight="1" x14ac:dyDescent="0.15">
      <c r="A11" s="85" t="s">
        <v>1086</v>
      </c>
      <c r="B11" s="85" t="s">
        <v>1087</v>
      </c>
      <c r="C11" s="85" t="s">
        <v>1064</v>
      </c>
      <c r="D11" s="85" t="s">
        <v>1047</v>
      </c>
      <c r="E11" s="85" t="s">
        <v>1088</v>
      </c>
      <c r="F11" s="85" t="s">
        <v>1089</v>
      </c>
      <c r="G11" s="85" t="s">
        <v>1090</v>
      </c>
    </row>
    <row r="12" spans="1:7" x14ac:dyDescent="0.15">
      <c r="D12" s="26"/>
    </row>
    <row r="13" spans="1:7" x14ac:dyDescent="0.15">
      <c r="D13" s="26"/>
    </row>
    <row r="14" spans="1:7" x14ac:dyDescent="0.15">
      <c r="D14" s="26"/>
    </row>
    <row r="15" spans="1:7" x14ac:dyDescent="0.15">
      <c r="D15" s="26"/>
    </row>
    <row r="16" spans="1:7" x14ac:dyDescent="0.15">
      <c r="D16" s="26"/>
    </row>
    <row r="17" spans="4:4" x14ac:dyDescent="0.15">
      <c r="D17" s="26"/>
    </row>
    <row r="18" spans="4:4" x14ac:dyDescent="0.15">
      <c r="D18" s="26"/>
    </row>
    <row r="19" spans="4:4" x14ac:dyDescent="0.15">
      <c r="D19" s="26"/>
    </row>
    <row r="20" spans="4:4" x14ac:dyDescent="0.15">
      <c r="D20" s="26"/>
    </row>
    <row r="21" spans="4:4" x14ac:dyDescent="0.15">
      <c r="D21" s="26"/>
    </row>
    <row r="22" spans="4:4" x14ac:dyDescent="0.15">
      <c r="D22" s="26"/>
    </row>
    <row r="23" spans="4:4" x14ac:dyDescent="0.15">
      <c r="D23" s="26"/>
    </row>
    <row r="24" spans="4:4" x14ac:dyDescent="0.15">
      <c r="D24" s="26"/>
    </row>
    <row r="25" spans="4:4" x14ac:dyDescent="0.15">
      <c r="D25" s="26"/>
    </row>
    <row r="26" spans="4:4" x14ac:dyDescent="0.15">
      <c r="D26" s="26"/>
    </row>
    <row r="27" spans="4:4" x14ac:dyDescent="0.15">
      <c r="D27" s="26"/>
    </row>
    <row r="28" spans="4:4" x14ac:dyDescent="0.15">
      <c r="D28" s="26"/>
    </row>
    <row r="29" spans="4:4" x14ac:dyDescent="0.15">
      <c r="D29" s="26"/>
    </row>
    <row r="30" spans="4:4" x14ac:dyDescent="0.15">
      <c r="D30" s="26"/>
    </row>
    <row r="31" spans="4:4" x14ac:dyDescent="0.15">
      <c r="D31" s="26"/>
    </row>
    <row r="32" spans="4:4" x14ac:dyDescent="0.15">
      <c r="D32" s="26"/>
    </row>
    <row r="33" spans="4:4" x14ac:dyDescent="0.15">
      <c r="D33" s="26"/>
    </row>
    <row r="34" spans="4:4" x14ac:dyDescent="0.15">
      <c r="D34" s="26"/>
    </row>
    <row r="35" spans="4:4" x14ac:dyDescent="0.15">
      <c r="D35" s="26"/>
    </row>
    <row r="36" spans="4:4" x14ac:dyDescent="0.15">
      <c r="D36" s="26"/>
    </row>
    <row r="37" spans="4:4" x14ac:dyDescent="0.15">
      <c r="D37" s="26"/>
    </row>
    <row r="38" spans="4:4" x14ac:dyDescent="0.15">
      <c r="D38" s="26"/>
    </row>
    <row r="39" spans="4:4" x14ac:dyDescent="0.15">
      <c r="D39" s="26"/>
    </row>
    <row r="40" spans="4:4" x14ac:dyDescent="0.15">
      <c r="D40" s="26"/>
    </row>
    <row r="41" spans="4:4" x14ac:dyDescent="0.15">
      <c r="D41" s="26"/>
    </row>
    <row r="42" spans="4:4" x14ac:dyDescent="0.15">
      <c r="D42" s="26"/>
    </row>
    <row r="43" spans="4:4" x14ac:dyDescent="0.15">
      <c r="D43" s="26"/>
    </row>
    <row r="44" spans="4:4" x14ac:dyDescent="0.15">
      <c r="D44" s="26"/>
    </row>
    <row r="45" spans="4:4" x14ac:dyDescent="0.15">
      <c r="D45" s="26"/>
    </row>
    <row r="46" spans="4:4" x14ac:dyDescent="0.15">
      <c r="D46" s="26"/>
    </row>
    <row r="47" spans="4:4" x14ac:dyDescent="0.15">
      <c r="D47" s="26"/>
    </row>
    <row r="48" spans="4:4" x14ac:dyDescent="0.15">
      <c r="D48" s="26"/>
    </row>
    <row r="49" spans="4:4" x14ac:dyDescent="0.15">
      <c r="D49" s="26"/>
    </row>
    <row r="50" spans="4:4" x14ac:dyDescent="0.15">
      <c r="D50" s="26"/>
    </row>
    <row r="51" spans="4:4" x14ac:dyDescent="0.15">
      <c r="D51" s="26"/>
    </row>
    <row r="52" spans="4:4" x14ac:dyDescent="0.15">
      <c r="D52" s="26"/>
    </row>
    <row r="53" spans="4:4" x14ac:dyDescent="0.15">
      <c r="D53" s="26"/>
    </row>
    <row r="54" spans="4:4" x14ac:dyDescent="0.15">
      <c r="D54" s="26"/>
    </row>
    <row r="55" spans="4:4" x14ac:dyDescent="0.15">
      <c r="D55" s="26"/>
    </row>
    <row r="56" spans="4:4" x14ac:dyDescent="0.15">
      <c r="D56" s="26"/>
    </row>
    <row r="57" spans="4:4" x14ac:dyDescent="0.15">
      <c r="D57" s="26"/>
    </row>
    <row r="58" spans="4:4" x14ac:dyDescent="0.15">
      <c r="D58" s="26"/>
    </row>
    <row r="59" spans="4:4" x14ac:dyDescent="0.15">
      <c r="D59" s="26"/>
    </row>
    <row r="60" spans="4:4" x14ac:dyDescent="0.15">
      <c r="D60" s="26"/>
    </row>
    <row r="61" spans="4:4" x14ac:dyDescent="0.15">
      <c r="D61" s="26"/>
    </row>
    <row r="62" spans="4:4" x14ac:dyDescent="0.15">
      <c r="D62" s="26"/>
    </row>
    <row r="63" spans="4:4" x14ac:dyDescent="0.15">
      <c r="D63" s="26"/>
    </row>
    <row r="64" spans="4:4" x14ac:dyDescent="0.15">
      <c r="D64" s="26"/>
    </row>
    <row r="65" spans="4:4" x14ac:dyDescent="0.15">
      <c r="D65" s="26"/>
    </row>
    <row r="66" spans="4:4" x14ac:dyDescent="0.15">
      <c r="D66" s="26"/>
    </row>
    <row r="67" spans="4:4" x14ac:dyDescent="0.15">
      <c r="D67" s="26"/>
    </row>
    <row r="68" spans="4:4" x14ac:dyDescent="0.15">
      <c r="D68" s="26"/>
    </row>
    <row r="69" spans="4:4" x14ac:dyDescent="0.15">
      <c r="D69" s="26"/>
    </row>
    <row r="70" spans="4:4" x14ac:dyDescent="0.15">
      <c r="D70" s="26"/>
    </row>
    <row r="71" spans="4:4" x14ac:dyDescent="0.15">
      <c r="D71" s="26"/>
    </row>
    <row r="72" spans="4:4" x14ac:dyDescent="0.15">
      <c r="D72" s="26"/>
    </row>
    <row r="73" spans="4:4" x14ac:dyDescent="0.15">
      <c r="D73" s="26"/>
    </row>
    <row r="74" spans="4:4" x14ac:dyDescent="0.15">
      <c r="D74" s="26"/>
    </row>
    <row r="75" spans="4:4" x14ac:dyDescent="0.15">
      <c r="D75" s="26"/>
    </row>
    <row r="76" spans="4:4" x14ac:dyDescent="0.15">
      <c r="D76" s="26"/>
    </row>
    <row r="77" spans="4:4" x14ac:dyDescent="0.15">
      <c r="D77" s="26"/>
    </row>
    <row r="78" spans="4:4" x14ac:dyDescent="0.15">
      <c r="D78" s="26"/>
    </row>
    <row r="79" spans="4:4" x14ac:dyDescent="0.15">
      <c r="D79" s="26"/>
    </row>
    <row r="80" spans="4:4" x14ac:dyDescent="0.15">
      <c r="D80" s="26"/>
    </row>
    <row r="81" spans="4:4" x14ac:dyDescent="0.15">
      <c r="D81" s="26"/>
    </row>
    <row r="82" spans="4:4" x14ac:dyDescent="0.15">
      <c r="D82" s="26"/>
    </row>
    <row r="83" spans="4:4" x14ac:dyDescent="0.15">
      <c r="D83" s="26"/>
    </row>
    <row r="84" spans="4:4" x14ac:dyDescent="0.15">
      <c r="D84" s="26"/>
    </row>
    <row r="85" spans="4:4" x14ac:dyDescent="0.15">
      <c r="D85" s="26"/>
    </row>
    <row r="86" spans="4:4" x14ac:dyDescent="0.15">
      <c r="D86" s="26"/>
    </row>
    <row r="87" spans="4:4" x14ac:dyDescent="0.15">
      <c r="D87" s="26"/>
    </row>
    <row r="88" spans="4:4" x14ac:dyDescent="0.15">
      <c r="D88" s="26"/>
    </row>
    <row r="89" spans="4:4" x14ac:dyDescent="0.15">
      <c r="D89" s="26"/>
    </row>
    <row r="90" spans="4:4" x14ac:dyDescent="0.15">
      <c r="D90" s="26"/>
    </row>
    <row r="91" spans="4:4" x14ac:dyDescent="0.15">
      <c r="D91" s="26"/>
    </row>
    <row r="92" spans="4:4" x14ac:dyDescent="0.15">
      <c r="D92" s="26"/>
    </row>
    <row r="93" spans="4:4" x14ac:dyDescent="0.15">
      <c r="D93" s="26"/>
    </row>
    <row r="94" spans="4:4" x14ac:dyDescent="0.15">
      <c r="D94" s="26"/>
    </row>
    <row r="95" spans="4:4" x14ac:dyDescent="0.15">
      <c r="D95" s="26"/>
    </row>
    <row r="96" spans="4:4" x14ac:dyDescent="0.15">
      <c r="D96" s="26"/>
    </row>
    <row r="97" spans="4:4" x14ac:dyDescent="0.15">
      <c r="D97" s="26"/>
    </row>
    <row r="98" spans="4:4" x14ac:dyDescent="0.15">
      <c r="D98" s="26"/>
    </row>
    <row r="99" spans="4:4" x14ac:dyDescent="0.15">
      <c r="D99" s="26"/>
    </row>
    <row r="100" spans="4:4" x14ac:dyDescent="0.15">
      <c r="D100" s="26"/>
    </row>
    <row r="101" spans="4:4" x14ac:dyDescent="0.15">
      <c r="D101" s="26"/>
    </row>
    <row r="102" spans="4:4" x14ac:dyDescent="0.15">
      <c r="D102" s="26"/>
    </row>
    <row r="103" spans="4:4" x14ac:dyDescent="0.15">
      <c r="D103" s="26"/>
    </row>
    <row r="104" spans="4:4" x14ac:dyDescent="0.15">
      <c r="D104" s="26"/>
    </row>
    <row r="105" spans="4:4" x14ac:dyDescent="0.15">
      <c r="D105" s="26"/>
    </row>
    <row r="106" spans="4:4" x14ac:dyDescent="0.15">
      <c r="D106" s="26"/>
    </row>
    <row r="107" spans="4:4" x14ac:dyDescent="0.15">
      <c r="D107" s="26"/>
    </row>
    <row r="108" spans="4:4" x14ac:dyDescent="0.15">
      <c r="D108" s="26"/>
    </row>
    <row r="109" spans="4:4" x14ac:dyDescent="0.15">
      <c r="D109" s="26"/>
    </row>
    <row r="110" spans="4:4" x14ac:dyDescent="0.15">
      <c r="D110" s="26"/>
    </row>
    <row r="111" spans="4:4" x14ac:dyDescent="0.15">
      <c r="D111" s="26"/>
    </row>
    <row r="112" spans="4:4" x14ac:dyDescent="0.15">
      <c r="D112" s="26"/>
    </row>
    <row r="113" spans="4:4" x14ac:dyDescent="0.15">
      <c r="D113" s="26"/>
    </row>
    <row r="114" spans="4:4" x14ac:dyDescent="0.15">
      <c r="D114" s="26"/>
    </row>
    <row r="115" spans="4:4" x14ac:dyDescent="0.15">
      <c r="D115" s="26"/>
    </row>
    <row r="116" spans="4:4" x14ac:dyDescent="0.15">
      <c r="D116" s="26"/>
    </row>
    <row r="117" spans="4:4" x14ac:dyDescent="0.15">
      <c r="D117" s="26"/>
    </row>
    <row r="118" spans="4:4" x14ac:dyDescent="0.15">
      <c r="D118" s="26"/>
    </row>
    <row r="119" spans="4:4" x14ac:dyDescent="0.15">
      <c r="D119" s="26"/>
    </row>
    <row r="120" spans="4:4" x14ac:dyDescent="0.15">
      <c r="D120" s="26"/>
    </row>
    <row r="121" spans="4:4" x14ac:dyDescent="0.15">
      <c r="D121" s="26"/>
    </row>
    <row r="122" spans="4:4" x14ac:dyDescent="0.15">
      <c r="D122" s="26"/>
    </row>
    <row r="123" spans="4:4" x14ac:dyDescent="0.15">
      <c r="D123" s="26"/>
    </row>
    <row r="124" spans="4:4" x14ac:dyDescent="0.15">
      <c r="D124" s="26"/>
    </row>
    <row r="125" spans="4:4" x14ac:dyDescent="0.15">
      <c r="D125" s="26"/>
    </row>
    <row r="126" spans="4:4" x14ac:dyDescent="0.15">
      <c r="D126" s="26"/>
    </row>
    <row r="127" spans="4:4" x14ac:dyDescent="0.15">
      <c r="D127" s="26"/>
    </row>
    <row r="128" spans="4:4" x14ac:dyDescent="0.15">
      <c r="D128" s="26"/>
    </row>
    <row r="129" spans="4:4" x14ac:dyDescent="0.15">
      <c r="D129" s="26"/>
    </row>
    <row r="130" spans="4:4" x14ac:dyDescent="0.15">
      <c r="D130" s="26"/>
    </row>
    <row r="131" spans="4:4" x14ac:dyDescent="0.15">
      <c r="D131" s="26"/>
    </row>
    <row r="132" spans="4:4" x14ac:dyDescent="0.15">
      <c r="D132" s="26"/>
    </row>
    <row r="133" spans="4:4" x14ac:dyDescent="0.15">
      <c r="D133" s="26"/>
    </row>
    <row r="134" spans="4:4" x14ac:dyDescent="0.15">
      <c r="D134" s="26"/>
    </row>
    <row r="135" spans="4:4" x14ac:dyDescent="0.15">
      <c r="D135" s="26"/>
    </row>
    <row r="136" spans="4:4" x14ac:dyDescent="0.15">
      <c r="D136" s="26"/>
    </row>
    <row r="137" spans="4:4" x14ac:dyDescent="0.15">
      <c r="D137" s="26"/>
    </row>
    <row r="138" spans="4:4" x14ac:dyDescent="0.15">
      <c r="D138" s="26"/>
    </row>
    <row r="139" spans="4:4" x14ac:dyDescent="0.15">
      <c r="D139" s="26"/>
    </row>
    <row r="140" spans="4:4" x14ac:dyDescent="0.15">
      <c r="D140" s="26"/>
    </row>
    <row r="141" spans="4:4" x14ac:dyDescent="0.15">
      <c r="D141" s="26"/>
    </row>
    <row r="142" spans="4:4" x14ac:dyDescent="0.15">
      <c r="D142" s="26"/>
    </row>
    <row r="143" spans="4:4" x14ac:dyDescent="0.15">
      <c r="D143" s="26"/>
    </row>
    <row r="144" spans="4:4" x14ac:dyDescent="0.15">
      <c r="D144" s="26"/>
    </row>
    <row r="145" spans="4:4" x14ac:dyDescent="0.15">
      <c r="D145" s="26"/>
    </row>
    <row r="146" spans="4:4" x14ac:dyDescent="0.15">
      <c r="D146" s="26"/>
    </row>
    <row r="147" spans="4:4" x14ac:dyDescent="0.15">
      <c r="D147" s="26"/>
    </row>
    <row r="148" spans="4:4" x14ac:dyDescent="0.15">
      <c r="D148" s="26"/>
    </row>
    <row r="149" spans="4:4" x14ac:dyDescent="0.15">
      <c r="D149" s="26"/>
    </row>
    <row r="150" spans="4:4" x14ac:dyDescent="0.15">
      <c r="D150" s="26"/>
    </row>
    <row r="151" spans="4:4" x14ac:dyDescent="0.15">
      <c r="D151" s="26"/>
    </row>
    <row r="152" spans="4:4" x14ac:dyDescent="0.15">
      <c r="D152" s="26"/>
    </row>
    <row r="153" spans="4:4" x14ac:dyDescent="0.15">
      <c r="D153" s="26"/>
    </row>
    <row r="154" spans="4:4" x14ac:dyDescent="0.15">
      <c r="D154" s="26"/>
    </row>
    <row r="155" spans="4:4" x14ac:dyDescent="0.15">
      <c r="D155" s="26"/>
    </row>
    <row r="156" spans="4:4" x14ac:dyDescent="0.15">
      <c r="D156" s="26"/>
    </row>
    <row r="157" spans="4:4" x14ac:dyDescent="0.15">
      <c r="D157" s="26"/>
    </row>
    <row r="158" spans="4:4" x14ac:dyDescent="0.15">
      <c r="D158" s="26"/>
    </row>
    <row r="159" spans="4:4" x14ac:dyDescent="0.15">
      <c r="D159" s="26"/>
    </row>
    <row r="160" spans="4:4" x14ac:dyDescent="0.15">
      <c r="D160" s="26"/>
    </row>
    <row r="161" spans="4:4" x14ac:dyDescent="0.15">
      <c r="D161" s="26"/>
    </row>
    <row r="162" spans="4:4" x14ac:dyDescent="0.15">
      <c r="D162" s="26"/>
    </row>
    <row r="163" spans="4:4" x14ac:dyDescent="0.15">
      <c r="D163" s="26"/>
    </row>
    <row r="164" spans="4:4" x14ac:dyDescent="0.15">
      <c r="D164" s="26"/>
    </row>
    <row r="165" spans="4:4" x14ac:dyDescent="0.15">
      <c r="D165" s="26"/>
    </row>
    <row r="166" spans="4:4" x14ac:dyDescent="0.15">
      <c r="D166" s="26"/>
    </row>
    <row r="167" spans="4:4" x14ac:dyDescent="0.15">
      <c r="D167" s="26"/>
    </row>
    <row r="168" spans="4:4" x14ac:dyDescent="0.15">
      <c r="D168" s="26"/>
    </row>
    <row r="169" spans="4:4" x14ac:dyDescent="0.15">
      <c r="D169" s="26"/>
    </row>
    <row r="170" spans="4:4" x14ac:dyDescent="0.15">
      <c r="D170" s="26"/>
    </row>
    <row r="171" spans="4:4" x14ac:dyDescent="0.15">
      <c r="D171" s="26"/>
    </row>
    <row r="172" spans="4:4" x14ac:dyDescent="0.15">
      <c r="D172" s="26"/>
    </row>
    <row r="173" spans="4:4" x14ac:dyDescent="0.15">
      <c r="D173" s="26"/>
    </row>
    <row r="174" spans="4:4" x14ac:dyDescent="0.15">
      <c r="D174" s="26"/>
    </row>
    <row r="175" spans="4:4" x14ac:dyDescent="0.15">
      <c r="D175" s="26"/>
    </row>
    <row r="176" spans="4:4" x14ac:dyDescent="0.15">
      <c r="D176" s="26"/>
    </row>
    <row r="177" spans="4:4" x14ac:dyDescent="0.15">
      <c r="D177" s="26"/>
    </row>
    <row r="178" spans="4:4" x14ac:dyDescent="0.15">
      <c r="D178" s="26"/>
    </row>
    <row r="179" spans="4:4" x14ac:dyDescent="0.15">
      <c r="D179" s="26"/>
    </row>
    <row r="180" spans="4:4" x14ac:dyDescent="0.15">
      <c r="D180" s="26"/>
    </row>
    <row r="181" spans="4:4" x14ac:dyDescent="0.15">
      <c r="D181" s="26"/>
    </row>
    <row r="182" spans="4:4" x14ac:dyDescent="0.15">
      <c r="D182" s="26"/>
    </row>
    <row r="183" spans="4:4" x14ac:dyDescent="0.15">
      <c r="D183" s="26"/>
    </row>
    <row r="184" spans="4:4" x14ac:dyDescent="0.15">
      <c r="D184" s="26"/>
    </row>
    <row r="185" spans="4:4" x14ac:dyDescent="0.15">
      <c r="D185" s="26"/>
    </row>
    <row r="186" spans="4:4" x14ac:dyDescent="0.15">
      <c r="D186" s="26"/>
    </row>
    <row r="187" spans="4:4" x14ac:dyDescent="0.15">
      <c r="D187" s="26"/>
    </row>
    <row r="188" spans="4:4" x14ac:dyDescent="0.15">
      <c r="D188" s="26"/>
    </row>
    <row r="189" spans="4:4" x14ac:dyDescent="0.15">
      <c r="D189" s="26"/>
    </row>
    <row r="190" spans="4:4" x14ac:dyDescent="0.15">
      <c r="D190" s="26"/>
    </row>
    <row r="191" spans="4:4" x14ac:dyDescent="0.15">
      <c r="D191" s="26"/>
    </row>
    <row r="192" spans="4:4" x14ac:dyDescent="0.15">
      <c r="D192" s="26"/>
    </row>
    <row r="193" spans="4:4" x14ac:dyDescent="0.15">
      <c r="D193" s="26"/>
    </row>
    <row r="194" spans="4:4" x14ac:dyDescent="0.15">
      <c r="D194" s="26"/>
    </row>
    <row r="195" spans="4:4" x14ac:dyDescent="0.15">
      <c r="D195" s="26"/>
    </row>
    <row r="196" spans="4:4" x14ac:dyDescent="0.15">
      <c r="D196" s="26"/>
    </row>
  </sheetData>
  <dataValidations count="1">
    <dataValidation type="list" sqref="D2:D196" xr:uid="{00000000-0002-0000-0100-000000000000}">
      <formula1>"Entwurf,Freigegeben,Legacy"</formula1>
      <formula2>0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16"/>
  <sheetViews>
    <sheetView showGridLines="0" tabSelected="1" topLeftCell="A36" workbookViewId="0">
      <selection activeCell="D62" sqref="D62"/>
    </sheetView>
  </sheetViews>
  <sheetFormatPr baseColWidth="10" defaultColWidth="8.83203125" defaultRowHeight="13" x14ac:dyDescent="0.15"/>
  <cols>
    <col min="1" max="1" width="14" customWidth="1"/>
    <col min="2" max="2" width="13" customWidth="1"/>
    <col min="3" max="3" width="10" customWidth="1"/>
    <col min="4" max="4" width="27.1640625" customWidth="1"/>
    <col min="5" max="5" width="15" customWidth="1"/>
    <col min="6" max="6" width="10" customWidth="1"/>
    <col min="7" max="8" width="13" customWidth="1"/>
    <col min="9" max="9" width="34" customWidth="1"/>
    <col min="10" max="10" width="66" customWidth="1"/>
    <col min="11" max="11" width="17" style="94" customWidth="1"/>
    <col min="12" max="12" width="18" customWidth="1"/>
    <col min="13" max="13" width="255" customWidth="1"/>
    <col min="14" max="14" width="34" customWidth="1"/>
  </cols>
  <sheetData>
    <row r="1" spans="1:14" ht="16" x14ac:dyDescent="0.15">
      <c r="A1" s="3" t="s">
        <v>13</v>
      </c>
      <c r="B1" s="3" t="s">
        <v>19</v>
      </c>
      <c r="C1" s="3" t="s">
        <v>20</v>
      </c>
      <c r="D1" s="3" t="s">
        <v>21</v>
      </c>
      <c r="E1" s="3" t="s">
        <v>22</v>
      </c>
      <c r="F1" s="3" t="s">
        <v>23</v>
      </c>
      <c r="G1" s="3" t="s">
        <v>24</v>
      </c>
      <c r="H1" s="3" t="s">
        <v>25</v>
      </c>
      <c r="I1" s="3" t="s">
        <v>26</v>
      </c>
      <c r="J1" s="3" t="s">
        <v>27</v>
      </c>
      <c r="K1" s="95" t="s">
        <v>28</v>
      </c>
      <c r="L1" s="3" t="s">
        <v>29</v>
      </c>
      <c r="M1" s="3" t="s">
        <v>11</v>
      </c>
      <c r="N1" s="79" t="s">
        <v>30</v>
      </c>
    </row>
    <row r="2" spans="1:14" ht="15" x14ac:dyDescent="0.15">
      <c r="A2" s="85" t="s">
        <v>36</v>
      </c>
      <c r="B2" s="85" t="s">
        <v>1046</v>
      </c>
      <c r="C2" s="100">
        <v>10</v>
      </c>
      <c r="D2" s="85" t="s">
        <v>1091</v>
      </c>
      <c r="E2" s="85" t="s">
        <v>116</v>
      </c>
      <c r="F2" s="100">
        <v>2</v>
      </c>
      <c r="G2" s="85" t="s">
        <v>1092</v>
      </c>
      <c r="H2" s="85" t="s">
        <v>425</v>
      </c>
      <c r="I2" s="85" t="s">
        <v>420</v>
      </c>
      <c r="J2" s="85" t="s">
        <v>421</v>
      </c>
      <c r="K2" s="101">
        <f>IFERROR(IF(_xlfn.XLOOKUP($E2&amp;"|Ja",Part_Suppliers!$L$2:$L$300,Part_Suppliers!$E$2:$E$300,"",0)=0,"",_xlfn.XLOOKUP($E2&amp;"|Ja",Part_Suppliers!$L$2:$L$300,Part_Suppliers!$E$2:$E$300,"",0)),"")</f>
        <v>0.17</v>
      </c>
      <c r="L2" s="101">
        <f t="shared" ref="L2:L33" si="0">IF(K2="","",F2*K2)</f>
        <v>0.34</v>
      </c>
      <c r="M2" s="85"/>
      <c r="N2" s="85" t="str">
        <f>IFERROR(VLOOKUP(E2,Part_Alternatives!$A$2:$K$200,10,FALSE()),"")</f>
        <v/>
      </c>
    </row>
    <row r="3" spans="1:14" ht="15" x14ac:dyDescent="0.15">
      <c r="A3" s="85" t="s">
        <v>36</v>
      </c>
      <c r="B3" s="85" t="s">
        <v>1046</v>
      </c>
      <c r="C3" s="100">
        <v>20</v>
      </c>
      <c r="D3" s="85" t="s">
        <v>1093</v>
      </c>
      <c r="E3" s="85" t="s">
        <v>95</v>
      </c>
      <c r="F3" s="100">
        <v>1</v>
      </c>
      <c r="G3" s="85" t="s">
        <v>1092</v>
      </c>
      <c r="H3" s="85" t="s">
        <v>425</v>
      </c>
      <c r="I3" s="85" t="s">
        <v>289</v>
      </c>
      <c r="J3" s="85" t="s">
        <v>290</v>
      </c>
      <c r="K3" s="101">
        <f>IFERROR(IF(_xlfn.XLOOKUP($E3&amp;"|Ja",Part_Suppliers!$L$2:$L$300,Part_Suppliers!$E$2:$E$300,"",0)=0,"",_xlfn.XLOOKUP($E3&amp;"|Ja",Part_Suppliers!$L$2:$L$300,Part_Suppliers!$E$2:$E$300,"",0)),"")</f>
        <v>0.24</v>
      </c>
      <c r="L3" s="101">
        <f t="shared" si="0"/>
        <v>0.24</v>
      </c>
      <c r="M3" s="85"/>
      <c r="N3" s="85" t="str">
        <f>IFERROR(VLOOKUP(E3,Part_Alternatives!$A$2:$K$200,10,FALSE()),"")</f>
        <v/>
      </c>
    </row>
    <row r="4" spans="1:14" ht="28" x14ac:dyDescent="0.15">
      <c r="A4" s="85" t="s">
        <v>36</v>
      </c>
      <c r="B4" s="85" t="s">
        <v>1046</v>
      </c>
      <c r="C4" s="100">
        <v>30</v>
      </c>
      <c r="D4" s="85" t="s">
        <v>381</v>
      </c>
      <c r="E4" s="85" t="s">
        <v>145</v>
      </c>
      <c r="F4" s="100">
        <v>2</v>
      </c>
      <c r="G4" s="85" t="s">
        <v>1092</v>
      </c>
      <c r="H4" s="85" t="s">
        <v>425</v>
      </c>
      <c r="I4" s="85" t="s">
        <v>593</v>
      </c>
      <c r="J4" s="85" t="s">
        <v>594</v>
      </c>
      <c r="K4" s="101">
        <f>IFERROR(IF(_xlfn.XLOOKUP($E4&amp;"|Ja",Part_Suppliers!$L$2:$L$300,Part_Suppliers!$E$2:$E$300,"",0)=0,"",_xlfn.XLOOKUP($E4&amp;"|Ja",Part_Suppliers!$L$2:$L$300,Part_Suppliers!$E$2:$E$300,"",0)),"")</f>
        <v>0.43</v>
      </c>
      <c r="L4" s="101">
        <f t="shared" si="0"/>
        <v>0.86</v>
      </c>
      <c r="M4" s="85"/>
      <c r="N4" s="85" t="str">
        <f>IFERROR(VLOOKUP(E4,Part_Alternatives!$A$2:$K$200,10,FALSE()),"")</f>
        <v>ENP-00109 · gleichwertig</v>
      </c>
    </row>
    <row r="5" spans="1:14" ht="15" x14ac:dyDescent="0.15">
      <c r="A5" s="85" t="s">
        <v>36</v>
      </c>
      <c r="B5" s="85" t="s">
        <v>1046</v>
      </c>
      <c r="C5" s="100">
        <v>40</v>
      </c>
      <c r="D5" s="85" t="s">
        <v>1094</v>
      </c>
      <c r="E5" s="85" t="s">
        <v>215</v>
      </c>
      <c r="F5" s="100">
        <v>4</v>
      </c>
      <c r="G5" s="85" t="s">
        <v>1092</v>
      </c>
      <c r="H5" s="85" t="s">
        <v>425</v>
      </c>
      <c r="I5" s="85" t="s">
        <v>1004</v>
      </c>
      <c r="J5" s="85" t="s">
        <v>1005</v>
      </c>
      <c r="K5" s="101">
        <f>IFERROR(IF(_xlfn.XLOOKUP($E5&amp;"|Ja",Part_Suppliers!$L$2:$L$300,Part_Suppliers!$E$2:$E$300,"",0)=0,"",_xlfn.XLOOKUP($E5&amp;"|Ja",Part_Suppliers!$L$2:$L$300,Part_Suppliers!$E$2:$E$300,"",0)),"")</f>
        <v>0.45</v>
      </c>
      <c r="L5" s="101">
        <f t="shared" si="0"/>
        <v>1.8</v>
      </c>
      <c r="M5" s="85"/>
      <c r="N5" s="85" t="str">
        <f>IFERROR(VLOOKUP(E5,Part_Alternatives!$A$2:$K$200,10,FALSE()),"")</f>
        <v/>
      </c>
    </row>
    <row r="6" spans="1:14" ht="15" x14ac:dyDescent="0.15">
      <c r="A6" s="85" t="s">
        <v>36</v>
      </c>
      <c r="B6" s="85" t="s">
        <v>1046</v>
      </c>
      <c r="C6" s="100">
        <v>50</v>
      </c>
      <c r="D6" s="85" t="s">
        <v>1095</v>
      </c>
      <c r="E6" s="85" t="s">
        <v>94</v>
      </c>
      <c r="F6" s="100">
        <v>4</v>
      </c>
      <c r="G6" s="85" t="s">
        <v>1092</v>
      </c>
      <c r="H6" s="85" t="s">
        <v>425</v>
      </c>
      <c r="I6" s="85" t="s">
        <v>280</v>
      </c>
      <c r="J6" s="85" t="s">
        <v>281</v>
      </c>
      <c r="K6" s="101">
        <f>IFERROR(IF(_xlfn.XLOOKUP($E6&amp;"|Ja",Part_Suppliers!$L$2:$L$300,Part_Suppliers!$E$2:$E$300,"",0)=0,"",_xlfn.XLOOKUP($E6&amp;"|Ja",Part_Suppliers!$L$2:$L$300,Part_Suppliers!$E$2:$E$300,"",0)),"")</f>
        <v>0.15</v>
      </c>
      <c r="L6" s="101">
        <f t="shared" si="0"/>
        <v>0.6</v>
      </c>
      <c r="M6" s="85"/>
      <c r="N6" s="85" t="str">
        <f>IFERROR(VLOOKUP(E6,Part_Alternatives!$A$2:$K$200,10,FALSE()),"")</f>
        <v/>
      </c>
    </row>
    <row r="7" spans="1:14" ht="15" x14ac:dyDescent="0.15">
      <c r="A7" s="85" t="s">
        <v>36</v>
      </c>
      <c r="B7" s="85" t="s">
        <v>1046</v>
      </c>
      <c r="C7" s="100">
        <v>60</v>
      </c>
      <c r="D7" s="85" t="s">
        <v>1096</v>
      </c>
      <c r="E7" s="85" t="s">
        <v>195</v>
      </c>
      <c r="F7" s="100">
        <v>1</v>
      </c>
      <c r="G7" s="85" t="s">
        <v>1092</v>
      </c>
      <c r="H7" s="85" t="s">
        <v>425</v>
      </c>
      <c r="I7" s="85" t="s">
        <v>876</v>
      </c>
      <c r="J7" s="85" t="s">
        <v>386</v>
      </c>
      <c r="K7" s="101">
        <f>IFERROR(IF(_xlfn.XLOOKUP($E7&amp;"|Ja",Part_Suppliers!$L$2:$L$300,Part_Suppliers!$E$2:$E$300,"",0)=0,"",_xlfn.XLOOKUP($E7&amp;"|Ja",Part_Suppliers!$L$2:$L$300,Part_Suppliers!$E$2:$E$300,"",0)),"")</f>
        <v>0.39</v>
      </c>
      <c r="L7" s="101">
        <f t="shared" si="0"/>
        <v>0.39</v>
      </c>
      <c r="M7" s="85"/>
      <c r="N7" s="85" t="str">
        <f>IFERROR(VLOOKUP(E7,Part_Alternatives!$A$2:$K$200,10,FALSE()),"")</f>
        <v/>
      </c>
    </row>
    <row r="8" spans="1:14" ht="28" x14ac:dyDescent="0.15">
      <c r="A8" s="85" t="s">
        <v>36</v>
      </c>
      <c r="B8" s="85" t="s">
        <v>1046</v>
      </c>
      <c r="C8" s="100">
        <v>70</v>
      </c>
      <c r="D8" s="85" t="s">
        <v>1097</v>
      </c>
      <c r="E8" s="85" t="s">
        <v>54</v>
      </c>
      <c r="F8" s="100">
        <v>1</v>
      </c>
      <c r="G8" s="85" t="s">
        <v>1098</v>
      </c>
      <c r="H8" s="85" t="s">
        <v>1099</v>
      </c>
      <c r="I8" s="85" t="s">
        <v>1100</v>
      </c>
      <c r="J8" s="85" t="s">
        <v>1101</v>
      </c>
      <c r="K8" s="101"/>
      <c r="L8" s="101" t="str">
        <f t="shared" si="0"/>
        <v/>
      </c>
      <c r="M8" s="85" t="s">
        <v>1102</v>
      </c>
      <c r="N8" s="85"/>
    </row>
    <row r="9" spans="1:14" ht="15" x14ac:dyDescent="0.15">
      <c r="A9" s="85" t="s">
        <v>36</v>
      </c>
      <c r="B9" s="85" t="s">
        <v>1046</v>
      </c>
      <c r="C9" s="100">
        <v>80</v>
      </c>
      <c r="D9" s="85" t="s">
        <v>1103</v>
      </c>
      <c r="E9" s="85" t="s">
        <v>100</v>
      </c>
      <c r="F9" s="100">
        <v>1</v>
      </c>
      <c r="G9" s="85" t="s">
        <v>1092</v>
      </c>
      <c r="H9" s="85" t="s">
        <v>425</v>
      </c>
      <c r="I9" s="85" t="s">
        <v>320</v>
      </c>
      <c r="J9" s="85" t="s">
        <v>321</v>
      </c>
      <c r="K9" s="101">
        <f>IFERROR(IF(_xlfn.XLOOKUP($E9&amp;"|Ja",Part_Suppliers!$L$2:$L$300,Part_Suppliers!$E$2:$E$300,"",0)=0,"",_xlfn.XLOOKUP($E9&amp;"|Ja",Part_Suppliers!$L$2:$L$300,Part_Suppliers!$E$2:$E$300,"",0)),"")</f>
        <v>4.996666666666667</v>
      </c>
      <c r="L9" s="101">
        <f t="shared" si="0"/>
        <v>4.996666666666667</v>
      </c>
      <c r="M9" s="85"/>
      <c r="N9" s="85" t="str">
        <f>IFERROR(VLOOKUP(E9,Part_Alternatives!$A$2:$K$200,10,FALSE()),"")</f>
        <v/>
      </c>
    </row>
    <row r="10" spans="1:14" ht="28" x14ac:dyDescent="0.15">
      <c r="A10" s="85" t="s">
        <v>36</v>
      </c>
      <c r="B10" s="85" t="s">
        <v>1046</v>
      </c>
      <c r="C10" s="100">
        <v>90</v>
      </c>
      <c r="D10" s="85"/>
      <c r="E10" s="85" t="s">
        <v>172</v>
      </c>
      <c r="F10" s="100">
        <v>1</v>
      </c>
      <c r="G10" s="85" t="s">
        <v>1104</v>
      </c>
      <c r="H10" s="85" t="s">
        <v>1105</v>
      </c>
      <c r="I10" s="85" t="s">
        <v>766</v>
      </c>
      <c r="J10" s="85" t="s">
        <v>765</v>
      </c>
      <c r="K10" s="101">
        <f>IFERROR(IF(_xlfn.XLOOKUP($E10&amp;"|Ja",Part_Suppliers!$L$2:$L$300,Part_Suppliers!$E$2:$E$300,"",0)=0,"",_xlfn.XLOOKUP($E10&amp;"|Ja",Part_Suppliers!$L$2:$L$300,Part_Suppliers!$E$2:$E$300,"",0)),"")</f>
        <v>3.59</v>
      </c>
      <c r="L10" s="101">
        <f t="shared" si="0"/>
        <v>3.59</v>
      </c>
      <c r="M10" s="85" t="s">
        <v>772</v>
      </c>
      <c r="N10" s="85" t="str">
        <f>IFERROR(VLOOKUP(E10,Part_Alternatives!$A$2:$K$200,10,FALSE()),"")</f>
        <v/>
      </c>
    </row>
    <row r="11" spans="1:14" ht="28" x14ac:dyDescent="0.15">
      <c r="A11" s="85" t="s">
        <v>36</v>
      </c>
      <c r="B11" s="85" t="s">
        <v>1046</v>
      </c>
      <c r="C11" s="100">
        <v>100</v>
      </c>
      <c r="D11" s="85"/>
      <c r="E11" s="85" t="s">
        <v>173</v>
      </c>
      <c r="F11" s="100">
        <v>1</v>
      </c>
      <c r="G11" s="85" t="s">
        <v>1104</v>
      </c>
      <c r="H11" s="85" t="s">
        <v>1105</v>
      </c>
      <c r="I11" s="85" t="s">
        <v>774</v>
      </c>
      <c r="J11" s="85" t="s">
        <v>773</v>
      </c>
      <c r="K11" s="101">
        <f>IFERROR(IF(_xlfn.XLOOKUP($E11&amp;"|Ja",Part_Suppliers!$L$2:$L$300,Part_Suppliers!$E$2:$E$300,"",0)=0,"",_xlfn.XLOOKUP($E11&amp;"|Ja",Part_Suppliers!$L$2:$L$300,Part_Suppliers!$E$2:$E$300,"",0)),"")</f>
        <v>3.6</v>
      </c>
      <c r="L11" s="101">
        <f t="shared" si="0"/>
        <v>3.6</v>
      </c>
      <c r="M11" s="85" t="s">
        <v>1106</v>
      </c>
      <c r="N11" s="85" t="str">
        <f>IFERROR(VLOOKUP(E11,Part_Alternatives!$A$2:$K$200,10,FALSE()),"")</f>
        <v/>
      </c>
    </row>
    <row r="12" spans="1:14" ht="28" x14ac:dyDescent="0.15">
      <c r="A12" s="85" t="s">
        <v>36</v>
      </c>
      <c r="B12" s="85" t="s">
        <v>1046</v>
      </c>
      <c r="C12" s="100">
        <v>110</v>
      </c>
      <c r="D12" s="85"/>
      <c r="E12" s="85" t="s">
        <v>176</v>
      </c>
      <c r="F12" s="100">
        <v>1</v>
      </c>
      <c r="G12" s="85" t="s">
        <v>1104</v>
      </c>
      <c r="H12" s="85" t="s">
        <v>1105</v>
      </c>
      <c r="I12" s="85" t="s">
        <v>786</v>
      </c>
      <c r="J12" s="85" t="s">
        <v>785</v>
      </c>
      <c r="K12" s="101">
        <f>IFERROR(IF(_xlfn.XLOOKUP($E12&amp;"|Ja",Part_Suppliers!$L$2:$L$300,Part_Suppliers!$E$2:$E$300,"",0)=0,"",_xlfn.XLOOKUP($E12&amp;"|Ja",Part_Suppliers!$L$2:$L$300,Part_Suppliers!$E$2:$E$300,"",0)),"")</f>
        <v>3.92</v>
      </c>
      <c r="L12" s="101">
        <f t="shared" si="0"/>
        <v>3.92</v>
      </c>
      <c r="M12" s="85" t="s">
        <v>788</v>
      </c>
      <c r="N12" s="85" t="str">
        <f>IFERROR(VLOOKUP(E12,Part_Alternatives!$A$2:$K$200,10,FALSE()),"")</f>
        <v/>
      </c>
    </row>
    <row r="13" spans="1:14" ht="28" x14ac:dyDescent="0.15">
      <c r="A13" s="85" t="s">
        <v>36</v>
      </c>
      <c r="B13" s="85" t="s">
        <v>1046</v>
      </c>
      <c r="C13" s="100">
        <v>120</v>
      </c>
      <c r="D13" s="85"/>
      <c r="E13" s="85" t="s">
        <v>177</v>
      </c>
      <c r="F13" s="100">
        <v>1</v>
      </c>
      <c r="G13" s="85" t="s">
        <v>1104</v>
      </c>
      <c r="H13" s="85" t="s">
        <v>1105</v>
      </c>
      <c r="I13" s="85" t="s">
        <v>790</v>
      </c>
      <c r="J13" s="85" t="s">
        <v>789</v>
      </c>
      <c r="K13" s="101">
        <f>IFERROR(IF(_xlfn.XLOOKUP($E13&amp;"|Ja",Part_Suppliers!$L$2:$L$300,Part_Suppliers!$E$2:$E$300,"",0)=0,"",_xlfn.XLOOKUP($E13&amp;"|Ja",Part_Suppliers!$L$2:$L$300,Part_Suppliers!$E$2:$E$300,"",0)),"")</f>
        <v>3.92</v>
      </c>
      <c r="L13" s="101">
        <f t="shared" si="0"/>
        <v>3.92</v>
      </c>
      <c r="M13" s="85" t="s">
        <v>1107</v>
      </c>
      <c r="N13" s="85" t="str">
        <f>IFERROR(VLOOKUP(E13,Part_Alternatives!$A$2:$K$200,10,FALSE()),"")</f>
        <v/>
      </c>
    </row>
    <row r="14" spans="1:14" ht="16" x14ac:dyDescent="0.15">
      <c r="A14" s="85" t="s">
        <v>36</v>
      </c>
      <c r="B14" s="85" t="s">
        <v>1046</v>
      </c>
      <c r="C14" s="100">
        <v>130</v>
      </c>
      <c r="D14" s="85"/>
      <c r="E14" s="85" t="s">
        <v>1011</v>
      </c>
      <c r="F14" s="100">
        <v>1</v>
      </c>
      <c r="G14" s="85" t="s">
        <v>1092</v>
      </c>
      <c r="H14" s="85" t="s">
        <v>328</v>
      </c>
      <c r="I14" s="85" t="s">
        <v>1013</v>
      </c>
      <c r="J14" s="85" t="s">
        <v>617</v>
      </c>
      <c r="K14" s="101" t="str">
        <f>IFERROR(IF(_xlfn.XLOOKUP($E14&amp;"|Ja",Part_Suppliers!$L$2:$L$300,Part_Suppliers!$E$2:$E$300,"",0)=0,"",_xlfn.XLOOKUP($E14&amp;"|Ja",Part_Suppliers!$L$2:$L$300,Part_Suppliers!$E$2:$E$300,"",0)),"")</f>
        <v/>
      </c>
      <c r="L14" s="101" t="str">
        <f t="shared" si="0"/>
        <v/>
      </c>
      <c r="M14" s="85" t="s">
        <v>1016</v>
      </c>
      <c r="N14" s="85" t="str">
        <f>IFERROR(VLOOKUP(E14,Part_Alternatives!$A$2:$K$200,10,FALSE()),"")</f>
        <v/>
      </c>
    </row>
    <row r="15" spans="1:14" ht="15" x14ac:dyDescent="0.15">
      <c r="A15" s="85" t="s">
        <v>40</v>
      </c>
      <c r="B15" s="85" t="s">
        <v>1051</v>
      </c>
      <c r="C15" s="100">
        <v>10</v>
      </c>
      <c r="D15" s="85" t="s">
        <v>1093</v>
      </c>
      <c r="E15" s="85" t="s">
        <v>95</v>
      </c>
      <c r="F15" s="100">
        <v>1</v>
      </c>
      <c r="G15" s="85" t="s">
        <v>1108</v>
      </c>
      <c r="H15" s="85" t="s">
        <v>425</v>
      </c>
      <c r="I15" s="85" t="s">
        <v>289</v>
      </c>
      <c r="J15" s="85" t="s">
        <v>290</v>
      </c>
      <c r="K15" s="101">
        <f>IFERROR(IF(_xlfn.XLOOKUP($E15&amp;"|Ja",Part_Suppliers!$L$2:$L$300,Part_Suppliers!$E$2:$E$300,"",0)=0,"",_xlfn.XLOOKUP($E15&amp;"|Ja",Part_Suppliers!$L$2:$L$300,Part_Suppliers!$E$2:$E$300,"",0)),"")</f>
        <v>0.24</v>
      </c>
      <c r="L15" s="101">
        <f t="shared" si="0"/>
        <v>0.24</v>
      </c>
      <c r="M15" s="85"/>
      <c r="N15" s="85" t="str">
        <f>IFERROR(VLOOKUP(E15,Part_Alternatives!$A$2:$K$200,10,FALSE()),"")</f>
        <v/>
      </c>
    </row>
    <row r="16" spans="1:14" ht="15" x14ac:dyDescent="0.15">
      <c r="A16" s="85" t="s">
        <v>40</v>
      </c>
      <c r="B16" s="85" t="s">
        <v>1051</v>
      </c>
      <c r="C16" s="100">
        <v>20</v>
      </c>
      <c r="D16" s="85" t="s">
        <v>1109</v>
      </c>
      <c r="E16" s="85" t="s">
        <v>124</v>
      </c>
      <c r="F16" s="100">
        <v>2</v>
      </c>
      <c r="G16" s="85" t="s">
        <v>1092</v>
      </c>
      <c r="H16" s="85" t="s">
        <v>425</v>
      </c>
      <c r="I16" s="85" t="s">
        <v>475</v>
      </c>
      <c r="J16" s="85" t="s">
        <v>476</v>
      </c>
      <c r="K16" s="101">
        <f>IFERROR(IF(_xlfn.XLOOKUP($E16&amp;"|Ja",Part_Suppliers!$L$2:$L$300,Part_Suppliers!$E$2:$E$300,"",0)=0,"",_xlfn.XLOOKUP($E16&amp;"|Ja",Part_Suppliers!$L$2:$L$300,Part_Suppliers!$E$2:$E$300,"",0)),"")</f>
        <v>0.02</v>
      </c>
      <c r="L16" s="101">
        <f t="shared" si="0"/>
        <v>0.04</v>
      </c>
      <c r="M16" s="85"/>
      <c r="N16" s="85" t="str">
        <f>IFERROR(VLOOKUP(E16,Part_Alternatives!$A$2:$K$200,10,FALSE()),"")</f>
        <v/>
      </c>
    </row>
    <row r="17" spans="1:14" ht="28" x14ac:dyDescent="0.15">
      <c r="A17" s="85" t="s">
        <v>40</v>
      </c>
      <c r="B17" s="85" t="s">
        <v>1051</v>
      </c>
      <c r="C17" s="100">
        <v>30</v>
      </c>
      <c r="D17" s="85" t="s">
        <v>1110</v>
      </c>
      <c r="E17" s="85" t="s">
        <v>155</v>
      </c>
      <c r="F17" s="100">
        <v>2</v>
      </c>
      <c r="G17" s="85" t="s">
        <v>1092</v>
      </c>
      <c r="H17" s="85" t="s">
        <v>425</v>
      </c>
      <c r="I17" s="85" t="s">
        <v>659</v>
      </c>
      <c r="J17" s="85" t="s">
        <v>660</v>
      </c>
      <c r="K17" s="101">
        <f>IFERROR(IF(_xlfn.XLOOKUP($E17&amp;"|Ja",Part_Suppliers!$L$2:$L$300,Part_Suppliers!$E$2:$E$300,"",0)=0,"",_xlfn.XLOOKUP($E17&amp;"|Ja",Part_Suppliers!$L$2:$L$300,Part_Suppliers!$E$2:$E$300,"",0)),"")</f>
        <v>0.11</v>
      </c>
      <c r="L17" s="101">
        <f t="shared" si="0"/>
        <v>0.22</v>
      </c>
      <c r="M17" s="85"/>
      <c r="N17" s="85" t="str">
        <f>IFERROR(VLOOKUP(E17,Part_Alternatives!$A$2:$K$200,10,FALSE()),"")</f>
        <v/>
      </c>
    </row>
    <row r="18" spans="1:14" ht="28" x14ac:dyDescent="0.15">
      <c r="A18" s="85" t="s">
        <v>40</v>
      </c>
      <c r="B18" s="85" t="s">
        <v>1051</v>
      </c>
      <c r="C18" s="100">
        <v>40</v>
      </c>
      <c r="D18" s="85" t="s">
        <v>626</v>
      </c>
      <c r="E18" s="85" t="s">
        <v>150</v>
      </c>
      <c r="F18" s="100">
        <v>1</v>
      </c>
      <c r="G18" s="85" t="s">
        <v>1092</v>
      </c>
      <c r="H18" s="85" t="s">
        <v>425</v>
      </c>
      <c r="I18" s="85" t="s">
        <v>630</v>
      </c>
      <c r="J18" s="85" t="s">
        <v>631</v>
      </c>
      <c r="K18" s="101">
        <f>IFERROR(IF(_xlfn.XLOOKUP($E18&amp;"|Ja",Part_Suppliers!$L$2:$L$300,Part_Suppliers!$E$2:$E$300,"",0)=0,"",_xlfn.XLOOKUP($E18&amp;"|Ja",Part_Suppliers!$L$2:$L$300,Part_Suppliers!$E$2:$E$300,"",0)),"")</f>
        <v>0.3</v>
      </c>
      <c r="L18" s="101">
        <f t="shared" si="0"/>
        <v>0.3</v>
      </c>
      <c r="M18" s="85"/>
      <c r="N18" s="85" t="str">
        <f>IFERROR(VLOOKUP(E18,Part_Alternatives!$A$2:$K$200,10,FALSE()),"")</f>
        <v/>
      </c>
    </row>
    <row r="19" spans="1:14" ht="28" x14ac:dyDescent="0.15">
      <c r="A19" s="85" t="s">
        <v>40</v>
      </c>
      <c r="B19" s="85" t="s">
        <v>1051</v>
      </c>
      <c r="C19" s="100">
        <v>50</v>
      </c>
      <c r="D19" s="85" t="s">
        <v>1111</v>
      </c>
      <c r="E19" s="85" t="s">
        <v>125</v>
      </c>
      <c r="F19" s="100">
        <v>2</v>
      </c>
      <c r="G19" s="85" t="s">
        <v>1092</v>
      </c>
      <c r="H19" s="85" t="s">
        <v>425</v>
      </c>
      <c r="I19" s="85" t="s">
        <v>479</v>
      </c>
      <c r="J19" s="85" t="s">
        <v>480</v>
      </c>
      <c r="K19" s="101">
        <f>IFERROR(IF(_xlfn.XLOOKUP($E19&amp;"|Ja",Part_Suppliers!$L$2:$L$300,Part_Suppliers!$E$2:$E$300,"",0)=0,"",_xlfn.XLOOKUP($E19&amp;"|Ja",Part_Suppliers!$L$2:$L$300,Part_Suppliers!$E$2:$E$300,"",0)),"")</f>
        <v>0.39</v>
      </c>
      <c r="L19" s="101">
        <f t="shared" si="0"/>
        <v>0.78</v>
      </c>
      <c r="M19" s="85"/>
      <c r="N19" s="85" t="str">
        <f>IFERROR(VLOOKUP(E19,Part_Alternatives!$A$2:$K$200,10,FALSE()),"")</f>
        <v/>
      </c>
    </row>
    <row r="20" spans="1:14" ht="15" x14ac:dyDescent="0.15">
      <c r="A20" s="85" t="s">
        <v>40</v>
      </c>
      <c r="B20" s="85" t="s">
        <v>1051</v>
      </c>
      <c r="C20" s="100">
        <v>60</v>
      </c>
      <c r="D20" s="85" t="s">
        <v>1112</v>
      </c>
      <c r="E20" s="85" t="s">
        <v>114</v>
      </c>
      <c r="F20" s="100">
        <v>2</v>
      </c>
      <c r="G20" s="85" t="s">
        <v>1092</v>
      </c>
      <c r="H20" s="85" t="s">
        <v>425</v>
      </c>
      <c r="I20" s="85" t="s">
        <v>404</v>
      </c>
      <c r="J20" s="85" t="s">
        <v>405</v>
      </c>
      <c r="K20" s="101">
        <f>IFERROR(IF(_xlfn.XLOOKUP($E20&amp;"|Ja",Part_Suppliers!$L$2:$L$300,Part_Suppliers!$E$2:$E$300,"",0)=0,"",_xlfn.XLOOKUP($E20&amp;"|Ja",Part_Suppliers!$L$2:$L$300,Part_Suppliers!$E$2:$E$300,"",0)),"")</f>
        <v>5.8</v>
      </c>
      <c r="L20" s="101">
        <f t="shared" si="0"/>
        <v>11.6</v>
      </c>
      <c r="M20" s="85"/>
      <c r="N20" s="85" t="str">
        <f>IFERROR(VLOOKUP(E20,Part_Alternatives!$A$2:$K$200,10,FALSE()),"")</f>
        <v/>
      </c>
    </row>
    <row r="21" spans="1:14" ht="15" x14ac:dyDescent="0.15">
      <c r="A21" s="85" t="s">
        <v>40</v>
      </c>
      <c r="B21" s="85" t="s">
        <v>1051</v>
      </c>
      <c r="C21" s="100">
        <v>70</v>
      </c>
      <c r="D21" s="85" t="s">
        <v>1113</v>
      </c>
      <c r="E21" s="85" t="s">
        <v>126</v>
      </c>
      <c r="F21" s="100">
        <v>2</v>
      </c>
      <c r="G21" s="85" t="s">
        <v>1092</v>
      </c>
      <c r="H21" s="85" t="s">
        <v>425</v>
      </c>
      <c r="I21" s="85" t="s">
        <v>488</v>
      </c>
      <c r="J21" s="85" t="s">
        <v>489</v>
      </c>
      <c r="K21" s="101">
        <f>IFERROR(IF(_xlfn.XLOOKUP($E21&amp;"|Ja",Part_Suppliers!$L$2:$L$300,Part_Suppliers!$E$2:$E$300,"",0)=0,"",_xlfn.XLOOKUP($E21&amp;"|Ja",Part_Suppliers!$L$2:$L$300,Part_Suppliers!$E$2:$E$300,"",0)),"")</f>
        <v>0.02</v>
      </c>
      <c r="L21" s="101">
        <f t="shared" si="0"/>
        <v>0.04</v>
      </c>
      <c r="M21" s="85"/>
      <c r="N21" s="85" t="str">
        <f>IFERROR(VLOOKUP(E21,Part_Alternatives!$A$2:$K$200,10,FALSE()),"")</f>
        <v/>
      </c>
    </row>
    <row r="22" spans="1:14" ht="15" x14ac:dyDescent="0.15">
      <c r="A22" s="85" t="s">
        <v>40</v>
      </c>
      <c r="B22" s="85" t="s">
        <v>1051</v>
      </c>
      <c r="C22" s="100">
        <v>80</v>
      </c>
      <c r="D22" s="85" t="s">
        <v>1114</v>
      </c>
      <c r="E22" s="85" t="s">
        <v>127</v>
      </c>
      <c r="F22" s="100">
        <v>2</v>
      </c>
      <c r="G22" s="85" t="s">
        <v>1092</v>
      </c>
      <c r="H22" s="85" t="s">
        <v>425</v>
      </c>
      <c r="I22" s="85" t="s">
        <v>492</v>
      </c>
      <c r="J22" s="85" t="s">
        <v>281</v>
      </c>
      <c r="K22" s="101">
        <f>IFERROR(IF(_xlfn.XLOOKUP($E22&amp;"|Ja",Part_Suppliers!$L$2:$L$300,Part_Suppliers!$E$2:$E$300,"",0)=0,"",_xlfn.XLOOKUP($E22&amp;"|Ja",Part_Suppliers!$L$2:$L$300,Part_Suppliers!$E$2:$E$300,"",0)),"")</f>
        <v>0.14000000000000001</v>
      </c>
      <c r="L22" s="101">
        <f t="shared" si="0"/>
        <v>0.28000000000000003</v>
      </c>
      <c r="M22" s="85"/>
      <c r="N22" s="85" t="str">
        <f>IFERROR(VLOOKUP(E22,Part_Alternatives!$A$2:$K$200,10,FALSE()),"")</f>
        <v/>
      </c>
    </row>
    <row r="23" spans="1:14" ht="15" x14ac:dyDescent="0.15">
      <c r="A23" s="85" t="s">
        <v>40</v>
      </c>
      <c r="B23" s="85" t="s">
        <v>1051</v>
      </c>
      <c r="C23" s="100">
        <v>90</v>
      </c>
      <c r="D23" s="85" t="s">
        <v>1115</v>
      </c>
      <c r="E23" s="85" t="s">
        <v>107</v>
      </c>
      <c r="F23" s="100">
        <v>2</v>
      </c>
      <c r="G23" s="85" t="s">
        <v>1092</v>
      </c>
      <c r="H23" s="85" t="s">
        <v>425</v>
      </c>
      <c r="I23" s="85" t="s">
        <v>358</v>
      </c>
      <c r="J23" s="85" t="s">
        <v>281</v>
      </c>
      <c r="K23" s="101">
        <f>IFERROR(IF(_xlfn.XLOOKUP($E23&amp;"|Ja",Part_Suppliers!$L$2:$L$300,Part_Suppliers!$E$2:$E$300,"",0)=0,"",_xlfn.XLOOKUP($E23&amp;"|Ja",Part_Suppliers!$L$2:$L$300,Part_Suppliers!$E$2:$E$300,"",0)),"")</f>
        <v>0.83</v>
      </c>
      <c r="L23" s="101">
        <f t="shared" si="0"/>
        <v>1.66</v>
      </c>
      <c r="M23" s="85"/>
      <c r="N23" s="85" t="str">
        <f>IFERROR(VLOOKUP(E23,Part_Alternatives!$A$2:$K$200,10,FALSE()),"")</f>
        <v/>
      </c>
    </row>
    <row r="24" spans="1:14" ht="15" x14ac:dyDescent="0.15">
      <c r="A24" s="85" t="s">
        <v>40</v>
      </c>
      <c r="B24" s="85" t="s">
        <v>1051</v>
      </c>
      <c r="C24" s="100">
        <v>100</v>
      </c>
      <c r="D24" s="85" t="s">
        <v>1116</v>
      </c>
      <c r="E24" s="85" t="s">
        <v>156</v>
      </c>
      <c r="F24" s="100">
        <v>2</v>
      </c>
      <c r="G24" s="85" t="s">
        <v>1092</v>
      </c>
      <c r="H24" s="85" t="s">
        <v>425</v>
      </c>
      <c r="I24" s="85" t="s">
        <v>668</v>
      </c>
      <c r="J24" s="85" t="s">
        <v>281</v>
      </c>
      <c r="K24" s="101">
        <f>IFERROR(IF(_xlfn.XLOOKUP($E24&amp;"|Ja",Part_Suppliers!$L$2:$L$300,Part_Suppliers!$E$2:$E$300,"",0)=0,"",_xlfn.XLOOKUP($E24&amp;"|Ja",Part_Suppliers!$L$2:$L$300,Part_Suppliers!$E$2:$E$300,"",0)),"")</f>
        <v>0.14000000000000001</v>
      </c>
      <c r="L24" s="101">
        <f t="shared" si="0"/>
        <v>0.28000000000000003</v>
      </c>
      <c r="M24" s="85"/>
      <c r="N24" s="85" t="str">
        <f>IFERROR(VLOOKUP(E24,Part_Alternatives!$A$2:$K$200,10,FALSE()),"")</f>
        <v/>
      </c>
    </row>
    <row r="25" spans="1:14" ht="15" x14ac:dyDescent="0.15">
      <c r="A25" s="85" t="s">
        <v>40</v>
      </c>
      <c r="B25" s="85" t="s">
        <v>1051</v>
      </c>
      <c r="C25" s="100">
        <v>110</v>
      </c>
      <c r="D25" s="85" t="s">
        <v>1097</v>
      </c>
      <c r="E25" s="85" t="s">
        <v>195</v>
      </c>
      <c r="F25" s="100">
        <v>1</v>
      </c>
      <c r="G25" s="85" t="s">
        <v>1108</v>
      </c>
      <c r="H25" s="85" t="s">
        <v>425</v>
      </c>
      <c r="I25" s="85" t="s">
        <v>876</v>
      </c>
      <c r="J25" s="85" t="s">
        <v>386</v>
      </c>
      <c r="K25" s="101">
        <f>IFERROR(IF(_xlfn.XLOOKUP($E25&amp;"|Ja",Part_Suppliers!$L$2:$L$300,Part_Suppliers!$E$2:$E$300,"",0)=0,"",_xlfn.XLOOKUP($E25&amp;"|Ja",Part_Suppliers!$L$2:$L$300,Part_Suppliers!$E$2:$E$300,"",0)),"")</f>
        <v>0.39</v>
      </c>
      <c r="L25" s="101">
        <f t="shared" si="0"/>
        <v>0.39</v>
      </c>
      <c r="M25" s="85"/>
      <c r="N25" s="85" t="str">
        <f>IFERROR(VLOOKUP(E25,Part_Alternatives!$A$2:$K$200,10,FALSE()),"")</f>
        <v/>
      </c>
    </row>
    <row r="26" spans="1:14" ht="15" x14ac:dyDescent="0.15">
      <c r="A26" s="85" t="s">
        <v>40</v>
      </c>
      <c r="B26" s="85" t="s">
        <v>1051</v>
      </c>
      <c r="C26" s="100">
        <v>120</v>
      </c>
      <c r="D26" s="85"/>
      <c r="E26" s="85" t="s">
        <v>197</v>
      </c>
      <c r="F26" s="100">
        <v>1</v>
      </c>
      <c r="G26" s="85" t="s">
        <v>1092</v>
      </c>
      <c r="H26" s="85" t="s">
        <v>328</v>
      </c>
      <c r="I26" s="85" t="s">
        <v>883</v>
      </c>
      <c r="J26" s="85" t="s">
        <v>675</v>
      </c>
      <c r="K26" s="101">
        <f>IFERROR(IF(_xlfn.XLOOKUP($E26&amp;"|Ja",Part_Suppliers!$L$2:$L$300,Part_Suppliers!$E$2:$E$300,"",0)=0,"",_xlfn.XLOOKUP($E26&amp;"|Ja",Part_Suppliers!$L$2:$L$300,Part_Suppliers!$E$2:$E$300,"",0)),"")</f>
        <v>0.70399999999999996</v>
      </c>
      <c r="L26" s="101">
        <f t="shared" si="0"/>
        <v>0.70399999999999996</v>
      </c>
      <c r="M26" s="85" t="s">
        <v>887</v>
      </c>
      <c r="N26" s="85" t="str">
        <f>IFERROR(VLOOKUP(E26,Part_Alternatives!$A$2:$K$200,10,FALSE()),"")</f>
        <v/>
      </c>
    </row>
    <row r="27" spans="1:14" ht="15" x14ac:dyDescent="0.15">
      <c r="A27" s="85" t="s">
        <v>43</v>
      </c>
      <c r="B27" s="85" t="s">
        <v>1055</v>
      </c>
      <c r="C27" s="100">
        <v>10</v>
      </c>
      <c r="D27" s="85" t="s">
        <v>1093</v>
      </c>
      <c r="E27" s="85" t="s">
        <v>95</v>
      </c>
      <c r="F27" s="100">
        <v>1</v>
      </c>
      <c r="G27" s="85" t="s">
        <v>1108</v>
      </c>
      <c r="H27" s="85" t="s">
        <v>425</v>
      </c>
      <c r="I27" s="85" t="s">
        <v>289</v>
      </c>
      <c r="J27" s="85" t="s">
        <v>290</v>
      </c>
      <c r="K27" s="101">
        <f>IFERROR(IF(_xlfn.XLOOKUP($E27&amp;"|Ja",Part_Suppliers!$L$2:$L$300,Part_Suppliers!$E$2:$E$300,"",0)=0,"",_xlfn.XLOOKUP($E27&amp;"|Ja",Part_Suppliers!$L$2:$L$300,Part_Suppliers!$E$2:$E$300,"",0)),"")</f>
        <v>0.24</v>
      </c>
      <c r="L27" s="101">
        <f t="shared" si="0"/>
        <v>0.24</v>
      </c>
      <c r="M27" s="85" t="s">
        <v>295</v>
      </c>
      <c r="N27" s="85" t="str">
        <f>IFERROR(VLOOKUP(E27,Part_Alternatives!$A$2:$K$200,10,FALSE()),"")</f>
        <v/>
      </c>
    </row>
    <row r="28" spans="1:14" ht="15" x14ac:dyDescent="0.15">
      <c r="A28" s="85" t="s">
        <v>43</v>
      </c>
      <c r="B28" s="85" t="s">
        <v>1055</v>
      </c>
      <c r="C28" s="100">
        <v>20</v>
      </c>
      <c r="D28" s="85" t="s">
        <v>1117</v>
      </c>
      <c r="E28" s="85" t="s">
        <v>95</v>
      </c>
      <c r="F28" s="100">
        <v>1</v>
      </c>
      <c r="G28" s="85" t="s">
        <v>1092</v>
      </c>
      <c r="H28" s="85" t="s">
        <v>425</v>
      </c>
      <c r="I28" s="85" t="s">
        <v>289</v>
      </c>
      <c r="J28" s="85" t="s">
        <v>290</v>
      </c>
      <c r="K28" s="101">
        <f>IFERROR(IF(_xlfn.XLOOKUP($E28&amp;"|Ja",Part_Suppliers!$L$2:$L$300,Part_Suppliers!$E$2:$E$300,"",0)=0,"",_xlfn.XLOOKUP($E28&amp;"|Ja",Part_Suppliers!$L$2:$L$300,Part_Suppliers!$E$2:$E$300,"",0)),"")</f>
        <v>0.24</v>
      </c>
      <c r="L28" s="101">
        <f t="shared" si="0"/>
        <v>0.24</v>
      </c>
      <c r="M28" s="85" t="s">
        <v>295</v>
      </c>
      <c r="N28" s="85" t="str">
        <f>IFERROR(VLOOKUP(E28,Part_Alternatives!$A$2:$K$200,10,FALSE()),"")</f>
        <v/>
      </c>
    </row>
    <row r="29" spans="1:14" ht="15" x14ac:dyDescent="0.15">
      <c r="A29" s="85" t="s">
        <v>43</v>
      </c>
      <c r="B29" s="85" t="s">
        <v>1055</v>
      </c>
      <c r="C29" s="100">
        <v>30</v>
      </c>
      <c r="D29" s="85" t="s">
        <v>1118</v>
      </c>
      <c r="E29" s="85" t="s">
        <v>119</v>
      </c>
      <c r="F29" s="100">
        <v>1</v>
      </c>
      <c r="G29" s="85" t="s">
        <v>1092</v>
      </c>
      <c r="H29" s="85" t="s">
        <v>425</v>
      </c>
      <c r="I29" s="85" t="s">
        <v>442</v>
      </c>
      <c r="J29" s="85" t="s">
        <v>290</v>
      </c>
      <c r="K29" s="101">
        <f>IFERROR(IF(_xlfn.XLOOKUP($E29&amp;"|Ja",Part_Suppliers!$L$2:$L$300,Part_Suppliers!$E$2:$E$300,"",0)=0,"",_xlfn.XLOOKUP($E29&amp;"|Ja",Part_Suppliers!$L$2:$L$300,Part_Suppliers!$E$2:$E$300,"",0)),"")</f>
        <v>0.16</v>
      </c>
      <c r="L29" s="101">
        <f t="shared" si="0"/>
        <v>0.16</v>
      </c>
      <c r="M29" s="85"/>
      <c r="N29" s="85" t="str">
        <f>IFERROR(VLOOKUP(E29,Part_Alternatives!$A$2:$K$200,10,FALSE()),"")</f>
        <v/>
      </c>
    </row>
    <row r="30" spans="1:14" ht="15" x14ac:dyDescent="0.15">
      <c r="A30" s="85" t="s">
        <v>43</v>
      </c>
      <c r="B30" s="85" t="s">
        <v>1055</v>
      </c>
      <c r="C30" s="100">
        <v>40</v>
      </c>
      <c r="D30" s="85" t="s">
        <v>683</v>
      </c>
      <c r="E30" s="85" t="s">
        <v>158</v>
      </c>
      <c r="F30" s="100">
        <v>1</v>
      </c>
      <c r="G30" s="85" t="s">
        <v>1092</v>
      </c>
      <c r="H30" s="85" t="s">
        <v>425</v>
      </c>
      <c r="I30" s="85" t="s">
        <v>679</v>
      </c>
      <c r="J30" s="85" t="s">
        <v>290</v>
      </c>
      <c r="K30" s="101">
        <f>IFERROR(IF(_xlfn.XLOOKUP($E30&amp;"|Ja",Part_Suppliers!$L$2:$L$300,Part_Suppliers!$E$2:$E$300,"",0)=0,"",_xlfn.XLOOKUP($E30&amp;"|Ja",Part_Suppliers!$L$2:$L$300,Part_Suppliers!$E$2:$E$300,"",0)),"")</f>
        <v>0.14000000000000001</v>
      </c>
      <c r="L30" s="101">
        <f t="shared" si="0"/>
        <v>0.14000000000000001</v>
      </c>
      <c r="M30" s="85" t="s">
        <v>684</v>
      </c>
      <c r="N30" s="85" t="str">
        <f>IFERROR(VLOOKUP(E30,Part_Alternatives!$A$2:$K$200,10,FALSE()),"")</f>
        <v/>
      </c>
    </row>
    <row r="31" spans="1:14" ht="15" x14ac:dyDescent="0.15">
      <c r="A31" s="85" t="s">
        <v>43</v>
      </c>
      <c r="B31" s="85" t="s">
        <v>1055</v>
      </c>
      <c r="C31" s="100">
        <v>50</v>
      </c>
      <c r="D31" s="85" t="s">
        <v>1119</v>
      </c>
      <c r="E31" s="85" t="s">
        <v>119</v>
      </c>
      <c r="F31" s="100">
        <v>1</v>
      </c>
      <c r="G31" s="85" t="s">
        <v>1092</v>
      </c>
      <c r="H31" s="85" t="s">
        <v>425</v>
      </c>
      <c r="I31" s="85" t="s">
        <v>442</v>
      </c>
      <c r="J31" s="85" t="s">
        <v>290</v>
      </c>
      <c r="K31" s="101">
        <f>IFERROR(IF(_xlfn.XLOOKUP($E31&amp;"|Ja",Part_Suppliers!$L$2:$L$300,Part_Suppliers!$E$2:$E$300,"",0)=0,"",_xlfn.XLOOKUP($E31&amp;"|Ja",Part_Suppliers!$L$2:$L$300,Part_Suppliers!$E$2:$E$300,"",0)),"")</f>
        <v>0.16</v>
      </c>
      <c r="L31" s="101">
        <f t="shared" si="0"/>
        <v>0.16</v>
      </c>
      <c r="M31" s="85"/>
      <c r="N31" s="85" t="str">
        <f>IFERROR(VLOOKUP(E31,Part_Alternatives!$A$2:$K$200,10,FALSE()),"")</f>
        <v/>
      </c>
    </row>
    <row r="32" spans="1:14" ht="15" x14ac:dyDescent="0.15">
      <c r="A32" s="85" t="s">
        <v>43</v>
      </c>
      <c r="B32" s="85" t="s">
        <v>1055</v>
      </c>
      <c r="C32" s="100">
        <v>60</v>
      </c>
      <c r="D32" s="85" t="s">
        <v>1120</v>
      </c>
      <c r="E32" s="85" t="s">
        <v>95</v>
      </c>
      <c r="F32" s="100">
        <v>1</v>
      </c>
      <c r="G32" s="85" t="s">
        <v>1092</v>
      </c>
      <c r="H32" s="85" t="s">
        <v>425</v>
      </c>
      <c r="I32" s="85" t="s">
        <v>289</v>
      </c>
      <c r="J32" s="85" t="s">
        <v>290</v>
      </c>
      <c r="K32" s="101">
        <f>IFERROR(IF(_xlfn.XLOOKUP($E32&amp;"|Ja",Part_Suppliers!$L$2:$L$300,Part_Suppliers!$E$2:$E$300,"",0)=0,"",_xlfn.XLOOKUP($E32&amp;"|Ja",Part_Suppliers!$L$2:$L$300,Part_Suppliers!$E$2:$E$300,"",0)),"")</f>
        <v>0.24</v>
      </c>
      <c r="L32" s="101">
        <f t="shared" si="0"/>
        <v>0.24</v>
      </c>
      <c r="M32" s="85" t="s">
        <v>295</v>
      </c>
      <c r="N32" s="85" t="str">
        <f>IFERROR(VLOOKUP(E32,Part_Alternatives!$A$2:$K$200,10,FALSE()),"")</f>
        <v/>
      </c>
    </row>
    <row r="33" spans="1:14" ht="15" x14ac:dyDescent="0.15">
      <c r="A33" s="85" t="s">
        <v>43</v>
      </c>
      <c r="B33" s="85" t="s">
        <v>1055</v>
      </c>
      <c r="C33" s="100">
        <v>70</v>
      </c>
      <c r="D33" s="85" t="s">
        <v>689</v>
      </c>
      <c r="E33" s="85" t="s">
        <v>159</v>
      </c>
      <c r="F33" s="100">
        <v>1</v>
      </c>
      <c r="G33" s="85" t="s">
        <v>1092</v>
      </c>
      <c r="H33" s="85" t="s">
        <v>425</v>
      </c>
      <c r="I33" s="85" t="s">
        <v>686</v>
      </c>
      <c r="J33" s="85" t="s">
        <v>687</v>
      </c>
      <c r="K33" s="101">
        <f>IFERROR(IF(_xlfn.XLOOKUP($E33&amp;"|Ja",Part_Suppliers!$L$2:$L$300,Part_Suppliers!$E$2:$E$300,"",0)=0,"",_xlfn.XLOOKUP($E33&amp;"|Ja",Part_Suppliers!$L$2:$L$300,Part_Suppliers!$E$2:$E$300,"",0)),"")</f>
        <v>1.19</v>
      </c>
      <c r="L33" s="101">
        <f t="shared" si="0"/>
        <v>1.19</v>
      </c>
      <c r="M33" s="85" t="s">
        <v>690</v>
      </c>
      <c r="N33" s="85" t="str">
        <f>IFERROR(VLOOKUP(E33,Part_Alternatives!$A$2:$K$200,10,FALSE()),"")</f>
        <v/>
      </c>
    </row>
    <row r="34" spans="1:14" ht="15" x14ac:dyDescent="0.15">
      <c r="A34" s="85" t="s">
        <v>43</v>
      </c>
      <c r="B34" s="85" t="s">
        <v>1055</v>
      </c>
      <c r="C34" s="100">
        <v>80</v>
      </c>
      <c r="D34" s="85" t="s">
        <v>1121</v>
      </c>
      <c r="E34" s="85" t="s">
        <v>120</v>
      </c>
      <c r="F34" s="100">
        <v>1</v>
      </c>
      <c r="G34" s="85" t="s">
        <v>1092</v>
      </c>
      <c r="H34" s="85" t="s">
        <v>425</v>
      </c>
      <c r="I34" s="85" t="s">
        <v>449</v>
      </c>
      <c r="J34" s="85" t="s">
        <v>342</v>
      </c>
      <c r="K34" s="101">
        <f>IFERROR(IF(_xlfn.XLOOKUP($E34&amp;"|Ja",Part_Suppliers!$L$2:$L$300,Part_Suppliers!$E$2:$E$300,"",0)=0,"",_xlfn.XLOOKUP($E34&amp;"|Ja",Part_Suppliers!$L$2:$L$300,Part_Suppliers!$E$2:$E$300,"",0)),"")</f>
        <v>0.04</v>
      </c>
      <c r="L34" s="101">
        <f t="shared" ref="L34:L65" si="1">IF(K34="","",F34*K34)</f>
        <v>0.04</v>
      </c>
      <c r="M34" s="85" t="s">
        <v>452</v>
      </c>
      <c r="N34" s="85" t="str">
        <f>IFERROR(VLOOKUP(E34,Part_Alternatives!$A$2:$K$200,10,FALSE()),"")</f>
        <v/>
      </c>
    </row>
    <row r="35" spans="1:14" ht="15" x14ac:dyDescent="0.15">
      <c r="A35" s="85" t="s">
        <v>43</v>
      </c>
      <c r="B35" s="85" t="s">
        <v>1055</v>
      </c>
      <c r="C35" s="100">
        <v>90</v>
      </c>
      <c r="D35" s="85" t="s">
        <v>696</v>
      </c>
      <c r="E35" s="85" t="s">
        <v>199</v>
      </c>
      <c r="F35" s="100">
        <v>1</v>
      </c>
      <c r="G35" s="85" t="s">
        <v>1092</v>
      </c>
      <c r="H35" s="85" t="s">
        <v>425</v>
      </c>
      <c r="I35" s="85" t="s">
        <v>899</v>
      </c>
      <c r="J35" s="85" t="s">
        <v>900</v>
      </c>
      <c r="K35" s="101">
        <f>IFERROR(IF(_xlfn.XLOOKUP($E35&amp;"|Ja",Part_Suppliers!$L$2:$L$300,Part_Suppliers!$E$2:$E$300,"",0)=0,"",_xlfn.XLOOKUP($E35&amp;"|Ja",Part_Suppliers!$L$2:$L$300,Part_Suppliers!$E$2:$E$300,"",0)),"")</f>
        <v>0.23</v>
      </c>
      <c r="L35" s="101">
        <f t="shared" si="1"/>
        <v>0.23</v>
      </c>
      <c r="M35" s="85" t="s">
        <v>1122</v>
      </c>
      <c r="N35" s="85" t="str">
        <f>IFERROR(VLOOKUP(E35,Part_Alternatives!$A$2:$K$200,10,FALSE()),"")</f>
        <v/>
      </c>
    </row>
    <row r="36" spans="1:14" ht="28" x14ac:dyDescent="0.15">
      <c r="A36" s="85" t="s">
        <v>43</v>
      </c>
      <c r="B36" s="85" t="s">
        <v>1055</v>
      </c>
      <c r="C36" s="100">
        <v>100</v>
      </c>
      <c r="D36" s="85" t="s">
        <v>626</v>
      </c>
      <c r="E36" s="85" t="s">
        <v>150</v>
      </c>
      <c r="F36" s="100">
        <v>1</v>
      </c>
      <c r="G36" s="85" t="s">
        <v>1092</v>
      </c>
      <c r="H36" s="85" t="s">
        <v>425</v>
      </c>
      <c r="I36" s="85" t="s">
        <v>630</v>
      </c>
      <c r="J36" s="85" t="s">
        <v>631</v>
      </c>
      <c r="K36" s="101">
        <f>IFERROR(IF(_xlfn.XLOOKUP($E36&amp;"|Ja",Part_Suppliers!$L$2:$L$300,Part_Suppliers!$E$2:$E$300,"",0)=0,"",_xlfn.XLOOKUP($E36&amp;"|Ja",Part_Suppliers!$L$2:$L$300,Part_Suppliers!$E$2:$E$300,"",0)),"")</f>
        <v>0.3</v>
      </c>
      <c r="L36" s="101">
        <f t="shared" si="1"/>
        <v>0.3</v>
      </c>
      <c r="M36" s="85" t="s">
        <v>637</v>
      </c>
      <c r="N36" s="85" t="str">
        <f>IFERROR(VLOOKUP(E36,Part_Alternatives!$A$2:$K$200,10,FALSE()),"")</f>
        <v/>
      </c>
    </row>
    <row r="37" spans="1:14" ht="15" x14ac:dyDescent="0.15">
      <c r="A37" s="85" t="s">
        <v>43</v>
      </c>
      <c r="B37" s="85" t="s">
        <v>1055</v>
      </c>
      <c r="C37" s="100">
        <v>110</v>
      </c>
      <c r="D37" s="85" t="s">
        <v>1123</v>
      </c>
      <c r="E37" s="85" t="s">
        <v>102</v>
      </c>
      <c r="F37" s="100">
        <v>1</v>
      </c>
      <c r="G37" s="85" t="s">
        <v>1092</v>
      </c>
      <c r="H37" s="85" t="s">
        <v>425</v>
      </c>
      <c r="I37" s="85" t="s">
        <v>334</v>
      </c>
      <c r="J37" s="85" t="s">
        <v>335</v>
      </c>
      <c r="K37" s="101">
        <f>IFERROR(IF(_xlfn.XLOOKUP($E37&amp;"|Ja",Part_Suppliers!$L$2:$L$300,Part_Suppliers!$E$2:$E$300,"",0)=0,"",_xlfn.XLOOKUP($E37&amp;"|Ja",Part_Suppliers!$L$2:$L$300,Part_Suppliers!$E$2:$E$300,"",0)),"")</f>
        <v>1.3</v>
      </c>
      <c r="L37" s="101">
        <f t="shared" si="1"/>
        <v>1.3</v>
      </c>
      <c r="M37" s="85" t="s">
        <v>1124</v>
      </c>
      <c r="N37" s="85" t="str">
        <f>IFERROR(VLOOKUP(E37,Part_Alternatives!$A$2:$K$200,10,FALSE()),"")</f>
        <v/>
      </c>
    </row>
    <row r="38" spans="1:14" ht="28" x14ac:dyDescent="0.15">
      <c r="A38" s="85" t="s">
        <v>43</v>
      </c>
      <c r="B38" s="85" t="s">
        <v>1055</v>
      </c>
      <c r="C38" s="100">
        <v>120</v>
      </c>
      <c r="D38" s="85" t="s">
        <v>704</v>
      </c>
      <c r="E38" s="85" t="s">
        <v>161</v>
      </c>
      <c r="F38" s="100">
        <v>1</v>
      </c>
      <c r="G38" s="85" t="s">
        <v>1092</v>
      </c>
      <c r="H38" s="85" t="s">
        <v>425</v>
      </c>
      <c r="I38" s="85" t="s">
        <v>1125</v>
      </c>
      <c r="J38" s="85" t="s">
        <v>702</v>
      </c>
      <c r="K38" s="101">
        <f>IFERROR(IF(_xlfn.XLOOKUP($E38&amp;"|Ja",Part_Suppliers!$L$2:$L$300,Part_Suppliers!$E$2:$E$300,"",0)=0,"",_xlfn.XLOOKUP($E38&amp;"|Ja",Part_Suppliers!$L$2:$L$300,Part_Suppliers!$E$2:$E$300,"",0)),"")</f>
        <v>1.79</v>
      </c>
      <c r="L38" s="101">
        <f t="shared" si="1"/>
        <v>1.79</v>
      </c>
      <c r="M38" s="85" t="s">
        <v>1126</v>
      </c>
      <c r="N38" s="85" t="str">
        <f>IFERROR(VLOOKUP(E38,Part_Alternatives!$A$2:$K$200,10,FALSE()),"")</f>
        <v/>
      </c>
    </row>
    <row r="39" spans="1:14" ht="15" x14ac:dyDescent="0.15">
      <c r="A39" s="85" t="s">
        <v>43</v>
      </c>
      <c r="B39" s="85" t="s">
        <v>1055</v>
      </c>
      <c r="C39" s="100">
        <v>130</v>
      </c>
      <c r="D39" s="85" t="s">
        <v>1127</v>
      </c>
      <c r="E39" s="85" t="s">
        <v>94</v>
      </c>
      <c r="F39" s="100">
        <v>1</v>
      </c>
      <c r="G39" s="85" t="s">
        <v>1092</v>
      </c>
      <c r="H39" s="85" t="s">
        <v>425</v>
      </c>
      <c r="I39" s="85" t="s">
        <v>280</v>
      </c>
      <c r="J39" s="85" t="s">
        <v>281</v>
      </c>
      <c r="K39" s="101">
        <f>IFERROR(IF(_xlfn.XLOOKUP($E39&amp;"|Ja",Part_Suppliers!$L$2:$L$300,Part_Suppliers!$E$2:$E$300,"",0)=0,"",_xlfn.XLOOKUP($E39&amp;"|Ja",Part_Suppliers!$L$2:$L$300,Part_Suppliers!$E$2:$E$300,"",0)),"")</f>
        <v>0.15</v>
      </c>
      <c r="L39" s="101">
        <f t="shared" si="1"/>
        <v>0.15</v>
      </c>
      <c r="M39" s="85" t="s">
        <v>286</v>
      </c>
      <c r="N39" s="85" t="str">
        <f>IFERROR(VLOOKUP(E39,Part_Alternatives!$A$2:$K$200,10,FALSE()),"")</f>
        <v/>
      </c>
    </row>
    <row r="40" spans="1:14" ht="15" x14ac:dyDescent="0.15">
      <c r="A40" s="85" t="s">
        <v>43</v>
      </c>
      <c r="B40" s="85" t="s">
        <v>1055</v>
      </c>
      <c r="C40" s="100">
        <v>140</v>
      </c>
      <c r="D40" s="85" t="s">
        <v>1128</v>
      </c>
      <c r="E40" s="85" t="s">
        <v>123</v>
      </c>
      <c r="F40" s="100">
        <v>1</v>
      </c>
      <c r="G40" s="85" t="s">
        <v>1092</v>
      </c>
      <c r="H40" s="85" t="s">
        <v>425</v>
      </c>
      <c r="I40" s="85" t="s">
        <v>467</v>
      </c>
      <c r="J40" s="85" t="s">
        <v>468</v>
      </c>
      <c r="K40" s="101">
        <f>IFERROR(IF(_xlfn.XLOOKUP($E40&amp;"|Ja",Part_Suppliers!$L$2:$L$300,Part_Suppliers!$E$2:$E$300,"",0)=0,"",_xlfn.XLOOKUP($E40&amp;"|Ja",Part_Suppliers!$L$2:$L$300,Part_Suppliers!$E$2:$E$300,"",0)),"")</f>
        <v>0.88</v>
      </c>
      <c r="L40" s="101">
        <f t="shared" si="1"/>
        <v>0.88</v>
      </c>
      <c r="M40" s="85"/>
      <c r="N40" s="85" t="str">
        <f>IFERROR(VLOOKUP(E40,Part_Alternatives!$A$2:$K$200,10,FALSE()),"")</f>
        <v/>
      </c>
    </row>
    <row r="41" spans="1:14" ht="15" x14ac:dyDescent="0.15">
      <c r="A41" s="85" t="s">
        <v>43</v>
      </c>
      <c r="B41" s="85" t="s">
        <v>1055</v>
      </c>
      <c r="C41" s="100">
        <v>150</v>
      </c>
      <c r="D41" s="85" t="s">
        <v>711</v>
      </c>
      <c r="E41" s="85" t="s">
        <v>162</v>
      </c>
      <c r="F41" s="100">
        <v>1</v>
      </c>
      <c r="G41" s="85" t="s">
        <v>1092</v>
      </c>
      <c r="H41" s="85" t="s">
        <v>425</v>
      </c>
      <c r="I41" s="85" t="s">
        <v>709</v>
      </c>
      <c r="J41" s="85" t="s">
        <v>281</v>
      </c>
      <c r="K41" s="101">
        <f>IFERROR(IF(_xlfn.XLOOKUP($E41&amp;"|Ja",Part_Suppliers!$L$2:$L$300,Part_Suppliers!$E$2:$E$300,"",0)=0,"",_xlfn.XLOOKUP($E41&amp;"|Ja",Part_Suppliers!$L$2:$L$300,Part_Suppliers!$E$2:$E$300,"",0)),"")</f>
        <v>0.18</v>
      </c>
      <c r="L41" s="101">
        <f t="shared" si="1"/>
        <v>0.18</v>
      </c>
      <c r="M41" s="85" t="s">
        <v>712</v>
      </c>
      <c r="N41" s="85" t="str">
        <f>IFERROR(VLOOKUP(E41,Part_Alternatives!$A$2:$K$200,10,FALSE()),"")</f>
        <v/>
      </c>
    </row>
    <row r="42" spans="1:14" ht="15" x14ac:dyDescent="0.15">
      <c r="A42" s="85" t="s">
        <v>43</v>
      </c>
      <c r="B42" s="85" t="s">
        <v>1055</v>
      </c>
      <c r="C42" s="100">
        <v>160</v>
      </c>
      <c r="D42" s="85" t="s">
        <v>717</v>
      </c>
      <c r="E42" s="85" t="s">
        <v>163</v>
      </c>
      <c r="F42" s="100">
        <v>1</v>
      </c>
      <c r="G42" s="85" t="s">
        <v>1092</v>
      </c>
      <c r="H42" s="85" t="s">
        <v>425</v>
      </c>
      <c r="I42" s="85" t="s">
        <v>715</v>
      </c>
      <c r="J42" s="85" t="s">
        <v>281</v>
      </c>
      <c r="K42" s="101">
        <f>IFERROR(IF(_xlfn.XLOOKUP($E42&amp;"|Ja",Part_Suppliers!$L$2:$L$300,Part_Suppliers!$E$2:$E$300,"",0)=0,"",_xlfn.XLOOKUP($E42&amp;"|Ja",Part_Suppliers!$L$2:$L$300,Part_Suppliers!$E$2:$E$300,"",0)),"")</f>
        <v>0.09</v>
      </c>
      <c r="L42" s="101">
        <f t="shared" si="1"/>
        <v>0.09</v>
      </c>
      <c r="M42" s="85" t="s">
        <v>719</v>
      </c>
      <c r="N42" s="85" t="str">
        <f>IFERROR(VLOOKUP(E42,Part_Alternatives!$A$2:$K$200,10,FALSE()),"")</f>
        <v/>
      </c>
    </row>
    <row r="43" spans="1:14" ht="15" x14ac:dyDescent="0.15">
      <c r="A43" s="85" t="s">
        <v>43</v>
      </c>
      <c r="B43" s="85" t="s">
        <v>1055</v>
      </c>
      <c r="C43" s="100">
        <v>170</v>
      </c>
      <c r="D43" s="85" t="s">
        <v>1129</v>
      </c>
      <c r="E43" s="85" t="s">
        <v>107</v>
      </c>
      <c r="F43" s="100">
        <v>1</v>
      </c>
      <c r="G43" s="85" t="s">
        <v>1092</v>
      </c>
      <c r="H43" s="85" t="s">
        <v>425</v>
      </c>
      <c r="I43" s="85" t="s">
        <v>358</v>
      </c>
      <c r="J43" s="85" t="s">
        <v>281</v>
      </c>
      <c r="K43" s="101">
        <f>IFERROR(IF(_xlfn.XLOOKUP($E43&amp;"|Ja",Part_Suppliers!$L$2:$L$300,Part_Suppliers!$E$2:$E$300,"",0)=0,"",_xlfn.XLOOKUP($E43&amp;"|Ja",Part_Suppliers!$L$2:$L$300,Part_Suppliers!$E$2:$E$300,"",0)),"")</f>
        <v>0.83</v>
      </c>
      <c r="L43" s="101">
        <f t="shared" si="1"/>
        <v>0.83</v>
      </c>
      <c r="M43" s="85" t="s">
        <v>363</v>
      </c>
      <c r="N43" s="85" t="str">
        <f>IFERROR(VLOOKUP(E43,Part_Alternatives!$A$2:$K$200,10,FALSE()),"")</f>
        <v/>
      </c>
    </row>
    <row r="44" spans="1:14" ht="15" x14ac:dyDescent="0.15">
      <c r="A44" s="85" t="s">
        <v>43</v>
      </c>
      <c r="B44" s="85" t="s">
        <v>1055</v>
      </c>
      <c r="C44" s="100">
        <v>180</v>
      </c>
      <c r="D44" s="85" t="s">
        <v>725</v>
      </c>
      <c r="E44" s="85" t="s">
        <v>164</v>
      </c>
      <c r="F44" s="100">
        <v>1</v>
      </c>
      <c r="G44" s="85" t="s">
        <v>1092</v>
      </c>
      <c r="H44" s="85" t="s">
        <v>425</v>
      </c>
      <c r="I44" s="85" t="s">
        <v>722</v>
      </c>
      <c r="J44" s="85" t="s">
        <v>281</v>
      </c>
      <c r="K44" s="101">
        <f>IFERROR(IF(_xlfn.XLOOKUP($E44&amp;"|Ja",Part_Suppliers!$L$2:$L$300,Part_Suppliers!$E$2:$E$300,"",0)=0,"",_xlfn.XLOOKUP($E44&amp;"|Ja",Part_Suppliers!$L$2:$L$300,Part_Suppliers!$E$2:$E$300,"",0)),"")</f>
        <v>7.0000000000000007E-2</v>
      </c>
      <c r="L44" s="101">
        <f t="shared" si="1"/>
        <v>7.0000000000000007E-2</v>
      </c>
      <c r="M44" s="85" t="s">
        <v>1130</v>
      </c>
      <c r="N44" s="85" t="str">
        <f>IFERROR(VLOOKUP(E44,Part_Alternatives!$A$2:$K$200,10,FALSE()),"")</f>
        <v/>
      </c>
    </row>
    <row r="45" spans="1:14" ht="15" x14ac:dyDescent="0.15">
      <c r="A45" s="85" t="s">
        <v>43</v>
      </c>
      <c r="B45" s="85" t="s">
        <v>1055</v>
      </c>
      <c r="C45" s="100">
        <v>190</v>
      </c>
      <c r="D45" s="85" t="s">
        <v>1131</v>
      </c>
      <c r="E45" s="85" t="s">
        <v>201</v>
      </c>
      <c r="F45" s="100">
        <v>1</v>
      </c>
      <c r="G45" s="85" t="s">
        <v>1108</v>
      </c>
      <c r="H45" s="85" t="s">
        <v>425</v>
      </c>
      <c r="I45" s="85" t="s">
        <v>1132</v>
      </c>
      <c r="J45" s="85" t="s">
        <v>913</v>
      </c>
      <c r="K45" s="101">
        <f>IFERROR(IF(_xlfn.XLOOKUP($E45&amp;"|Ja",Part_Suppliers!$L$2:$L$300,Part_Suppliers!$E$2:$E$300,"",0)=0,"",_xlfn.XLOOKUP($E45&amp;"|Ja",Part_Suppliers!$L$2:$L$300,Part_Suppliers!$E$2:$E$300,"",0)),"")</f>
        <v>0.13</v>
      </c>
      <c r="L45" s="101">
        <f t="shared" si="1"/>
        <v>0.13</v>
      </c>
      <c r="M45" s="85" t="s">
        <v>1133</v>
      </c>
      <c r="N45" s="85" t="str">
        <f>IFERROR(VLOOKUP(E45,Part_Alternatives!$A$2:$K$200,10,FALSE()),"")</f>
        <v/>
      </c>
    </row>
    <row r="46" spans="1:14" ht="15" x14ac:dyDescent="0.15">
      <c r="A46" s="85" t="s">
        <v>43</v>
      </c>
      <c r="B46" s="85" t="s">
        <v>1055</v>
      </c>
      <c r="C46" s="100">
        <v>200</v>
      </c>
      <c r="D46" s="85" t="s">
        <v>1103</v>
      </c>
      <c r="E46" s="85" t="s">
        <v>195</v>
      </c>
      <c r="F46" s="100">
        <v>1</v>
      </c>
      <c r="G46" s="85" t="s">
        <v>1108</v>
      </c>
      <c r="H46" s="85" t="s">
        <v>425</v>
      </c>
      <c r="I46" s="85" t="s">
        <v>876</v>
      </c>
      <c r="J46" s="85" t="s">
        <v>386</v>
      </c>
      <c r="K46" s="101">
        <f>IFERROR(IF(_xlfn.XLOOKUP($E46&amp;"|Ja",Part_Suppliers!$L$2:$L$300,Part_Suppliers!$E$2:$E$300,"",0)=0,"",_xlfn.XLOOKUP($E46&amp;"|Ja",Part_Suppliers!$L$2:$L$300,Part_Suppliers!$E$2:$E$300,"",0)),"")</f>
        <v>0.39</v>
      </c>
      <c r="L46" s="101">
        <f t="shared" si="1"/>
        <v>0.39</v>
      </c>
      <c r="M46" s="85" t="s">
        <v>1134</v>
      </c>
      <c r="N46" s="85" t="str">
        <f>IFERROR(VLOOKUP(E46,Part_Alternatives!$A$2:$K$200,10,FALSE()),"")</f>
        <v/>
      </c>
    </row>
    <row r="47" spans="1:14" ht="15" x14ac:dyDescent="0.15">
      <c r="A47" s="85" t="s">
        <v>43</v>
      </c>
      <c r="B47" s="85" t="s">
        <v>1055</v>
      </c>
      <c r="C47" s="100">
        <v>210</v>
      </c>
      <c r="D47" s="85" t="s">
        <v>1097</v>
      </c>
      <c r="E47" s="85" t="s">
        <v>118</v>
      </c>
      <c r="F47" s="100">
        <v>1</v>
      </c>
      <c r="G47" s="85" t="s">
        <v>1092</v>
      </c>
      <c r="H47" s="85" t="s">
        <v>425</v>
      </c>
      <c r="I47" s="85" t="s">
        <v>436</v>
      </c>
      <c r="J47" s="85" t="s">
        <v>437</v>
      </c>
      <c r="K47" s="101">
        <f>IFERROR(IF(_xlfn.XLOOKUP($E47&amp;"|Ja",Part_Suppliers!$L$2:$L$300,Part_Suppliers!$E$2:$E$300,"",0)=0,"",_xlfn.XLOOKUP($E47&amp;"|Ja",Part_Suppliers!$L$2:$L$300,Part_Suppliers!$E$2:$E$300,"",0)),"")</f>
        <v>6.4</v>
      </c>
      <c r="L47" s="101">
        <f t="shared" si="1"/>
        <v>6.4</v>
      </c>
      <c r="M47" s="85" t="s">
        <v>440</v>
      </c>
      <c r="N47" s="85" t="str">
        <f>IFERROR(VLOOKUP(E47,Part_Alternatives!$A$2:$K$200,10,FALSE()),"")</f>
        <v/>
      </c>
    </row>
    <row r="48" spans="1:14" ht="28" x14ac:dyDescent="0.15">
      <c r="A48" s="85" t="s">
        <v>43</v>
      </c>
      <c r="B48" s="85" t="s">
        <v>1055</v>
      </c>
      <c r="C48" s="100">
        <v>220</v>
      </c>
      <c r="D48" s="85" t="s">
        <v>740</v>
      </c>
      <c r="E48" s="85" t="s">
        <v>166</v>
      </c>
      <c r="F48" s="100">
        <v>1</v>
      </c>
      <c r="G48" s="85" t="s">
        <v>1092</v>
      </c>
      <c r="H48" s="85" t="s">
        <v>425</v>
      </c>
      <c r="I48" s="85" t="s">
        <v>737</v>
      </c>
      <c r="J48" s="85" t="s">
        <v>412</v>
      </c>
      <c r="K48" s="101">
        <f>IFERROR(IF(_xlfn.XLOOKUP($E48&amp;"|Ja",Part_Suppliers!$L$2:$L$300,Part_Suppliers!$E$2:$E$300,"",0)=0,"",_xlfn.XLOOKUP($E48&amp;"|Ja",Part_Suppliers!$L$2:$L$300,Part_Suppliers!$E$2:$E$300,"",0)),"")</f>
        <v>7.25</v>
      </c>
      <c r="L48" s="101">
        <f t="shared" si="1"/>
        <v>7.25</v>
      </c>
      <c r="M48" s="85" t="s">
        <v>742</v>
      </c>
      <c r="N48" s="85" t="str">
        <f>IFERROR(VLOOKUP(E48,Part_Alternatives!$A$2:$K$200,10,FALSE()),"")</f>
        <v/>
      </c>
    </row>
    <row r="49" spans="1:14" ht="15" x14ac:dyDescent="0.15">
      <c r="A49" s="85" t="s">
        <v>43</v>
      </c>
      <c r="B49" s="85" t="s">
        <v>1055</v>
      </c>
      <c r="C49" s="100">
        <v>230</v>
      </c>
      <c r="D49" s="85"/>
      <c r="E49" s="85" t="s">
        <v>200</v>
      </c>
      <c r="F49" s="100">
        <v>1</v>
      </c>
      <c r="G49" s="85" t="s">
        <v>1092</v>
      </c>
      <c r="H49" s="85" t="s">
        <v>328</v>
      </c>
      <c r="I49" s="85" t="s">
        <v>906</v>
      </c>
      <c r="J49" s="85" t="s">
        <v>745</v>
      </c>
      <c r="K49" s="101">
        <f>IFERROR(IF(_xlfn.XLOOKUP($E49&amp;"|Ja",Part_Suppliers!$L$2:$L$300,Part_Suppliers!$E$2:$E$300,"",0)=0,"",_xlfn.XLOOKUP($E49&amp;"|Ja",Part_Suppliers!$L$2:$L$300,Part_Suppliers!$E$2:$E$300,"",0)),"")</f>
        <v>0.7</v>
      </c>
      <c r="L49" s="101">
        <f t="shared" si="1"/>
        <v>0.7</v>
      </c>
      <c r="M49" s="85" t="s">
        <v>1135</v>
      </c>
      <c r="N49" s="85" t="str">
        <f>IFERROR(VLOOKUP(E49,Part_Alternatives!$A$2:$K$200,10,FALSE()),"")</f>
        <v/>
      </c>
    </row>
    <row r="50" spans="1:14" ht="15" x14ac:dyDescent="0.15">
      <c r="A50" s="85" t="s">
        <v>45</v>
      </c>
      <c r="B50" s="85" t="s">
        <v>1060</v>
      </c>
      <c r="C50" s="100">
        <v>10</v>
      </c>
      <c r="D50" s="85" t="s">
        <v>1093</v>
      </c>
      <c r="E50" s="85" t="s">
        <v>95</v>
      </c>
      <c r="F50" s="100">
        <v>1</v>
      </c>
      <c r="G50" s="85" t="s">
        <v>1092</v>
      </c>
      <c r="H50" s="85" t="s">
        <v>425</v>
      </c>
      <c r="I50" s="85" t="s">
        <v>289</v>
      </c>
      <c r="J50" s="85" t="s">
        <v>290</v>
      </c>
      <c r="K50" s="101">
        <f>IFERROR(IF(_xlfn.XLOOKUP($E50&amp;"|Ja",Part_Suppliers!$L$2:$L$300,Part_Suppliers!$E$2:$E$300,"",0)=0,"",_xlfn.XLOOKUP($E50&amp;"|Ja",Part_Suppliers!$L$2:$L$300,Part_Suppliers!$E$2:$E$300,"",0)),"")</f>
        <v>0.24</v>
      </c>
      <c r="L50" s="101">
        <f t="shared" si="1"/>
        <v>0.24</v>
      </c>
      <c r="M50" s="85" t="s">
        <v>295</v>
      </c>
      <c r="N50" s="85" t="str">
        <f>IFERROR(VLOOKUP(E50,Part_Alternatives!$A$2:$K$200,10,FALSE()),"")</f>
        <v/>
      </c>
    </row>
    <row r="51" spans="1:14" ht="15" x14ac:dyDescent="0.15">
      <c r="A51" s="85" t="s">
        <v>45</v>
      </c>
      <c r="B51" s="85" t="s">
        <v>1060</v>
      </c>
      <c r="C51" s="100">
        <v>20</v>
      </c>
      <c r="D51" s="85" t="s">
        <v>626</v>
      </c>
      <c r="E51" s="85" t="s">
        <v>110</v>
      </c>
      <c r="F51" s="100">
        <v>1</v>
      </c>
      <c r="G51" s="85" t="s">
        <v>1092</v>
      </c>
      <c r="H51" s="85" t="s">
        <v>425</v>
      </c>
      <c r="I51" s="85" t="s">
        <v>377</v>
      </c>
      <c r="J51" s="85" t="s">
        <v>378</v>
      </c>
      <c r="K51" s="101">
        <f>IFERROR(IF(_xlfn.XLOOKUP($E51&amp;"|Ja",Part_Suppliers!$L$2:$L$300,Part_Suppliers!$E$2:$E$300,"",0)=0,"",_xlfn.XLOOKUP($E51&amp;"|Ja",Part_Suppliers!$L$2:$L$300,Part_Suppliers!$E$2:$E$300,"",0)),"")</f>
        <v>0.31</v>
      </c>
      <c r="L51" s="101">
        <f t="shared" si="1"/>
        <v>0.31</v>
      </c>
      <c r="M51" s="85"/>
      <c r="N51" s="85" t="str">
        <f>IFERROR(VLOOKUP(E51,Part_Alternatives!$A$2:$K$200,10,FALSE()),"")</f>
        <v/>
      </c>
    </row>
    <row r="52" spans="1:14" ht="15" x14ac:dyDescent="0.15">
      <c r="A52" s="85" t="s">
        <v>45</v>
      </c>
      <c r="B52" s="85" t="s">
        <v>1060</v>
      </c>
      <c r="C52" s="100">
        <v>30</v>
      </c>
      <c r="D52" s="85" t="s">
        <v>1131</v>
      </c>
      <c r="E52" s="85" t="s">
        <v>110</v>
      </c>
      <c r="F52" s="100">
        <v>1</v>
      </c>
      <c r="G52" s="85" t="s">
        <v>1092</v>
      </c>
      <c r="H52" s="85" t="s">
        <v>425</v>
      </c>
      <c r="I52" s="85" t="s">
        <v>377</v>
      </c>
      <c r="J52" s="85" t="s">
        <v>378</v>
      </c>
      <c r="K52" s="101">
        <f>IFERROR(IF(_xlfn.XLOOKUP($E52&amp;"|Ja",Part_Suppliers!$L$2:$L$300,Part_Suppliers!$E$2:$E$300,"",0)=0,"",_xlfn.XLOOKUP($E52&amp;"|Ja",Part_Suppliers!$L$2:$L$300,Part_Suppliers!$E$2:$E$300,"",0)),"")</f>
        <v>0.31</v>
      </c>
      <c r="L52" s="101">
        <f t="shared" si="1"/>
        <v>0.31</v>
      </c>
      <c r="M52" s="85"/>
      <c r="N52" s="85" t="str">
        <f>IFERROR(VLOOKUP(E52,Part_Alternatives!$A$2:$K$200,10,FALSE()),"")</f>
        <v/>
      </c>
    </row>
    <row r="53" spans="1:14" ht="15" x14ac:dyDescent="0.15">
      <c r="A53" s="85" t="s">
        <v>45</v>
      </c>
      <c r="B53" s="85" t="s">
        <v>1060</v>
      </c>
      <c r="C53" s="100">
        <v>40</v>
      </c>
      <c r="D53" s="85" t="s">
        <v>1123</v>
      </c>
      <c r="E53" s="85" t="s">
        <v>90</v>
      </c>
      <c r="F53" s="100">
        <v>1</v>
      </c>
      <c r="G53" s="85" t="s">
        <v>1092</v>
      </c>
      <c r="H53" s="85" t="s">
        <v>425</v>
      </c>
      <c r="I53" s="85" t="s">
        <v>265</v>
      </c>
      <c r="J53" s="85" t="s">
        <v>266</v>
      </c>
      <c r="K53" s="101">
        <f>IFERROR(IF(_xlfn.XLOOKUP($E53&amp;"|Ja",Part_Suppliers!$L$2:$L$300,Part_Suppliers!$E$2:$E$300,"",0)=0,"",_xlfn.XLOOKUP($E53&amp;"|Ja",Part_Suppliers!$L$2:$L$300,Part_Suppliers!$E$2:$E$300,"",0)),"")</f>
        <v>0.81</v>
      </c>
      <c r="L53" s="101">
        <f t="shared" si="1"/>
        <v>0.81</v>
      </c>
      <c r="M53" s="85" t="s">
        <v>270</v>
      </c>
      <c r="N53" s="85" t="str">
        <f>IFERROR(VLOOKUP(E53,Part_Alternatives!$A$2:$K$200,10,FALSE()),"")</f>
        <v/>
      </c>
    </row>
    <row r="54" spans="1:14" ht="15" x14ac:dyDescent="0.15">
      <c r="A54" s="85" t="s">
        <v>45</v>
      </c>
      <c r="B54" s="85" t="s">
        <v>1060</v>
      </c>
      <c r="C54" s="100">
        <v>50</v>
      </c>
      <c r="D54" s="85" t="s">
        <v>1136</v>
      </c>
      <c r="E54" s="85" t="s">
        <v>90</v>
      </c>
      <c r="F54" s="100">
        <v>1</v>
      </c>
      <c r="G54" s="85" t="s">
        <v>1092</v>
      </c>
      <c r="H54" s="85" t="s">
        <v>425</v>
      </c>
      <c r="I54" s="85" t="s">
        <v>265</v>
      </c>
      <c r="J54" s="85" t="s">
        <v>266</v>
      </c>
      <c r="K54" s="101">
        <f>IFERROR(IF(_xlfn.XLOOKUP($E54&amp;"|Ja",Part_Suppliers!$L$2:$L$300,Part_Suppliers!$E$2:$E$300,"",0)=0,"",_xlfn.XLOOKUP($E54&amp;"|Ja",Part_Suppliers!$L$2:$L$300,Part_Suppliers!$E$2:$E$300,"",0)),"")</f>
        <v>0.81</v>
      </c>
      <c r="L54" s="101">
        <f t="shared" si="1"/>
        <v>0.81</v>
      </c>
      <c r="M54" s="85" t="s">
        <v>270</v>
      </c>
      <c r="N54" s="85" t="str">
        <f>IFERROR(VLOOKUP(E54,Part_Alternatives!$A$2:$K$200,10,FALSE()),"")</f>
        <v/>
      </c>
    </row>
    <row r="55" spans="1:14" ht="15" x14ac:dyDescent="0.15">
      <c r="A55" s="85" t="s">
        <v>45</v>
      </c>
      <c r="B55" s="85" t="s">
        <v>1060</v>
      </c>
      <c r="C55" s="100">
        <v>60</v>
      </c>
      <c r="D55" s="85" t="s">
        <v>1137</v>
      </c>
      <c r="E55" s="85" t="s">
        <v>103</v>
      </c>
      <c r="F55" s="100">
        <v>1</v>
      </c>
      <c r="G55" s="85" t="s">
        <v>1092</v>
      </c>
      <c r="H55" s="85" t="s">
        <v>425</v>
      </c>
      <c r="I55" s="85" t="s">
        <v>341</v>
      </c>
      <c r="J55" s="85" t="s">
        <v>342</v>
      </c>
      <c r="K55" s="101">
        <f>IFERROR(IF(_xlfn.XLOOKUP($E55&amp;"|Ja",Part_Suppliers!$L$2:$L$300,Part_Suppliers!$E$2:$E$300,"",0)=0,"",_xlfn.XLOOKUP($E55&amp;"|Ja",Part_Suppliers!$L$2:$L$300,Part_Suppliers!$E$2:$E$300,"",0)),"")</f>
        <v>0.18</v>
      </c>
      <c r="L55" s="101">
        <f t="shared" si="1"/>
        <v>0.18</v>
      </c>
      <c r="M55" s="85"/>
      <c r="N55" s="85" t="str">
        <f>IFERROR(VLOOKUP(E55,Part_Alternatives!$A$2:$K$200,10,FALSE()),"")</f>
        <v/>
      </c>
    </row>
    <row r="56" spans="1:14" ht="15" x14ac:dyDescent="0.15">
      <c r="A56" s="85" t="s">
        <v>45</v>
      </c>
      <c r="B56" s="85" t="s">
        <v>1060</v>
      </c>
      <c r="C56" s="100">
        <v>70</v>
      </c>
      <c r="D56" s="85" t="s">
        <v>1138</v>
      </c>
      <c r="E56" s="85" t="s">
        <v>108</v>
      </c>
      <c r="F56" s="100">
        <v>1</v>
      </c>
      <c r="G56" s="85" t="s">
        <v>1092</v>
      </c>
      <c r="H56" s="85" t="s">
        <v>425</v>
      </c>
      <c r="I56" s="85" t="s">
        <v>365</v>
      </c>
      <c r="J56" s="85" t="s">
        <v>281</v>
      </c>
      <c r="K56" s="101">
        <f>IFERROR(IF(_xlfn.XLOOKUP($E56&amp;"|Ja",Part_Suppliers!$L$2:$L$300,Part_Suppliers!$E$2:$E$300,"",0)=0,"",_xlfn.XLOOKUP($E56&amp;"|Ja",Part_Suppliers!$L$2:$L$300,Part_Suppliers!$E$2:$E$300,"",0)),"")</f>
        <v>0.06</v>
      </c>
      <c r="L56" s="101">
        <f t="shared" si="1"/>
        <v>0.06</v>
      </c>
      <c r="M56" s="85"/>
      <c r="N56" s="85" t="str">
        <f>IFERROR(VLOOKUP(E56,Part_Alternatives!$A$2:$K$200,10,FALSE()),"")</f>
        <v/>
      </c>
    </row>
    <row r="57" spans="1:14" ht="15" x14ac:dyDescent="0.15">
      <c r="A57" s="85" t="s">
        <v>45</v>
      </c>
      <c r="B57" s="85" t="s">
        <v>1060</v>
      </c>
      <c r="C57" s="100">
        <v>80</v>
      </c>
      <c r="D57" s="85" t="s">
        <v>1127</v>
      </c>
      <c r="E57" s="85" t="s">
        <v>107</v>
      </c>
      <c r="F57" s="100">
        <v>1</v>
      </c>
      <c r="G57" s="85" t="s">
        <v>1092</v>
      </c>
      <c r="H57" s="85" t="s">
        <v>425</v>
      </c>
      <c r="I57" s="85" t="s">
        <v>358</v>
      </c>
      <c r="J57" s="85" t="s">
        <v>281</v>
      </c>
      <c r="K57" s="101">
        <f>IFERROR(IF(_xlfn.XLOOKUP($E57&amp;"|Ja",Part_Suppliers!$L$2:$L$300,Part_Suppliers!$E$2:$E$300,"",0)=0,"",_xlfn.XLOOKUP($E57&amp;"|Ja",Part_Suppliers!$L$2:$L$300,Part_Suppliers!$E$2:$E$300,"",0)),"")</f>
        <v>0.83</v>
      </c>
      <c r="L57" s="101">
        <f t="shared" si="1"/>
        <v>0.83</v>
      </c>
      <c r="M57" s="85" t="s">
        <v>363</v>
      </c>
      <c r="N57" s="85" t="str">
        <f>IFERROR(VLOOKUP(E57,Part_Alternatives!$A$2:$K$200,10,FALSE()),"")</f>
        <v/>
      </c>
    </row>
    <row r="58" spans="1:14" ht="15" x14ac:dyDescent="0.15">
      <c r="A58" s="85" t="s">
        <v>45</v>
      </c>
      <c r="B58" s="85" t="s">
        <v>1060</v>
      </c>
      <c r="C58" s="100">
        <v>90</v>
      </c>
      <c r="D58" s="85" t="s">
        <v>1128</v>
      </c>
      <c r="E58" s="85" t="s">
        <v>109</v>
      </c>
      <c r="F58" s="100">
        <v>1</v>
      </c>
      <c r="G58" s="85" t="s">
        <v>1092</v>
      </c>
      <c r="H58" s="85" t="s">
        <v>425</v>
      </c>
      <c r="I58" s="85" t="s">
        <v>371</v>
      </c>
      <c r="J58" s="85" t="s">
        <v>281</v>
      </c>
      <c r="K58" s="101">
        <f>IFERROR(IF(_xlfn.XLOOKUP($E58&amp;"|Ja",Part_Suppliers!$L$2:$L$300,Part_Suppliers!$E$2:$E$300,"",0)=0,"",_xlfn.XLOOKUP($E58&amp;"|Ja",Part_Suppliers!$L$2:$L$300,Part_Suppliers!$E$2:$E$300,"",0)),"")</f>
        <v>0.75</v>
      </c>
      <c r="L58" s="101">
        <f t="shared" si="1"/>
        <v>0.75</v>
      </c>
      <c r="M58" s="85" t="s">
        <v>375</v>
      </c>
      <c r="N58" s="85" t="str">
        <f>IFERROR(VLOOKUP(E58,Part_Alternatives!$A$2:$K$200,10,FALSE()),"")</f>
        <v/>
      </c>
    </row>
    <row r="59" spans="1:14" ht="15" x14ac:dyDescent="0.15">
      <c r="A59" s="85" t="s">
        <v>45</v>
      </c>
      <c r="B59" s="85" t="s">
        <v>1060</v>
      </c>
      <c r="C59" s="100">
        <v>100</v>
      </c>
      <c r="D59" s="85" t="s">
        <v>1139</v>
      </c>
      <c r="E59" s="85" t="s">
        <v>107</v>
      </c>
      <c r="F59" s="100">
        <v>1</v>
      </c>
      <c r="G59" s="85" t="s">
        <v>1092</v>
      </c>
      <c r="H59" s="85" t="s">
        <v>425</v>
      </c>
      <c r="I59" s="85" t="s">
        <v>358</v>
      </c>
      <c r="J59" s="85" t="s">
        <v>281</v>
      </c>
      <c r="K59" s="101">
        <f>IFERROR(IF(_xlfn.XLOOKUP($E59&amp;"|Ja",Part_Suppliers!$L$2:$L$300,Part_Suppliers!$E$2:$E$300,"",0)=0,"",_xlfn.XLOOKUP($E59&amp;"|Ja",Part_Suppliers!$L$2:$L$300,Part_Suppliers!$E$2:$E$300,"",0)),"")</f>
        <v>0.83</v>
      </c>
      <c r="L59" s="101">
        <f t="shared" si="1"/>
        <v>0.83</v>
      </c>
      <c r="M59" s="85" t="s">
        <v>363</v>
      </c>
      <c r="N59" s="85" t="str">
        <f>IFERROR(VLOOKUP(E59,Part_Alternatives!$A$2:$K$200,10,FALSE()),"")</f>
        <v/>
      </c>
    </row>
    <row r="60" spans="1:14" ht="15" x14ac:dyDescent="0.15">
      <c r="A60" s="85" t="s">
        <v>45</v>
      </c>
      <c r="B60" s="85" t="s">
        <v>1060</v>
      </c>
      <c r="C60" s="100">
        <v>110</v>
      </c>
      <c r="D60" s="85" t="s">
        <v>1096</v>
      </c>
      <c r="E60" s="85" t="s">
        <v>111</v>
      </c>
      <c r="F60" s="100">
        <v>1</v>
      </c>
      <c r="G60" s="85" t="s">
        <v>1092</v>
      </c>
      <c r="H60" s="85" t="s">
        <v>425</v>
      </c>
      <c r="I60" s="85" t="s">
        <v>385</v>
      </c>
      <c r="J60" s="85" t="s">
        <v>386</v>
      </c>
      <c r="K60" s="101">
        <f>IFERROR(IF(_xlfn.XLOOKUP($E60&amp;"|Ja",Part_Suppliers!$L$2:$L$300,Part_Suppliers!$E$2:$E$300,"",0)=0,"",_xlfn.XLOOKUP($E60&amp;"|Ja",Part_Suppliers!$L$2:$L$300,Part_Suppliers!$E$2:$E$300,"",0)),"")</f>
        <v>1.1000000000000001</v>
      </c>
      <c r="L60" s="101">
        <f t="shared" si="1"/>
        <v>1.1000000000000001</v>
      </c>
      <c r="M60" s="85"/>
      <c r="N60" s="85" t="str">
        <f>IFERROR(VLOOKUP(E60,Part_Alternatives!$A$2:$K$200,10,FALSE()),"")</f>
        <v/>
      </c>
    </row>
    <row r="61" spans="1:14" ht="15" x14ac:dyDescent="0.15">
      <c r="A61" s="85" t="s">
        <v>45</v>
      </c>
      <c r="B61" s="85" t="s">
        <v>1060</v>
      </c>
      <c r="C61" s="100">
        <v>120</v>
      </c>
      <c r="D61" s="85"/>
      <c r="E61" s="85" t="s">
        <v>144</v>
      </c>
      <c r="F61" s="100">
        <v>1</v>
      </c>
      <c r="G61" s="85" t="s">
        <v>1092</v>
      </c>
      <c r="H61" s="85" t="s">
        <v>328</v>
      </c>
      <c r="I61" s="85" t="s">
        <v>589</v>
      </c>
      <c r="J61" s="85" t="s">
        <v>590</v>
      </c>
      <c r="K61" s="101">
        <f>IFERROR(IF(_xlfn.XLOOKUP($E61&amp;"|Ja",Part_Suppliers!$L$2:$L$300,Part_Suppliers!$E$2:$E$300,"",0)=0,"",_xlfn.XLOOKUP($E61&amp;"|Ja",Part_Suppliers!$L$2:$L$300,Part_Suppliers!$E$2:$E$300,"",0)),"")</f>
        <v>1.73</v>
      </c>
      <c r="L61" s="101">
        <f t="shared" si="1"/>
        <v>1.73</v>
      </c>
      <c r="M61" s="85" t="s">
        <v>576</v>
      </c>
      <c r="N61" s="85" t="str">
        <f>IFERROR(VLOOKUP(E61,Part_Alternatives!$A$2:$K$200,10,FALSE()),"")</f>
        <v/>
      </c>
    </row>
    <row r="62" spans="1:14" ht="15" x14ac:dyDescent="0.15">
      <c r="A62" s="85" t="s">
        <v>48</v>
      </c>
      <c r="B62" s="85" t="s">
        <v>1064</v>
      </c>
      <c r="C62" s="100">
        <v>10</v>
      </c>
      <c r="D62" s="117" t="s">
        <v>381</v>
      </c>
      <c r="E62" s="85" t="s">
        <v>204</v>
      </c>
      <c r="F62" s="100">
        <v>1</v>
      </c>
      <c r="G62" s="85" t="s">
        <v>1092</v>
      </c>
      <c r="H62" s="85" t="s">
        <v>1140</v>
      </c>
      <c r="I62" s="85" t="s">
        <v>929</v>
      </c>
      <c r="J62" s="85" t="s">
        <v>930</v>
      </c>
      <c r="K62" s="101">
        <f>IFERROR(IF(_xlfn.XLOOKUP($E62&amp;"|Ja",Part_Suppliers!$L$2:$L$300,Part_Suppliers!$E$2:$E$300,"",0)=0,"",_xlfn.XLOOKUP($E62&amp;"|Ja",Part_Suppliers!$L$2:$L$300,Part_Suppliers!$E$2:$E$300,"",0)),"")</f>
        <v>0.54</v>
      </c>
      <c r="L62" s="101">
        <f t="shared" si="1"/>
        <v>0.54</v>
      </c>
      <c r="M62" s="85" t="s">
        <v>1141</v>
      </c>
      <c r="N62" s="85" t="str">
        <f>IFERROR(VLOOKUP(E62,Part_Alternatives!$A$2:$K$200,10,FALSE()),"")</f>
        <v/>
      </c>
    </row>
    <row r="63" spans="1:14" ht="42" x14ac:dyDescent="0.15">
      <c r="A63" s="85" t="s">
        <v>48</v>
      </c>
      <c r="B63" s="85" t="s">
        <v>1064</v>
      </c>
      <c r="C63" s="100">
        <v>20</v>
      </c>
      <c r="D63" s="85" t="s">
        <v>1142</v>
      </c>
      <c r="E63" s="85" t="s">
        <v>208</v>
      </c>
      <c r="F63" s="100">
        <v>20</v>
      </c>
      <c r="G63" s="85" t="s">
        <v>1092</v>
      </c>
      <c r="H63" s="85" t="s">
        <v>425</v>
      </c>
      <c r="I63" s="85" t="s">
        <v>959</v>
      </c>
      <c r="J63" s="85" t="s">
        <v>281</v>
      </c>
      <c r="K63" s="101">
        <f>IFERROR(IF(_xlfn.XLOOKUP($E63&amp;"|Ja",Part_Suppliers!$L$2:$L$300,Part_Suppliers!$E$2:$E$300,"",0)=0,"",_xlfn.XLOOKUP($E63&amp;"|Ja",Part_Suppliers!$L$2:$L$300,Part_Suppliers!$E$2:$E$300,"",0)),"")</f>
        <v>0.02</v>
      </c>
      <c r="L63" s="101">
        <f t="shared" si="1"/>
        <v>0.4</v>
      </c>
      <c r="M63" s="85"/>
      <c r="N63" s="85" t="str">
        <f>IFERROR(VLOOKUP(E63,Part_Alternatives!$A$2:$K$200,10,FALSE()),"")</f>
        <v/>
      </c>
    </row>
    <row r="64" spans="1:14" ht="15" x14ac:dyDescent="0.15">
      <c r="A64" s="85" t="s">
        <v>48</v>
      </c>
      <c r="B64" s="85" t="s">
        <v>1064</v>
      </c>
      <c r="C64" s="100">
        <v>30</v>
      </c>
      <c r="D64" s="85"/>
      <c r="E64" s="85" t="s">
        <v>206</v>
      </c>
      <c r="F64" s="100">
        <v>1</v>
      </c>
      <c r="G64" s="85" t="s">
        <v>1092</v>
      </c>
      <c r="H64" s="85" t="s">
        <v>328</v>
      </c>
      <c r="I64" s="85" t="s">
        <v>944</v>
      </c>
      <c r="J64" s="85" t="s">
        <v>945</v>
      </c>
      <c r="K64" s="101">
        <f>IFERROR(IF(_xlfn.XLOOKUP($E64&amp;"|Ja",Part_Suppliers!$L$2:$L$300,Part_Suppliers!$E$2:$E$300,"",0)=0,"",_xlfn.XLOOKUP($E64&amp;"|Ja",Part_Suppliers!$L$2:$L$300,Part_Suppliers!$E$2:$E$300,"",0)),"")</f>
        <v>0.7</v>
      </c>
      <c r="L64" s="101">
        <f t="shared" si="1"/>
        <v>0.7</v>
      </c>
      <c r="M64" s="85" t="s">
        <v>1143</v>
      </c>
      <c r="N64" s="85" t="str">
        <f>IFERROR(VLOOKUP(E64,Part_Alternatives!$A$2:$K$200,10,FALSE()),"")</f>
        <v/>
      </c>
    </row>
    <row r="65" spans="1:14" ht="15" x14ac:dyDescent="0.15">
      <c r="A65" s="85" t="s">
        <v>50</v>
      </c>
      <c r="B65" s="85" t="s">
        <v>1051</v>
      </c>
      <c r="C65" s="100">
        <v>10</v>
      </c>
      <c r="D65" s="85" t="s">
        <v>1093</v>
      </c>
      <c r="E65" s="85" t="s">
        <v>95</v>
      </c>
      <c r="F65" s="100">
        <v>1</v>
      </c>
      <c r="G65" s="85" t="s">
        <v>1092</v>
      </c>
      <c r="H65" s="85" t="s">
        <v>425</v>
      </c>
      <c r="I65" s="85" t="s">
        <v>289</v>
      </c>
      <c r="J65" s="85" t="s">
        <v>290</v>
      </c>
      <c r="K65" s="101">
        <f>IFERROR(IF(_xlfn.XLOOKUP($E65&amp;"|Ja",Part_Suppliers!$L$2:$L$300,Part_Suppliers!$E$2:$E$300,"",0)=0,"",_xlfn.XLOOKUP($E65&amp;"|Ja",Part_Suppliers!$L$2:$L$300,Part_Suppliers!$E$2:$E$300,"",0)),"")</f>
        <v>0.24</v>
      </c>
      <c r="L65" s="101">
        <f t="shared" si="1"/>
        <v>0.24</v>
      </c>
      <c r="M65" s="85"/>
      <c r="N65" s="85" t="str">
        <f>IFERROR(VLOOKUP(E65,Part_Alternatives!$A$2:$K$200,10,FALSE()),"")</f>
        <v/>
      </c>
    </row>
    <row r="66" spans="1:14" ht="15" x14ac:dyDescent="0.15">
      <c r="A66" s="85" t="s">
        <v>50</v>
      </c>
      <c r="B66" s="85" t="s">
        <v>1051</v>
      </c>
      <c r="C66" s="100">
        <v>20</v>
      </c>
      <c r="D66" s="85" t="s">
        <v>381</v>
      </c>
      <c r="E66" s="85" t="s">
        <v>209</v>
      </c>
      <c r="F66" s="100">
        <v>2</v>
      </c>
      <c r="G66" s="85" t="s">
        <v>1092</v>
      </c>
      <c r="H66" s="85" t="s">
        <v>425</v>
      </c>
      <c r="I66" s="85" t="s">
        <v>965</v>
      </c>
      <c r="J66" s="85" t="s">
        <v>966</v>
      </c>
      <c r="K66" s="101">
        <f>IFERROR(IF(_xlfn.XLOOKUP($E66&amp;"|Ja",Part_Suppliers!$L$2:$L$300,Part_Suppliers!$E$2:$E$300,"",0)=0,"",_xlfn.XLOOKUP($E66&amp;"|Ja",Part_Suppliers!$L$2:$L$300,Part_Suppliers!$E$2:$E$300,"",0)),"")</f>
        <v>0.71</v>
      </c>
      <c r="L66" s="101">
        <f t="shared" ref="L66:L84" si="2">IF(K66="","",F66*K66)</f>
        <v>1.42</v>
      </c>
      <c r="M66" s="85"/>
      <c r="N66" s="85" t="str">
        <f>IFERROR(VLOOKUP(E66,Part_Alternatives!$A$2:$K$200,10,FALSE()),"")</f>
        <v/>
      </c>
    </row>
    <row r="67" spans="1:14" ht="15" x14ac:dyDescent="0.15">
      <c r="A67" s="85" t="s">
        <v>50</v>
      </c>
      <c r="B67" s="85" t="s">
        <v>1051</v>
      </c>
      <c r="C67" s="100">
        <v>30</v>
      </c>
      <c r="D67" s="85" t="s">
        <v>1111</v>
      </c>
      <c r="E67" s="85" t="s">
        <v>201</v>
      </c>
      <c r="F67" s="100">
        <v>2</v>
      </c>
      <c r="G67" s="85" t="s">
        <v>1108</v>
      </c>
      <c r="H67" s="85" t="s">
        <v>425</v>
      </c>
      <c r="I67" s="85" t="s">
        <v>912</v>
      </c>
      <c r="J67" s="85" t="s">
        <v>913</v>
      </c>
      <c r="K67" s="101">
        <f>IFERROR(IF(_xlfn.XLOOKUP($E67&amp;"|Ja",Part_Suppliers!$L$2:$L$300,Part_Suppliers!$E$2:$E$300,"",0)=0,"",_xlfn.XLOOKUP($E67&amp;"|Ja",Part_Suppliers!$L$2:$L$300,Part_Suppliers!$E$2:$E$300,"",0)),"")</f>
        <v>0.13</v>
      </c>
      <c r="L67" s="101">
        <f t="shared" si="2"/>
        <v>0.26</v>
      </c>
      <c r="M67" s="85"/>
      <c r="N67" s="85" t="str">
        <f>IFERROR(VLOOKUP(E67,Part_Alternatives!$A$2:$K$200,10,FALSE()),"")</f>
        <v/>
      </c>
    </row>
    <row r="68" spans="1:14" ht="15" x14ac:dyDescent="0.15">
      <c r="A68" s="85" t="s">
        <v>50</v>
      </c>
      <c r="B68" s="85" t="s">
        <v>1051</v>
      </c>
      <c r="C68" s="100">
        <v>40</v>
      </c>
      <c r="D68" s="85" t="s">
        <v>1137</v>
      </c>
      <c r="E68" s="85" t="s">
        <v>103</v>
      </c>
      <c r="F68" s="100">
        <v>1</v>
      </c>
      <c r="G68" s="85" t="s">
        <v>1092</v>
      </c>
      <c r="H68" s="85" t="s">
        <v>425</v>
      </c>
      <c r="I68" s="85" t="s">
        <v>341</v>
      </c>
      <c r="J68" s="85" t="s">
        <v>342</v>
      </c>
      <c r="K68" s="101">
        <f>IFERROR(IF(_xlfn.XLOOKUP($E68&amp;"|Ja",Part_Suppliers!$L$2:$L$300,Part_Suppliers!$E$2:$E$300,"",0)=0,"",_xlfn.XLOOKUP($E68&amp;"|Ja",Part_Suppliers!$L$2:$L$300,Part_Suppliers!$E$2:$E$300,"",0)),"")</f>
        <v>0.18</v>
      </c>
      <c r="L68" s="101">
        <f t="shared" si="2"/>
        <v>0.18</v>
      </c>
      <c r="M68" s="85"/>
      <c r="N68" s="85" t="str">
        <f>IFERROR(VLOOKUP(E68,Part_Alternatives!$A$2:$K$200,10,FALSE()),"")</f>
        <v/>
      </c>
    </row>
    <row r="69" spans="1:14" ht="15" x14ac:dyDescent="0.15">
      <c r="A69" s="85" t="s">
        <v>50</v>
      </c>
      <c r="B69" s="85" t="s">
        <v>1051</v>
      </c>
      <c r="C69" s="100">
        <v>50</v>
      </c>
      <c r="D69" s="85" t="s">
        <v>1138</v>
      </c>
      <c r="E69" s="85" t="s">
        <v>108</v>
      </c>
      <c r="F69" s="100">
        <v>1</v>
      </c>
      <c r="G69" s="85" t="s">
        <v>1092</v>
      </c>
      <c r="H69" s="85" t="s">
        <v>425</v>
      </c>
      <c r="I69" s="85" t="s">
        <v>365</v>
      </c>
      <c r="J69" s="85" t="s">
        <v>281</v>
      </c>
      <c r="K69" s="101">
        <f>IFERROR(IF(_xlfn.XLOOKUP($E69&amp;"|Ja",Part_Suppliers!$L$2:$L$300,Part_Suppliers!$E$2:$E$300,"",0)=0,"",_xlfn.XLOOKUP($E69&amp;"|Ja",Part_Suppliers!$L$2:$L$300,Part_Suppliers!$E$2:$E$300,"",0)),"")</f>
        <v>0.06</v>
      </c>
      <c r="L69" s="101">
        <f t="shared" si="2"/>
        <v>0.06</v>
      </c>
      <c r="M69" s="85"/>
      <c r="N69" s="85" t="str">
        <f>IFERROR(VLOOKUP(E69,Part_Alternatives!$A$2:$K$200,10,FALSE()),"")</f>
        <v/>
      </c>
    </row>
    <row r="70" spans="1:14" ht="15" x14ac:dyDescent="0.15">
      <c r="A70" s="85" t="s">
        <v>50</v>
      </c>
      <c r="B70" s="85" t="s">
        <v>1051</v>
      </c>
      <c r="C70" s="85">
        <v>60</v>
      </c>
      <c r="D70" s="85" t="s">
        <v>1144</v>
      </c>
      <c r="E70" s="85" t="s">
        <v>107</v>
      </c>
      <c r="F70" s="85">
        <v>2</v>
      </c>
      <c r="G70" s="85" t="s">
        <v>1092</v>
      </c>
      <c r="H70" s="85" t="s">
        <v>425</v>
      </c>
      <c r="I70" s="85" t="s">
        <v>358</v>
      </c>
      <c r="J70" s="85" t="s">
        <v>281</v>
      </c>
      <c r="K70" s="101">
        <f>IFERROR(IF(_xlfn.XLOOKUP($E70&amp;"|Ja",Part_Suppliers!$L$2:$L$300,Part_Suppliers!$E$2:$E$300,"",0)=0,"",_xlfn.XLOOKUP($E70&amp;"|Ja",Part_Suppliers!$L$2:$L$300,Part_Suppliers!$E$2:$E$300,"",0)),"")</f>
        <v>0.83</v>
      </c>
      <c r="L70" s="101">
        <f t="shared" si="2"/>
        <v>1.66</v>
      </c>
      <c r="M70" s="85"/>
      <c r="N70" s="85" t="str">
        <f>IFERROR(VLOOKUP(E70,Part_Alternatives!$A$2:$K$200,10,FALSE()),"")</f>
        <v/>
      </c>
    </row>
    <row r="71" spans="1:14" ht="15" x14ac:dyDescent="0.15">
      <c r="A71" s="85" t="s">
        <v>50</v>
      </c>
      <c r="B71" s="85" t="s">
        <v>1051</v>
      </c>
      <c r="C71" s="85">
        <v>70</v>
      </c>
      <c r="D71" s="85" t="s">
        <v>1128</v>
      </c>
      <c r="E71" s="85" t="s">
        <v>109</v>
      </c>
      <c r="F71" s="85">
        <v>1</v>
      </c>
      <c r="G71" s="85" t="s">
        <v>1092</v>
      </c>
      <c r="H71" s="85" t="s">
        <v>425</v>
      </c>
      <c r="I71" s="85" t="s">
        <v>371</v>
      </c>
      <c r="J71" s="85" t="s">
        <v>281</v>
      </c>
      <c r="K71" s="101">
        <f>IFERROR(IF(_xlfn.XLOOKUP($E71&amp;"|Ja",Part_Suppliers!$L$2:$L$300,Part_Suppliers!$E$2:$E$300,"",0)=0,"",_xlfn.XLOOKUP($E71&amp;"|Ja",Part_Suppliers!$L$2:$L$300,Part_Suppliers!$E$2:$E$300,"",0)),"")</f>
        <v>0.75</v>
      </c>
      <c r="L71" s="101">
        <f t="shared" si="2"/>
        <v>0.75</v>
      </c>
      <c r="M71" s="85"/>
      <c r="N71" s="85" t="str">
        <f>IFERROR(VLOOKUP(E71,Part_Alternatives!$A$2:$K$200,10,FALSE()),"")</f>
        <v/>
      </c>
    </row>
    <row r="72" spans="1:14" ht="15" x14ac:dyDescent="0.15">
      <c r="A72" s="85" t="s">
        <v>50</v>
      </c>
      <c r="B72" s="85" t="s">
        <v>1051</v>
      </c>
      <c r="C72" s="85">
        <v>80</v>
      </c>
      <c r="D72" s="85" t="s">
        <v>1096</v>
      </c>
      <c r="E72" s="85" t="s">
        <v>111</v>
      </c>
      <c r="F72" s="85">
        <v>1</v>
      </c>
      <c r="G72" s="85" t="s">
        <v>1092</v>
      </c>
      <c r="H72" s="85" t="s">
        <v>425</v>
      </c>
      <c r="I72" s="85" t="s">
        <v>385</v>
      </c>
      <c r="J72" s="85" t="s">
        <v>386</v>
      </c>
      <c r="K72" s="101">
        <f>IFERROR(IF(_xlfn.XLOOKUP($E72&amp;"|Ja",Part_Suppliers!$L$2:$L$300,Part_Suppliers!$E$2:$E$300,"",0)=0,"",_xlfn.XLOOKUP($E72&amp;"|Ja",Part_Suppliers!$L$2:$L$300,Part_Suppliers!$E$2:$E$300,"",0)),"")</f>
        <v>1.1000000000000001</v>
      </c>
      <c r="L72" s="101">
        <f t="shared" si="2"/>
        <v>1.1000000000000001</v>
      </c>
      <c r="M72" s="85"/>
      <c r="N72" s="85" t="str">
        <f>IFERROR(VLOOKUP(E72,Part_Alternatives!$A$2:$K$200,10,FALSE()),"")</f>
        <v/>
      </c>
    </row>
    <row r="73" spans="1:14" ht="15" x14ac:dyDescent="0.15">
      <c r="A73" s="85" t="s">
        <v>50</v>
      </c>
      <c r="B73" s="85" t="s">
        <v>1051</v>
      </c>
      <c r="C73" s="85">
        <v>90</v>
      </c>
      <c r="D73" s="85"/>
      <c r="E73" s="85" t="s">
        <v>207</v>
      </c>
      <c r="F73" s="85">
        <v>1</v>
      </c>
      <c r="G73" s="85" t="s">
        <v>1092</v>
      </c>
      <c r="H73" s="85" t="s">
        <v>328</v>
      </c>
      <c r="I73" s="85" t="s">
        <v>952</v>
      </c>
      <c r="J73" s="85" t="s">
        <v>953</v>
      </c>
      <c r="K73" s="101">
        <f>IFERROR(IF(_xlfn.XLOOKUP($E73&amp;"|Ja",Part_Suppliers!$L$2:$L$300,Part_Suppliers!$E$2:$E$300,"",0)=0,"",_xlfn.XLOOKUP($E73&amp;"|Ja",Part_Suppliers!$L$2:$L$300,Part_Suppliers!$E$2:$E$300,"",0)),"")</f>
        <v>0.7</v>
      </c>
      <c r="L73" s="101">
        <f t="shared" si="2"/>
        <v>0.7</v>
      </c>
      <c r="M73" s="85" t="s">
        <v>1145</v>
      </c>
      <c r="N73" s="85" t="str">
        <f>IFERROR(VLOOKUP(E73,Part_Alternatives!$A$2:$K$200,10,FALSE()),"")</f>
        <v/>
      </c>
    </row>
    <row r="74" spans="1:14" ht="15" x14ac:dyDescent="0.15">
      <c r="A74" s="85" t="s">
        <v>54</v>
      </c>
      <c r="B74" s="85" t="s">
        <v>1064</v>
      </c>
      <c r="C74" s="85">
        <v>10</v>
      </c>
      <c r="D74" s="85" t="s">
        <v>1146</v>
      </c>
      <c r="E74" s="85" t="s">
        <v>95</v>
      </c>
      <c r="F74" s="85">
        <v>2</v>
      </c>
      <c r="G74" s="85" t="s">
        <v>1092</v>
      </c>
      <c r="H74" s="85" t="s">
        <v>425</v>
      </c>
      <c r="I74" s="85" t="s">
        <v>289</v>
      </c>
      <c r="J74" s="85" t="s">
        <v>290</v>
      </c>
      <c r="K74" s="101">
        <f>IFERROR(IF(_xlfn.XLOOKUP($E74&amp;"|Ja",Part_Suppliers!$L$2:$L$300,Part_Suppliers!$E$2:$E$300,"",0)=0,"",_xlfn.XLOOKUP($E74&amp;"|Ja",Part_Suppliers!$L$2:$L$300,Part_Suppliers!$E$2:$E$300,"",0)),"")</f>
        <v>0.24</v>
      </c>
      <c r="L74" s="101">
        <f t="shared" si="2"/>
        <v>0.48</v>
      </c>
      <c r="M74" s="85"/>
      <c r="N74" s="85" t="str">
        <f>IFERROR(VLOOKUP(E74,Part_Alternatives!$A$2:$K$200,10,FALSE()),"")</f>
        <v/>
      </c>
    </row>
    <row r="75" spans="1:14" ht="15" x14ac:dyDescent="0.15">
      <c r="A75" s="85" t="s">
        <v>54</v>
      </c>
      <c r="B75" s="85" t="s">
        <v>1064</v>
      </c>
      <c r="C75" s="85">
        <v>20</v>
      </c>
      <c r="D75" s="85" t="s">
        <v>1147</v>
      </c>
      <c r="E75" s="85" t="s">
        <v>147</v>
      </c>
      <c r="F75" s="85">
        <v>1</v>
      </c>
      <c r="G75" s="85" t="s">
        <v>1092</v>
      </c>
      <c r="H75" s="85" t="s">
        <v>425</v>
      </c>
      <c r="I75" s="85" t="s">
        <v>610</v>
      </c>
      <c r="J75" s="85" t="s">
        <v>611</v>
      </c>
      <c r="K75" s="101">
        <f>IFERROR(IF(_xlfn.XLOOKUP($E75&amp;"|Ja",Part_Suppliers!$L$2:$L$300,Part_Suppliers!$E$2:$E$300,"",0)=0,"",_xlfn.XLOOKUP($E75&amp;"|Ja",Part_Suppliers!$L$2:$L$300,Part_Suppliers!$E$2:$E$300,"",0)),"")</f>
        <v>0.18</v>
      </c>
      <c r="L75" s="101">
        <f t="shared" si="2"/>
        <v>0.18</v>
      </c>
      <c r="M75" s="85"/>
      <c r="N75" s="85" t="str">
        <f>IFERROR(VLOOKUP(E75,Part_Alternatives!$A$2:$K$200,10,FALSE()),"")</f>
        <v/>
      </c>
    </row>
    <row r="76" spans="1:14" ht="15" x14ac:dyDescent="0.15">
      <c r="A76" s="85" t="s">
        <v>54</v>
      </c>
      <c r="B76" s="85" t="s">
        <v>1064</v>
      </c>
      <c r="C76" s="85">
        <v>30</v>
      </c>
      <c r="D76" s="85" t="s">
        <v>1117</v>
      </c>
      <c r="E76" s="85" t="s">
        <v>97</v>
      </c>
      <c r="F76" s="85">
        <v>1</v>
      </c>
      <c r="G76" s="85" t="s">
        <v>1092</v>
      </c>
      <c r="H76" s="85" t="s">
        <v>425</v>
      </c>
      <c r="I76" s="85" t="s">
        <v>297</v>
      </c>
      <c r="J76" s="85" t="s">
        <v>290</v>
      </c>
      <c r="K76" s="101">
        <f>IFERROR(IF(_xlfn.XLOOKUP($E76&amp;"|Ja",Part_Suppliers!$L$2:$L$300,Part_Suppliers!$E$2:$E$300,"",0)=0,"",_xlfn.XLOOKUP($E76&amp;"|Ja",Part_Suppliers!$L$2:$L$300,Part_Suppliers!$E$2:$E$300,"",0)),"")</f>
        <v>0.11</v>
      </c>
      <c r="L76" s="101">
        <f t="shared" si="2"/>
        <v>0.11</v>
      </c>
      <c r="M76" s="85"/>
      <c r="N76" s="85" t="str">
        <f>IFERROR(VLOOKUP(E76,Part_Alternatives!$A$2:$K$200,10,FALSE()),"")</f>
        <v/>
      </c>
    </row>
    <row r="77" spans="1:14" ht="15" x14ac:dyDescent="0.15">
      <c r="A77" s="85" t="s">
        <v>54</v>
      </c>
      <c r="B77" s="85" t="s">
        <v>1064</v>
      </c>
      <c r="C77" s="85">
        <v>40</v>
      </c>
      <c r="D77" s="85" t="s">
        <v>1118</v>
      </c>
      <c r="E77" s="85" t="s">
        <v>98</v>
      </c>
      <c r="F77" s="85">
        <v>1</v>
      </c>
      <c r="G77" s="85" t="s">
        <v>1092</v>
      </c>
      <c r="H77" s="85" t="s">
        <v>425</v>
      </c>
      <c r="I77" s="85" t="s">
        <v>304</v>
      </c>
      <c r="J77" s="85" t="s">
        <v>305</v>
      </c>
      <c r="K77" s="101">
        <f>IFERROR(IF(_xlfn.XLOOKUP($E77&amp;"|Ja",Part_Suppliers!$L$2:$L$300,Part_Suppliers!$E$2:$E$300,"",0)=0,"",_xlfn.XLOOKUP($E77&amp;"|Ja",Part_Suppliers!$L$2:$L$300,Part_Suppliers!$E$2:$E$300,"",0)),"")</f>
        <v>0.28999999999999998</v>
      </c>
      <c r="L77" s="101">
        <f t="shared" si="2"/>
        <v>0.28999999999999998</v>
      </c>
      <c r="M77" s="85"/>
      <c r="N77" s="85" t="str">
        <f>IFERROR(VLOOKUP(E77,Part_Alternatives!$A$2:$K$200,10,FALSE()),"")</f>
        <v/>
      </c>
    </row>
    <row r="78" spans="1:14" ht="28" x14ac:dyDescent="0.15">
      <c r="A78" s="85" t="s">
        <v>54</v>
      </c>
      <c r="B78" s="85" t="s">
        <v>1064</v>
      </c>
      <c r="C78" s="85">
        <v>50</v>
      </c>
      <c r="D78" s="85" t="s">
        <v>1109</v>
      </c>
      <c r="E78" s="85" t="s">
        <v>146</v>
      </c>
      <c r="F78" s="85">
        <v>2</v>
      </c>
      <c r="G78" s="85" t="s">
        <v>1092</v>
      </c>
      <c r="H78" s="85" t="s">
        <v>425</v>
      </c>
      <c r="I78" s="85" t="s">
        <v>602</v>
      </c>
      <c r="J78" s="85" t="s">
        <v>603</v>
      </c>
      <c r="K78" s="101">
        <f>IFERROR(IF(_xlfn.XLOOKUP($E78&amp;"|Ja",Part_Suppliers!$L$2:$L$300,Part_Suppliers!$E$2:$E$300,"",0)=0,"",_xlfn.XLOOKUP($E78&amp;"|Ja",Part_Suppliers!$L$2:$L$300,Part_Suppliers!$E$2:$E$300,"",0)),"")</f>
        <v>0.18</v>
      </c>
      <c r="L78" s="101">
        <f t="shared" si="2"/>
        <v>0.36</v>
      </c>
      <c r="M78" s="85"/>
      <c r="N78" s="85" t="str">
        <f>IFERROR(VLOOKUP(E78,Part_Alternatives!$A$2:$K$200,10,FALSE()),"")</f>
        <v/>
      </c>
    </row>
    <row r="79" spans="1:14" ht="15" x14ac:dyDescent="0.15">
      <c r="A79" s="85" t="s">
        <v>54</v>
      </c>
      <c r="B79" s="85" t="s">
        <v>1064</v>
      </c>
      <c r="C79" s="85">
        <v>60</v>
      </c>
      <c r="D79" s="85" t="s">
        <v>626</v>
      </c>
      <c r="E79" s="85" t="s">
        <v>212</v>
      </c>
      <c r="F79" s="85">
        <v>1</v>
      </c>
      <c r="G79" s="85" t="s">
        <v>1092</v>
      </c>
      <c r="H79" s="85" t="s">
        <v>425</v>
      </c>
      <c r="I79" s="85" t="s">
        <v>987</v>
      </c>
      <c r="J79" s="85" t="s">
        <v>988</v>
      </c>
      <c r="K79" s="101">
        <f>IFERROR(IF(_xlfn.XLOOKUP($E79&amp;"|Ja",Part_Suppliers!$L$2:$L$300,Part_Suppliers!$E$2:$E$300,"",0)=0,"",_xlfn.XLOOKUP($E79&amp;"|Ja",Part_Suppliers!$L$2:$L$300,Part_Suppliers!$E$2:$E$300,"",0)),"")</f>
        <v>0.59</v>
      </c>
      <c r="L79" s="101">
        <f t="shared" si="2"/>
        <v>0.59</v>
      </c>
      <c r="M79" s="85"/>
      <c r="N79" s="85" t="str">
        <f>IFERROR(VLOOKUP(E79,Part_Alternatives!$A$2:$K$200,10,FALSE()),"")</f>
        <v/>
      </c>
    </row>
    <row r="80" spans="1:14" ht="28" x14ac:dyDescent="0.15">
      <c r="A80" s="85" t="s">
        <v>54</v>
      </c>
      <c r="B80" s="85" t="s">
        <v>1064</v>
      </c>
      <c r="C80" s="85">
        <v>70</v>
      </c>
      <c r="D80" s="85" t="s">
        <v>1123</v>
      </c>
      <c r="E80" s="85" t="s">
        <v>210</v>
      </c>
      <c r="F80" s="85">
        <v>1</v>
      </c>
      <c r="G80" s="85" t="s">
        <v>1092</v>
      </c>
      <c r="H80" s="85" t="s">
        <v>425</v>
      </c>
      <c r="I80" s="85" t="s">
        <v>971</v>
      </c>
      <c r="J80" s="85" t="s">
        <v>972</v>
      </c>
      <c r="K80" s="101">
        <f>IFERROR(IF(_xlfn.XLOOKUP($E80&amp;"|Ja",Part_Suppliers!$L$2:$L$300,Part_Suppliers!$E$2:$E$300,"",0)=0,"",_xlfn.XLOOKUP($E80&amp;"|Ja",Part_Suppliers!$L$2:$L$300,Part_Suppliers!$E$2:$E$300,"",0)),"")</f>
        <v>2</v>
      </c>
      <c r="L80" s="101">
        <f t="shared" si="2"/>
        <v>2</v>
      </c>
      <c r="M80" s="85"/>
      <c r="N80" s="85" t="str">
        <f>IFERROR(VLOOKUP(E80,Part_Alternatives!$A$2:$K$200,10,FALSE()),"")</f>
        <v/>
      </c>
    </row>
    <row r="81" spans="1:14" ht="15" x14ac:dyDescent="0.15">
      <c r="A81" s="85" t="s">
        <v>54</v>
      </c>
      <c r="B81" s="85" t="s">
        <v>1064</v>
      </c>
      <c r="C81" s="85">
        <v>80</v>
      </c>
      <c r="D81" s="85" t="s">
        <v>1114</v>
      </c>
      <c r="E81" s="85" t="s">
        <v>203</v>
      </c>
      <c r="F81" s="85">
        <v>2</v>
      </c>
      <c r="G81" s="85" t="s">
        <v>1092</v>
      </c>
      <c r="H81" s="85" t="s">
        <v>425</v>
      </c>
      <c r="I81" s="85" t="s">
        <v>923</v>
      </c>
      <c r="J81" s="85" t="s">
        <v>281</v>
      </c>
      <c r="K81" s="101">
        <f>IFERROR(IF(_xlfn.XLOOKUP($E81&amp;"|Ja",Part_Suppliers!$L$2:$L$300,Part_Suppliers!$E$2:$E$300,"",0)=0,"",_xlfn.XLOOKUP($E81&amp;"|Ja",Part_Suppliers!$L$2:$L$300,Part_Suppliers!$E$2:$E$300,"",0)),"")</f>
        <v>0.09</v>
      </c>
      <c r="L81" s="101">
        <f t="shared" si="2"/>
        <v>0.18</v>
      </c>
      <c r="M81" s="85"/>
      <c r="N81" s="85" t="str">
        <f>IFERROR(VLOOKUP(E81,Part_Alternatives!$A$2:$K$200,10,FALSE()),"")</f>
        <v/>
      </c>
    </row>
    <row r="82" spans="1:14" ht="14" x14ac:dyDescent="0.15">
      <c r="A82" s="85" t="s">
        <v>54</v>
      </c>
      <c r="B82" s="85" t="s">
        <v>1064</v>
      </c>
      <c r="C82" s="85">
        <v>90</v>
      </c>
      <c r="D82" s="85" t="s">
        <v>1096</v>
      </c>
      <c r="E82" s="85" t="s">
        <v>99</v>
      </c>
      <c r="F82" s="85">
        <v>1</v>
      </c>
      <c r="G82" s="85" t="s">
        <v>1092</v>
      </c>
      <c r="H82" s="85" t="s">
        <v>425</v>
      </c>
      <c r="I82" s="85" t="s">
        <v>312</v>
      </c>
      <c r="J82" s="85" t="s">
        <v>313</v>
      </c>
      <c r="K82" s="102">
        <f>IFERROR(IF(_xlfn.XLOOKUP($E82&amp;"|Ja",Part_Suppliers!$L$2:$L$300,Part_Suppliers!$E$2:$E$300,"",0)=0,"",_xlfn.XLOOKUP($E82&amp;"|Ja",Part_Suppliers!$L$2:$L$300,Part_Suppliers!$E$2:$E$300,"",0)),"")</f>
        <v>1</v>
      </c>
      <c r="L82" s="102">
        <f t="shared" si="2"/>
        <v>1</v>
      </c>
      <c r="M82" s="85"/>
      <c r="N82" s="85" t="str">
        <f>IFERROR(VLOOKUP(E82,Part_Alternatives!$A$2:$K$200,10,FALSE()),"")</f>
        <v/>
      </c>
    </row>
    <row r="83" spans="1:14" ht="14" x14ac:dyDescent="0.15">
      <c r="A83" s="85" t="s">
        <v>54</v>
      </c>
      <c r="B83" s="85" t="s">
        <v>1064</v>
      </c>
      <c r="C83" s="85">
        <v>100</v>
      </c>
      <c r="D83" s="85"/>
      <c r="E83" s="85" t="s">
        <v>211</v>
      </c>
      <c r="F83" s="85">
        <v>1</v>
      </c>
      <c r="G83" s="85" t="s">
        <v>1092</v>
      </c>
      <c r="H83" s="85" t="s">
        <v>328</v>
      </c>
      <c r="I83" s="85" t="s">
        <v>979</v>
      </c>
      <c r="J83" s="85" t="s">
        <v>980</v>
      </c>
      <c r="K83" s="102">
        <f>IFERROR(IF(_xlfn.XLOOKUP($E83&amp;"|Ja",Part_Suppliers!$L$2:$L$300,Part_Suppliers!$E$2:$E$300,"",0)=0,"",_xlfn.XLOOKUP($E83&amp;"|Ja",Part_Suppliers!$L$2:$L$300,Part_Suppliers!$E$2:$E$300,"",0)),"")</f>
        <v>0.7</v>
      </c>
      <c r="L83" s="102">
        <f t="shared" si="2"/>
        <v>0.7</v>
      </c>
      <c r="M83" s="85" t="s">
        <v>1148</v>
      </c>
      <c r="N83" s="85" t="str">
        <f>IFERROR(VLOOKUP(E83,Part_Alternatives!$A$2:$K$200,10,FALSE()),"")</f>
        <v/>
      </c>
    </row>
    <row r="84" spans="1:14" ht="42" x14ac:dyDescent="0.15">
      <c r="A84" s="85" t="s">
        <v>57</v>
      </c>
      <c r="B84" s="85" t="s">
        <v>1077</v>
      </c>
      <c r="C84" s="85">
        <v>10</v>
      </c>
      <c r="D84" s="85" t="s">
        <v>1149</v>
      </c>
      <c r="E84" s="85" t="s">
        <v>116</v>
      </c>
      <c r="F84" s="85">
        <v>10</v>
      </c>
      <c r="G84" s="85" t="s">
        <v>1092</v>
      </c>
      <c r="H84" s="85" t="s">
        <v>425</v>
      </c>
      <c r="I84" s="85" t="s">
        <v>420</v>
      </c>
      <c r="J84" s="85" t="s">
        <v>421</v>
      </c>
      <c r="K84" s="102">
        <f>IFERROR(IF(_xlfn.XLOOKUP($E84&amp;"|Ja",Part_Suppliers!$L$2:$L$300,Part_Suppliers!$E$2:$E$300,"",0)=0,"",_xlfn.XLOOKUP($E84&amp;"|Ja",Part_Suppliers!$L$2:$L$300,Part_Suppliers!$E$2:$E$300,"",0)),"")</f>
        <v>0.17</v>
      </c>
      <c r="L84" s="102">
        <f t="shared" si="2"/>
        <v>1.7000000000000002</v>
      </c>
      <c r="M84" s="85"/>
      <c r="N84" s="85" t="str">
        <f>IFERROR(VLOOKUP(E84,Part_Alternatives!$A$2:$K$200,10,FALSE()),"")</f>
        <v/>
      </c>
    </row>
    <row r="85" spans="1:14" ht="14" x14ac:dyDescent="0.15">
      <c r="A85" s="85" t="s">
        <v>57</v>
      </c>
      <c r="B85" s="85" t="s">
        <v>1077</v>
      </c>
      <c r="C85" s="85">
        <v>20</v>
      </c>
      <c r="D85" s="85" t="s">
        <v>1093</v>
      </c>
      <c r="E85" s="85" t="s">
        <v>95</v>
      </c>
      <c r="F85" s="85">
        <v>1</v>
      </c>
      <c r="G85" s="85" t="s">
        <v>1092</v>
      </c>
      <c r="H85" s="85" t="s">
        <v>425</v>
      </c>
      <c r="I85" s="85" t="s">
        <v>289</v>
      </c>
      <c r="J85" s="85" t="s">
        <v>290</v>
      </c>
      <c r="K85" s="102">
        <f>IFERROR(IF(_xlfn.XLOOKUP($E85&amp;"|Ja",Part_Suppliers!$L$2:$L$300,Part_Suppliers!$E$2:$E$300,"",0)=0,"",_xlfn.XLOOKUP($E85&amp;"|Ja",Part_Suppliers!$L$2:$L$300,Part_Suppliers!$E$2:$E$300,"",0)),"")</f>
        <v>0.24</v>
      </c>
      <c r="L85" s="102">
        <f>IF(K85="","",F85*K85)</f>
        <v>0.24</v>
      </c>
      <c r="M85" s="85"/>
      <c r="N85" s="85" t="str">
        <f>IFERROR(VLOOKUP(E85,Part_Alternatives!$A$2:$K$200,10,FALSE()),"")</f>
        <v/>
      </c>
    </row>
    <row r="86" spans="1:14" ht="28" x14ac:dyDescent="0.15">
      <c r="A86" s="85" t="s">
        <v>57</v>
      </c>
      <c r="B86" s="85" t="s">
        <v>1077</v>
      </c>
      <c r="C86" s="85">
        <v>30</v>
      </c>
      <c r="D86" s="85" t="s">
        <v>1150</v>
      </c>
      <c r="E86" s="85" t="s">
        <v>215</v>
      </c>
      <c r="F86" s="85">
        <v>8</v>
      </c>
      <c r="G86" s="85" t="s">
        <v>1092</v>
      </c>
      <c r="H86" s="85" t="s">
        <v>425</v>
      </c>
      <c r="I86" s="85" t="s">
        <v>1004</v>
      </c>
      <c r="J86" s="85" t="s">
        <v>1005</v>
      </c>
      <c r="K86" s="102">
        <f>IFERROR(IF(_xlfn.XLOOKUP($E86&amp;"|Ja",Part_Suppliers!$L$2:$L$300,Part_Suppliers!$E$2:$E$300,"",0)=0,"",_xlfn.XLOOKUP($E86&amp;"|Ja",Part_Suppliers!$L$2:$L$300,Part_Suppliers!$E$2:$E$300,"",0)),"")</f>
        <v>0.45</v>
      </c>
      <c r="L86" s="102">
        <f t="shared" ref="L86:L106" si="3">IF(K86="","",F86*K86)</f>
        <v>3.6</v>
      </c>
      <c r="M86" s="85"/>
      <c r="N86" s="85" t="str">
        <f>IFERROR(VLOOKUP(E86,Part_Alternatives!$A$2:$K$200,10,FALSE()),"")</f>
        <v/>
      </c>
    </row>
    <row r="87" spans="1:14" ht="28" x14ac:dyDescent="0.15">
      <c r="A87" s="85" t="s">
        <v>57</v>
      </c>
      <c r="B87" s="85" t="s">
        <v>1077</v>
      </c>
      <c r="C87" s="85">
        <v>40</v>
      </c>
      <c r="D87" s="85" t="s">
        <v>626</v>
      </c>
      <c r="E87" s="85" t="s">
        <v>145</v>
      </c>
      <c r="F87" s="85">
        <v>1</v>
      </c>
      <c r="G87" s="85" t="s">
        <v>1092</v>
      </c>
      <c r="H87" s="85" t="s">
        <v>425</v>
      </c>
      <c r="I87" s="85" t="s">
        <v>593</v>
      </c>
      <c r="J87" s="85" t="s">
        <v>594</v>
      </c>
      <c r="K87" s="102">
        <f>IFERROR(IF(_xlfn.XLOOKUP($E87&amp;"|Ja",Part_Suppliers!$L$2:$L$300,Part_Suppliers!$E$2:$E$300,"",0)=0,"",_xlfn.XLOOKUP($E87&amp;"|Ja",Part_Suppliers!$L$2:$L$300,Part_Suppliers!$E$2:$E$300,"",0)),"")</f>
        <v>0.43</v>
      </c>
      <c r="L87" s="102">
        <f t="shared" si="3"/>
        <v>0.43</v>
      </c>
      <c r="M87" s="85"/>
      <c r="N87" s="85" t="str">
        <f>IFERROR(VLOOKUP(E87,Part_Alternatives!$A$2:$K$200,10,FALSE()),"")</f>
        <v>ENP-00109 · gleichwertig</v>
      </c>
    </row>
    <row r="88" spans="1:14" ht="14" x14ac:dyDescent="0.15">
      <c r="A88" s="85" t="s">
        <v>57</v>
      </c>
      <c r="B88" s="85" t="s">
        <v>1077</v>
      </c>
      <c r="C88" s="85">
        <v>50</v>
      </c>
      <c r="D88" s="85" t="s">
        <v>1095</v>
      </c>
      <c r="E88" s="85" t="s">
        <v>94</v>
      </c>
      <c r="F88" s="85">
        <v>4</v>
      </c>
      <c r="G88" s="85" t="s">
        <v>1092</v>
      </c>
      <c r="H88" s="85" t="s">
        <v>425</v>
      </c>
      <c r="I88" s="85" t="s">
        <v>280</v>
      </c>
      <c r="J88" s="85" t="s">
        <v>281</v>
      </c>
      <c r="K88" s="102">
        <f>IFERROR(IF(_xlfn.XLOOKUP($E88&amp;"|Ja",Part_Suppliers!$L$2:$L$300,Part_Suppliers!$E$2:$E$300,"",0)=0,"",_xlfn.XLOOKUP($E88&amp;"|Ja",Part_Suppliers!$L$2:$L$300,Part_Suppliers!$E$2:$E$300,"",0)),"")</f>
        <v>0.15</v>
      </c>
      <c r="L88" s="102">
        <f t="shared" si="3"/>
        <v>0.6</v>
      </c>
      <c r="M88" s="85"/>
      <c r="N88" s="85" t="str">
        <f>IFERROR(VLOOKUP(E88,Part_Alternatives!$A$2:$K$200,10,FALSE()),"")</f>
        <v/>
      </c>
    </row>
    <row r="89" spans="1:14" ht="28" x14ac:dyDescent="0.15">
      <c r="A89" s="85" t="s">
        <v>57</v>
      </c>
      <c r="B89" s="85" t="s">
        <v>1077</v>
      </c>
      <c r="C89" s="85">
        <v>60</v>
      </c>
      <c r="D89" s="85" t="s">
        <v>1096</v>
      </c>
      <c r="E89" s="85" t="s">
        <v>54</v>
      </c>
      <c r="F89" s="85">
        <v>1</v>
      </c>
      <c r="G89" s="85" t="s">
        <v>1098</v>
      </c>
      <c r="H89" s="85" t="s">
        <v>1099</v>
      </c>
      <c r="I89" s="85" t="s">
        <v>1100</v>
      </c>
      <c r="J89" s="85" t="s">
        <v>1101</v>
      </c>
      <c r="K89" s="102"/>
      <c r="L89" s="102" t="str">
        <f t="shared" si="3"/>
        <v/>
      </c>
      <c r="M89" s="85" t="s">
        <v>1102</v>
      </c>
      <c r="N89" s="85"/>
    </row>
    <row r="90" spans="1:14" ht="14" x14ac:dyDescent="0.15">
      <c r="A90" s="85" t="s">
        <v>57</v>
      </c>
      <c r="B90" s="85" t="s">
        <v>1077</v>
      </c>
      <c r="C90" s="85">
        <v>70</v>
      </c>
      <c r="D90" s="85" t="s">
        <v>1097</v>
      </c>
      <c r="E90" s="85" t="s">
        <v>195</v>
      </c>
      <c r="F90" s="85">
        <v>1</v>
      </c>
      <c r="G90" s="85" t="s">
        <v>1092</v>
      </c>
      <c r="H90" s="85" t="s">
        <v>425</v>
      </c>
      <c r="I90" s="85" t="s">
        <v>876</v>
      </c>
      <c r="J90" s="85" t="s">
        <v>386</v>
      </c>
      <c r="K90" s="102">
        <f>IFERROR(IF(_xlfn.XLOOKUP($E90&amp;"|Ja",Part_Suppliers!$L$2:$L$300,Part_Suppliers!$E$2:$E$300,"",0)=0,"",_xlfn.XLOOKUP($E90&amp;"|Ja",Part_Suppliers!$L$2:$L$300,Part_Suppliers!$E$2:$E$300,"",0)),"")</f>
        <v>0.39</v>
      </c>
      <c r="L90" s="102">
        <f t="shared" si="3"/>
        <v>0.39</v>
      </c>
      <c r="M90" s="85"/>
      <c r="N90" s="85" t="str">
        <f>IFERROR(VLOOKUP(E90,Part_Alternatives!$A$2:$K$200,10,FALSE()),"")</f>
        <v/>
      </c>
    </row>
    <row r="91" spans="1:14" ht="14" x14ac:dyDescent="0.15">
      <c r="A91" s="85" t="s">
        <v>57</v>
      </c>
      <c r="B91" s="85" t="s">
        <v>1077</v>
      </c>
      <c r="C91" s="85">
        <v>80</v>
      </c>
      <c r="D91" s="85" t="s">
        <v>1103</v>
      </c>
      <c r="E91" s="85" t="s">
        <v>100</v>
      </c>
      <c r="F91" s="85">
        <v>1</v>
      </c>
      <c r="G91" s="85" t="s">
        <v>1092</v>
      </c>
      <c r="H91" s="85" t="s">
        <v>425</v>
      </c>
      <c r="I91" s="85" t="s">
        <v>320</v>
      </c>
      <c r="J91" s="85" t="s">
        <v>321</v>
      </c>
      <c r="K91" s="102">
        <f>IFERROR(IF(_xlfn.XLOOKUP($E91&amp;"|Ja",Part_Suppliers!$L$2:$L$300,Part_Suppliers!$E$2:$E$300,"",0)=0,"",_xlfn.XLOOKUP($E91&amp;"|Ja",Part_Suppliers!$L$2:$L$300,Part_Suppliers!$E$2:$E$300,"",0)),"")</f>
        <v>4.996666666666667</v>
      </c>
      <c r="L91" s="102">
        <f t="shared" si="3"/>
        <v>4.996666666666667</v>
      </c>
      <c r="M91" s="85"/>
      <c r="N91" s="85" t="str">
        <f>IFERROR(VLOOKUP(E91,Part_Alternatives!$A$2:$K$200,10,FALSE()),"")</f>
        <v/>
      </c>
    </row>
    <row r="92" spans="1:14" ht="14" x14ac:dyDescent="0.15">
      <c r="A92" s="85" t="s">
        <v>57</v>
      </c>
      <c r="B92" s="85" t="s">
        <v>1077</v>
      </c>
      <c r="C92" s="85">
        <v>90</v>
      </c>
      <c r="D92" s="85"/>
      <c r="E92" s="85" t="s">
        <v>1018</v>
      </c>
      <c r="F92" s="85">
        <v>1</v>
      </c>
      <c r="G92" s="85" t="s">
        <v>1092</v>
      </c>
      <c r="H92" s="85" t="s">
        <v>328</v>
      </c>
      <c r="I92" s="85" t="s">
        <v>565</v>
      </c>
      <c r="J92" s="85" t="s">
        <v>1000</v>
      </c>
      <c r="K92" s="102" t="str">
        <f>IFERROR(IF(_xlfn.XLOOKUP($E92&amp;"|Ja",Part_Suppliers!$L$2:$L$300,Part_Suppliers!$E$2:$E$300,"",0)=0,"",_xlfn.XLOOKUP($E92&amp;"|Ja",Part_Suppliers!$L$2:$L$300,Part_Suppliers!$E$2:$E$300,"",0)),"")</f>
        <v/>
      </c>
      <c r="L92" s="102" t="str">
        <f t="shared" si="3"/>
        <v/>
      </c>
      <c r="M92" s="85" t="s">
        <v>1022</v>
      </c>
      <c r="N92" s="85" t="str">
        <f>IFERROR(VLOOKUP(E92,Part_Alternatives!$A$2:$K$200,10,FALSE()),"")</f>
        <v/>
      </c>
    </row>
    <row r="93" spans="1:14" ht="14" x14ac:dyDescent="0.15">
      <c r="A93" s="85" t="s">
        <v>1081</v>
      </c>
      <c r="B93" s="85" t="s">
        <v>1064</v>
      </c>
      <c r="C93" s="85">
        <v>10</v>
      </c>
      <c r="D93" s="85" t="s">
        <v>1093</v>
      </c>
      <c r="E93" s="85" t="s">
        <v>135</v>
      </c>
      <c r="F93" s="85">
        <v>1</v>
      </c>
      <c r="G93" s="85" t="s">
        <v>1092</v>
      </c>
      <c r="H93" s="85" t="s">
        <v>425</v>
      </c>
      <c r="I93" s="85" t="s">
        <v>539</v>
      </c>
      <c r="J93" s="85" t="s">
        <v>290</v>
      </c>
      <c r="K93" s="102">
        <f>IFERROR(IF(_xlfn.XLOOKUP($E93&amp;"|Ja",Part_Suppliers!$L$2:$L$300,Part_Suppliers!$E$2:$E$300,"",0)=0,"",_xlfn.XLOOKUP($E93&amp;"|Ja",Part_Suppliers!$L$2:$L$300,Part_Suppliers!$E$2:$E$300,"",0)),"")</f>
        <v>0.12</v>
      </c>
      <c r="L93" s="102">
        <f t="shared" si="3"/>
        <v>0.12</v>
      </c>
      <c r="M93" s="85"/>
      <c r="N93" s="85" t="str">
        <f>IFERROR(VLOOKUP(E93,Part_Alternatives!$A$2:$K$200,10,FALSE()),"")</f>
        <v/>
      </c>
    </row>
    <row r="94" spans="1:14" ht="14" x14ac:dyDescent="0.15">
      <c r="A94" s="85" t="s">
        <v>1081</v>
      </c>
      <c r="B94" s="85" t="s">
        <v>1064</v>
      </c>
      <c r="C94" s="85">
        <v>20</v>
      </c>
      <c r="D94" s="85" t="s">
        <v>1147</v>
      </c>
      <c r="E94" s="85" t="s">
        <v>95</v>
      </c>
      <c r="F94" s="85">
        <v>1</v>
      </c>
      <c r="G94" s="85" t="s">
        <v>1092</v>
      </c>
      <c r="H94" s="85" t="s">
        <v>425</v>
      </c>
      <c r="I94" s="85" t="s">
        <v>289</v>
      </c>
      <c r="J94" s="85" t="s">
        <v>290</v>
      </c>
      <c r="K94" s="102">
        <f>IFERROR(IF(_xlfn.XLOOKUP($E94&amp;"|Ja",Part_Suppliers!$L$2:$L$300,Part_Suppliers!$E$2:$E$300,"",0)=0,"",_xlfn.XLOOKUP($E94&amp;"|Ja",Part_Suppliers!$L$2:$L$300,Part_Suppliers!$E$2:$E$300,"",0)),"")</f>
        <v>0.24</v>
      </c>
      <c r="L94" s="102">
        <f t="shared" si="3"/>
        <v>0.24</v>
      </c>
      <c r="M94" s="85"/>
      <c r="N94" s="85" t="str">
        <f>IFERROR(VLOOKUP(E94,Part_Alternatives!$A$2:$K$200,10,FALSE()),"")</f>
        <v/>
      </c>
    </row>
    <row r="95" spans="1:14" ht="14" x14ac:dyDescent="0.15">
      <c r="A95" s="85" t="s">
        <v>1081</v>
      </c>
      <c r="B95" s="85" t="s">
        <v>1064</v>
      </c>
      <c r="C95" s="85">
        <v>30</v>
      </c>
      <c r="D95" s="85" t="s">
        <v>1151</v>
      </c>
      <c r="E95" s="85" t="s">
        <v>117</v>
      </c>
      <c r="F95" s="85">
        <v>1</v>
      </c>
      <c r="G95" s="85" t="s">
        <v>1092</v>
      </c>
      <c r="H95" s="85" t="s">
        <v>425</v>
      </c>
      <c r="I95" s="85" t="s">
        <v>428</v>
      </c>
      <c r="J95" s="85" t="s">
        <v>429</v>
      </c>
      <c r="K95" s="102">
        <f>IFERROR(IF(_xlfn.XLOOKUP($E95&amp;"|Ja",Part_Suppliers!$L$2:$L$300,Part_Suppliers!$E$2:$E$300,"",0)=0,"",_xlfn.XLOOKUP($E95&amp;"|Ja",Part_Suppliers!$L$2:$L$300,Part_Suppliers!$E$2:$E$300,"",0)),"")</f>
        <v>0.45</v>
      </c>
      <c r="L95" s="102">
        <f t="shared" si="3"/>
        <v>0.45</v>
      </c>
      <c r="M95" s="85"/>
      <c r="N95" s="85" t="str">
        <f>IFERROR(VLOOKUP(E95,Part_Alternatives!$A$2:$K$200,10,FALSE()),"")</f>
        <v/>
      </c>
    </row>
    <row r="96" spans="1:14" ht="14" x14ac:dyDescent="0.15">
      <c r="A96" s="85" t="s">
        <v>1081</v>
      </c>
      <c r="B96" s="85" t="s">
        <v>1064</v>
      </c>
      <c r="C96" s="85">
        <v>40</v>
      </c>
      <c r="D96" s="85" t="s">
        <v>1138</v>
      </c>
      <c r="E96" s="85" t="s">
        <v>136</v>
      </c>
      <c r="F96" s="85">
        <v>1</v>
      </c>
      <c r="G96" s="85" t="s">
        <v>1092</v>
      </c>
      <c r="H96" s="85" t="s">
        <v>425</v>
      </c>
      <c r="I96" s="85" t="s">
        <v>544</v>
      </c>
      <c r="J96" s="85" t="s">
        <v>468</v>
      </c>
      <c r="K96" s="102">
        <f>IFERROR(IF(_xlfn.XLOOKUP($E96&amp;"|Ja",Part_Suppliers!$L$2:$L$300,Part_Suppliers!$E$2:$E$300,"",0)=0,"",_xlfn.XLOOKUP($E96&amp;"|Ja",Part_Suppliers!$L$2:$L$300,Part_Suppliers!$E$2:$E$300,"",0)),"")</f>
        <v>0.08</v>
      </c>
      <c r="L96" s="102">
        <f t="shared" si="3"/>
        <v>0.08</v>
      </c>
      <c r="M96" s="85"/>
      <c r="N96" s="85" t="str">
        <f>IFERROR(VLOOKUP(E96,Part_Alternatives!$A$2:$K$200,10,FALSE()),"")</f>
        <v/>
      </c>
    </row>
    <row r="97" spans="1:14" ht="14" x14ac:dyDescent="0.15">
      <c r="A97" s="85" t="s">
        <v>1081</v>
      </c>
      <c r="B97" s="85" t="s">
        <v>1064</v>
      </c>
      <c r="C97" s="85">
        <v>50</v>
      </c>
      <c r="D97" s="85" t="s">
        <v>1127</v>
      </c>
      <c r="E97" s="85" t="s">
        <v>108</v>
      </c>
      <c r="F97" s="85">
        <v>1</v>
      </c>
      <c r="G97" s="85" t="s">
        <v>1092</v>
      </c>
      <c r="H97" s="85" t="s">
        <v>425</v>
      </c>
      <c r="I97" s="85" t="s">
        <v>365</v>
      </c>
      <c r="J97" s="85" t="s">
        <v>281</v>
      </c>
      <c r="K97" s="102">
        <f>IFERROR(IF(_xlfn.XLOOKUP($E97&amp;"|Ja",Part_Suppliers!$L$2:$L$300,Part_Suppliers!$E$2:$E$300,"",0)=0,"",_xlfn.XLOOKUP($E97&amp;"|Ja",Part_Suppliers!$L$2:$L$300,Part_Suppliers!$E$2:$E$300,"",0)),"")</f>
        <v>0.06</v>
      </c>
      <c r="L97" s="102">
        <f t="shared" si="3"/>
        <v>0.06</v>
      </c>
      <c r="M97" s="85"/>
      <c r="N97" s="85" t="str">
        <f>IFERROR(VLOOKUP(E97,Part_Alternatives!$A$2:$K$200,10,FALSE()),"")</f>
        <v/>
      </c>
    </row>
    <row r="98" spans="1:14" ht="14" x14ac:dyDescent="0.15">
      <c r="A98" s="85" t="s">
        <v>1081</v>
      </c>
      <c r="B98" s="85" t="s">
        <v>1064</v>
      </c>
      <c r="C98" s="85">
        <v>60</v>
      </c>
      <c r="D98" s="85" t="s">
        <v>1152</v>
      </c>
      <c r="E98" s="85" t="s">
        <v>137</v>
      </c>
      <c r="F98" s="85">
        <v>1</v>
      </c>
      <c r="G98" s="85" t="s">
        <v>1092</v>
      </c>
      <c r="H98" s="85" t="s">
        <v>425</v>
      </c>
      <c r="I98" s="85" t="s">
        <v>552</v>
      </c>
      <c r="J98" s="85" t="s">
        <v>553</v>
      </c>
      <c r="K98" s="102">
        <f>IFERROR(IF(_xlfn.XLOOKUP($E98&amp;"|Ja",Part_Suppliers!$L$2:$L$300,Part_Suppliers!$E$2:$E$300,"",0)=0,"",_xlfn.XLOOKUP($E98&amp;"|Ja",Part_Suppliers!$L$2:$L$300,Part_Suppliers!$E$2:$E$300,"",0)),"")</f>
        <v>2.93</v>
      </c>
      <c r="L98" s="102">
        <f t="shared" si="3"/>
        <v>2.93</v>
      </c>
      <c r="M98" s="85"/>
      <c r="N98" s="85" t="str">
        <f>IFERROR(VLOOKUP(E98,Part_Alternatives!$A$2:$K$200,10,FALSE()),"")</f>
        <v/>
      </c>
    </row>
    <row r="99" spans="1:14" ht="14" x14ac:dyDescent="0.15">
      <c r="A99" s="85" t="s">
        <v>1081</v>
      </c>
      <c r="B99" s="85" t="s">
        <v>1064</v>
      </c>
      <c r="C99" s="85">
        <v>70</v>
      </c>
      <c r="D99" s="85" t="s">
        <v>1096</v>
      </c>
      <c r="E99" s="85" t="s">
        <v>118</v>
      </c>
      <c r="F99" s="85">
        <v>1</v>
      </c>
      <c r="G99" s="85" t="s">
        <v>1092</v>
      </c>
      <c r="H99" s="85" t="s">
        <v>425</v>
      </c>
      <c r="I99" s="85" t="s">
        <v>436</v>
      </c>
      <c r="J99" s="85" t="s">
        <v>437</v>
      </c>
      <c r="K99" s="102">
        <f>IFERROR(IF(_xlfn.XLOOKUP($E99&amp;"|Ja",Part_Suppliers!$L$2:$L$300,Part_Suppliers!$E$2:$E$300,"",0)=0,"",_xlfn.XLOOKUP($E99&amp;"|Ja",Part_Suppliers!$L$2:$L$300,Part_Suppliers!$E$2:$E$300,"",0)),"")</f>
        <v>6.4</v>
      </c>
      <c r="L99" s="102">
        <f t="shared" si="3"/>
        <v>6.4</v>
      </c>
      <c r="M99" s="85"/>
      <c r="N99" s="85" t="str">
        <f>IFERROR(VLOOKUP(E99,Part_Alternatives!$A$2:$K$200,10,FALSE()),"")</f>
        <v/>
      </c>
    </row>
    <row r="100" spans="1:14" ht="14" x14ac:dyDescent="0.15">
      <c r="A100" s="85" t="s">
        <v>1081</v>
      </c>
      <c r="B100" s="85" t="s">
        <v>1064</v>
      </c>
      <c r="C100" s="85">
        <v>80</v>
      </c>
      <c r="D100" s="85" t="s">
        <v>1097</v>
      </c>
      <c r="E100" s="85" t="s">
        <v>138</v>
      </c>
      <c r="F100" s="85">
        <v>1</v>
      </c>
      <c r="G100" s="85" t="s">
        <v>1092</v>
      </c>
      <c r="H100" s="85" t="s">
        <v>425</v>
      </c>
      <c r="I100" s="85" t="s">
        <v>560</v>
      </c>
      <c r="J100" s="85" t="s">
        <v>412</v>
      </c>
      <c r="K100" s="85">
        <f>IFERROR(IF(_xlfn.XLOOKUP($E100&amp;"|Ja",Part_Suppliers!$L$2:$L$300,Part_Suppliers!$E$2:$E$300,"",0)=0,"",_xlfn.XLOOKUP($E100&amp;"|Ja",Part_Suppliers!$L$2:$L$300,Part_Suppliers!$E$2:$E$300,"",0)),"")</f>
        <v>1.25</v>
      </c>
      <c r="L100" s="102">
        <f t="shared" si="3"/>
        <v>1.25</v>
      </c>
      <c r="M100" s="85"/>
      <c r="N100" s="85" t="str">
        <f>IFERROR(VLOOKUP(E100,Part_Alternatives!$A$2:$K$200,10,FALSE()),"")</f>
        <v/>
      </c>
    </row>
    <row r="101" spans="1:14" ht="14" x14ac:dyDescent="0.15">
      <c r="A101" s="85" t="s">
        <v>1081</v>
      </c>
      <c r="B101" s="85" t="s">
        <v>1064</v>
      </c>
      <c r="C101" s="85">
        <v>90</v>
      </c>
      <c r="D101" s="85"/>
      <c r="E101" s="85" t="s">
        <v>143</v>
      </c>
      <c r="F101" s="85">
        <v>1</v>
      </c>
      <c r="G101" s="85" t="s">
        <v>1092</v>
      </c>
      <c r="H101" s="85" t="s">
        <v>328</v>
      </c>
      <c r="I101" s="85" t="s">
        <v>330</v>
      </c>
      <c r="J101" s="85" t="s">
        <v>584</v>
      </c>
      <c r="K101" s="85" t="str">
        <f>IFERROR(IF(_xlfn.XLOOKUP($E101&amp;"|Ja",Part_Suppliers!$L$2:$L$300,Part_Suppliers!$E$2:$E$300,"",0)=0,"",_xlfn.XLOOKUP($E101&amp;"|Ja",Part_Suppliers!$L$2:$L$300,Part_Suppliers!$E$2:$E$300,"",0)),"")</f>
        <v/>
      </c>
      <c r="L101" s="102" t="str">
        <f t="shared" si="3"/>
        <v/>
      </c>
      <c r="M101" s="85" t="s">
        <v>586</v>
      </c>
      <c r="N101" s="85" t="str">
        <f>IFERROR(VLOOKUP(E101,Part_Alternatives!$A$2:$K$200,10,FALSE()),"")</f>
        <v/>
      </c>
    </row>
    <row r="102" spans="1:14" ht="28" x14ac:dyDescent="0.15">
      <c r="A102" s="85" t="s">
        <v>1086</v>
      </c>
      <c r="B102" s="85" t="s">
        <v>1064</v>
      </c>
      <c r="C102" s="85">
        <v>10</v>
      </c>
      <c r="D102" s="85" t="s">
        <v>1153</v>
      </c>
      <c r="E102" s="85" t="s">
        <v>1039</v>
      </c>
      <c r="F102" s="85">
        <v>1</v>
      </c>
      <c r="G102" s="85" t="s">
        <v>1092</v>
      </c>
      <c r="H102" s="85" t="s">
        <v>1105</v>
      </c>
      <c r="I102" s="85" t="s">
        <v>1041</v>
      </c>
      <c r="J102" s="85" t="s">
        <v>913</v>
      </c>
      <c r="K102" s="85" t="str">
        <f>IFERROR(IF(_xlfn.XLOOKUP($E102&amp;"|Ja",Part_Suppliers!$L$2:$L$300,Part_Suppliers!$E$2:$E$300,"",0)=0,"",_xlfn.XLOOKUP($E102&amp;"|Ja",Part_Suppliers!$L$2:$L$300,Part_Suppliers!$E$2:$E$300,"",0)),"")</f>
        <v/>
      </c>
      <c r="L102" s="102" t="str">
        <f t="shared" si="3"/>
        <v/>
      </c>
      <c r="M102" s="85" t="s">
        <v>1154</v>
      </c>
      <c r="N102" s="85" t="str">
        <f>IFERROR(VLOOKUP(E102,Part_Alternatives!$A$2:$K$200,10,FALSE()),"")</f>
        <v/>
      </c>
    </row>
    <row r="103" spans="1:14" ht="14" x14ac:dyDescent="0.15">
      <c r="A103" s="85" t="s">
        <v>1086</v>
      </c>
      <c r="B103" s="85" t="s">
        <v>1064</v>
      </c>
      <c r="C103" s="85">
        <v>20</v>
      </c>
      <c r="D103" s="85" t="s">
        <v>1093</v>
      </c>
      <c r="E103" s="85" t="s">
        <v>135</v>
      </c>
      <c r="F103" s="85">
        <v>1</v>
      </c>
      <c r="G103" s="85" t="s">
        <v>1092</v>
      </c>
      <c r="H103" s="85" t="s">
        <v>425</v>
      </c>
      <c r="I103" s="85" t="s">
        <v>539</v>
      </c>
      <c r="J103" s="85" t="s">
        <v>290</v>
      </c>
      <c r="K103" s="85">
        <f>IFERROR(IF(_xlfn.XLOOKUP($E103&amp;"|Ja",Part_Suppliers!$L$2:$L$300,Part_Suppliers!$E$2:$E$300,"",0)=0,"",_xlfn.XLOOKUP($E103&amp;"|Ja",Part_Suppliers!$L$2:$L$300,Part_Suppliers!$E$2:$E$300,"",0)),"")</f>
        <v>0.12</v>
      </c>
      <c r="L103" s="102">
        <f t="shared" si="3"/>
        <v>0.12</v>
      </c>
      <c r="M103" s="85"/>
      <c r="N103" s="85" t="str">
        <f>IFERROR(VLOOKUP(E103,Part_Alternatives!$A$2:$K$200,10,FALSE()),"")</f>
        <v/>
      </c>
    </row>
    <row r="104" spans="1:14" ht="14" x14ac:dyDescent="0.15">
      <c r="A104" s="85" t="s">
        <v>1086</v>
      </c>
      <c r="B104" s="85" t="s">
        <v>1064</v>
      </c>
      <c r="C104" s="85">
        <v>30</v>
      </c>
      <c r="D104" s="85" t="s">
        <v>1147</v>
      </c>
      <c r="E104" s="85" t="s">
        <v>97</v>
      </c>
      <c r="F104" s="85">
        <v>1</v>
      </c>
      <c r="G104" s="85" t="s">
        <v>1092</v>
      </c>
      <c r="H104" s="85" t="s">
        <v>425</v>
      </c>
      <c r="I104" s="85" t="s">
        <v>297</v>
      </c>
      <c r="J104" s="85" t="s">
        <v>290</v>
      </c>
      <c r="K104" s="85">
        <f>IFERROR(IF(_xlfn.XLOOKUP($E104&amp;"|Ja",Part_Suppliers!$L$2:$L$300,Part_Suppliers!$E$2:$E$300,"",0)=0,"",_xlfn.XLOOKUP($E104&amp;"|Ja",Part_Suppliers!$L$2:$L$300,Part_Suppliers!$E$2:$E$300,"",0)),"")</f>
        <v>0.11</v>
      </c>
      <c r="L104" s="102">
        <f t="shared" si="3"/>
        <v>0.11</v>
      </c>
      <c r="M104" s="85"/>
      <c r="N104" s="85" t="str">
        <f>IFERROR(VLOOKUP(E104,Part_Alternatives!$A$2:$K$200,10,FALSE()),"")</f>
        <v/>
      </c>
    </row>
    <row r="105" spans="1:14" ht="14" x14ac:dyDescent="0.15">
      <c r="A105" s="85" t="s">
        <v>1086</v>
      </c>
      <c r="B105" s="85" t="s">
        <v>1064</v>
      </c>
      <c r="C105" s="85">
        <v>40</v>
      </c>
      <c r="D105" s="85" t="s">
        <v>626</v>
      </c>
      <c r="E105" s="85" t="s">
        <v>1024</v>
      </c>
      <c r="F105" s="85">
        <v>1</v>
      </c>
      <c r="G105" s="85" t="s">
        <v>1092</v>
      </c>
      <c r="H105" s="85" t="s">
        <v>425</v>
      </c>
      <c r="I105" s="85" t="s">
        <v>1026</v>
      </c>
      <c r="J105" s="85" t="s">
        <v>1027</v>
      </c>
      <c r="K105" s="85">
        <f>IFERROR(IF(_xlfn.XLOOKUP($E105&amp;"|Ja",Part_Suppliers!$L$2:$L$300,Part_Suppliers!$E$2:$E$300,"",0)=0,"",_xlfn.XLOOKUP($E105&amp;"|Ja",Part_Suppliers!$L$2:$L$300,Part_Suppliers!$E$2:$E$300,"",0)),"")</f>
        <v>2.04</v>
      </c>
      <c r="L105" s="102">
        <f t="shared" si="3"/>
        <v>2.04</v>
      </c>
      <c r="M105" s="85"/>
      <c r="N105" s="85" t="str">
        <f>IFERROR(VLOOKUP(E105,Part_Alternatives!$A$2:$K$200,10,FALSE()),"")</f>
        <v/>
      </c>
    </row>
    <row r="106" spans="1:14" ht="14" x14ac:dyDescent="0.15">
      <c r="A106" s="85" t="s">
        <v>1086</v>
      </c>
      <c r="B106" s="85" t="s">
        <v>1064</v>
      </c>
      <c r="C106" s="85">
        <v>50</v>
      </c>
      <c r="D106" s="110" t="s">
        <v>1095</v>
      </c>
      <c r="E106" s="85" t="s">
        <v>109</v>
      </c>
      <c r="F106" s="85">
        <v>3</v>
      </c>
      <c r="G106" s="85" t="s">
        <v>1092</v>
      </c>
      <c r="H106" s="85" t="s">
        <v>425</v>
      </c>
      <c r="I106" s="85" t="s">
        <v>371</v>
      </c>
      <c r="J106" s="85" t="s">
        <v>281</v>
      </c>
      <c r="K106" s="85">
        <f>IFERROR(IF(_xlfn.XLOOKUP($E106&amp;"|Ja",Part_Suppliers!$L$2:$L$300,Part_Suppliers!$E$2:$E$300,"",0)=0,"",_xlfn.XLOOKUP($E106&amp;"|Ja",Part_Suppliers!$L$2:$L$300,Part_Suppliers!$E$2:$E$300,"",0)),"")</f>
        <v>0.75</v>
      </c>
      <c r="L106" s="102">
        <f t="shared" si="3"/>
        <v>2.25</v>
      </c>
      <c r="M106" s="85"/>
      <c r="N106" s="85" t="str">
        <f>IFERROR(VLOOKUP(E106,Part_Alternatives!$A$2:$K$200,10,FALSE()),"")</f>
        <v/>
      </c>
    </row>
    <row r="107" spans="1:14" ht="14" x14ac:dyDescent="0.15">
      <c r="A107" s="85" t="s">
        <v>1086</v>
      </c>
      <c r="B107" s="85" t="s">
        <v>1064</v>
      </c>
      <c r="C107" s="85">
        <v>60</v>
      </c>
      <c r="D107" s="85"/>
      <c r="E107" s="85" t="s">
        <v>1033</v>
      </c>
      <c r="F107" s="85">
        <v>1</v>
      </c>
      <c r="G107" s="85" t="s">
        <v>1092</v>
      </c>
      <c r="H107" s="85" t="s">
        <v>328</v>
      </c>
      <c r="I107" s="85" t="s">
        <v>330</v>
      </c>
      <c r="J107" s="85" t="s">
        <v>1035</v>
      </c>
      <c r="K107" s="85" t="str">
        <f>IFERROR(IF(_xlfn.XLOOKUP($E107&amp;"|Ja",Part_Suppliers!$L$2:$L$300,Part_Suppliers!$E$2:$E$300,"",0)=0,"",_xlfn.XLOOKUP($E107&amp;"|Ja",Part_Suppliers!$L$2:$L$300,Part_Suppliers!$E$2:$E$300,"",0)),"")</f>
        <v/>
      </c>
      <c r="L107" s="85" t="str">
        <f>IF(K107="","",F107*K107)</f>
        <v/>
      </c>
      <c r="M107" s="85" t="s">
        <v>1037</v>
      </c>
      <c r="N107" s="85" t="str">
        <f>IFERROR(VLOOKUP(E107,Part_Alternatives!$A$2:$K$200,10,FALSE()),"")</f>
        <v/>
      </c>
    </row>
    <row r="108" spans="1:14" x14ac:dyDescent="0.15">
      <c r="A108" t="s">
        <v>1157</v>
      </c>
      <c r="K108"/>
      <c r="N108">
        <f>SUBTOTAL(103,KitBomTable[Freigegebene_Alternative])</f>
        <v>104</v>
      </c>
    </row>
    <row r="109" spans="1:14" x14ac:dyDescent="0.15">
      <c r="N109" s="80"/>
    </row>
    <row r="110" spans="1:14" x14ac:dyDescent="0.15">
      <c r="N110" s="80"/>
    </row>
    <row r="111" spans="1:14" x14ac:dyDescent="0.15">
      <c r="N111" s="80"/>
    </row>
    <row r="112" spans="1:14" x14ac:dyDescent="0.15">
      <c r="N112" s="80"/>
    </row>
    <row r="113" spans="14:14" x14ac:dyDescent="0.15">
      <c r="N113" s="80"/>
    </row>
    <row r="114" spans="14:14" x14ac:dyDescent="0.15">
      <c r="N114" s="80"/>
    </row>
    <row r="115" spans="14:14" x14ac:dyDescent="0.15">
      <c r="N115" s="80"/>
    </row>
    <row r="116" spans="14:14" x14ac:dyDescent="0.15">
      <c r="N116" s="80"/>
    </row>
  </sheetData>
  <conditionalFormatting sqref="G2:G69">
    <cfRule type="containsText" dxfId="8" priority="2" operator="containsText" text="DNP">
      <formula>NOT(ISERROR(SEARCH("DNP",G2)))</formula>
    </cfRule>
    <cfRule type="containsText" dxfId="7" priority="3" operator="containsText" text="Optional">
      <formula>NOT(ISERROR(SEARCH("Optional",G2)))</formula>
    </cfRule>
  </conditionalFormatting>
  <dataValidations count="6">
    <dataValidation type="list" sqref="G2:G84" xr:uid="{00000000-0002-0000-0200-000002000000}">
      <formula1>"Bestücken,DNP,Optional,Mechanical"</formula1>
      <formula2>0</formula2>
    </dataValidation>
    <dataValidation type="list" sqref="H2:H84" xr:uid="{00000000-0002-0000-0200-000003000000}">
      <formula1>"KiCad,PCB,Mechanik,Elektromechanik,Kabel,Zukauf,Assembly"</formula1>
      <formula2>0</formula2>
    </dataValidation>
    <dataValidation type="list" sqref="H109:H513 H85:H107" xr:uid="{00000000-0002-0000-0200-000000000000}">
      <formula1>"KiCad,PCB,Mechanical,Cable,Assembly,Consumable"</formula1>
      <formula2>0</formula2>
    </dataValidation>
    <dataValidation type="list" sqref="G109:G513 G85:G107" xr:uid="{00000000-0002-0000-0200-000001000000}">
      <formula1>"Bestücken,DNP,Optional"</formula1>
      <formula2>0</formula2>
    </dataValidation>
    <dataValidation type="list" sqref="G2:G107" xr:uid="{00000000-0002-0000-0200-000004000000}">
      <formula1>"Bestücken,DNP,Optional,Mechanical,Unterbaugruppe"</formula1>
    </dataValidation>
    <dataValidation type="list" sqref="H2:H107" xr:uid="{00000000-0002-0000-0200-000005000000}">
      <formula1>"KiCad,PCB,Assembly,Zuschnitt,Kit"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93"/>
  <sheetViews>
    <sheetView showGridLines="0" workbookViewId="0">
      <selection activeCell="A23" sqref="A23:J55"/>
    </sheetView>
  </sheetViews>
  <sheetFormatPr baseColWidth="10" defaultColWidth="8.83203125" defaultRowHeight="13" x14ac:dyDescent="0.15"/>
  <cols>
    <col min="1" max="1" width="13" customWidth="1"/>
    <col min="2" max="2" width="35" customWidth="1"/>
    <col min="3" max="3" width="15" customWidth="1"/>
    <col min="4" max="4" width="22" customWidth="1"/>
    <col min="5" max="5" width="15.5" customWidth="1"/>
    <col min="6" max="6" width="34.5" customWidth="1"/>
    <col min="7" max="8" width="14" customWidth="1"/>
    <col min="9" max="10" width="25" customWidth="1"/>
    <col min="11" max="11" width="255" customWidth="1"/>
    <col min="12" max="12" width="10.1640625" customWidth="1"/>
    <col min="13" max="13" width="9.6640625" customWidth="1"/>
    <col min="14" max="14" width="10.83203125" customWidth="1"/>
    <col min="15" max="15" width="17.6640625" customWidth="1"/>
    <col min="16" max="16" width="15" customWidth="1"/>
    <col min="17" max="17" width="12.83203125" customWidth="1"/>
    <col min="18" max="18" width="17" customWidth="1"/>
    <col min="19" max="19" width="18" customWidth="1"/>
    <col min="20" max="20" width="34" customWidth="1"/>
  </cols>
  <sheetData>
    <row r="1" spans="1:11" ht="30" customHeight="1" x14ac:dyDescent="0.15">
      <c r="A1" s="120" t="s">
        <v>31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</row>
    <row r="2" spans="1:11" ht="26" customHeight="1" x14ac:dyDescent="0.15">
      <c r="A2" s="121" t="s">
        <v>1155</v>
      </c>
      <c r="B2" s="121"/>
      <c r="C2" s="121"/>
      <c r="D2" s="121"/>
      <c r="E2" s="121"/>
      <c r="F2" s="121"/>
      <c r="G2" s="121"/>
      <c r="H2" s="121"/>
      <c r="I2" s="121"/>
      <c r="J2" s="121"/>
      <c r="K2" s="121"/>
    </row>
    <row r="4" spans="1:11" ht="15" x14ac:dyDescent="0.2">
      <c r="A4" s="28" t="s">
        <v>13</v>
      </c>
      <c r="B4" s="28" t="s">
        <v>32</v>
      </c>
      <c r="C4" s="28" t="s">
        <v>33</v>
      </c>
      <c r="E4" s="28" t="s">
        <v>34</v>
      </c>
      <c r="F4" s="28" t="s">
        <v>35</v>
      </c>
      <c r="H4" s="109" t="s">
        <v>13</v>
      </c>
      <c r="I4" s="109" t="s">
        <v>32</v>
      </c>
      <c r="J4" s="109" t="s">
        <v>33</v>
      </c>
    </row>
    <row r="5" spans="1:11" ht="25" customHeight="1" x14ac:dyDescent="0.2">
      <c r="A5" s="29" t="s">
        <v>36</v>
      </c>
      <c r="B5" s="30" t="s">
        <v>37</v>
      </c>
      <c r="C5" s="31">
        <v>2</v>
      </c>
      <c r="E5" s="29" t="s">
        <v>38</v>
      </c>
      <c r="F5" s="32" t="s">
        <v>39</v>
      </c>
      <c r="H5" t="s">
        <v>1081</v>
      </c>
      <c r="I5" t="s">
        <v>1082</v>
      </c>
      <c r="J5" s="108">
        <v>2</v>
      </c>
    </row>
    <row r="6" spans="1:11" ht="25" customHeight="1" x14ac:dyDescent="0.2">
      <c r="A6" s="33" t="s">
        <v>40</v>
      </c>
      <c r="B6" s="34" t="s">
        <v>41</v>
      </c>
      <c r="C6" s="35">
        <v>0</v>
      </c>
      <c r="E6" s="36" t="s">
        <v>42</v>
      </c>
      <c r="F6" s="37" t="s">
        <v>39</v>
      </c>
      <c r="H6" t="s">
        <v>1086</v>
      </c>
      <c r="I6" t="s">
        <v>1087</v>
      </c>
      <c r="J6" s="108">
        <v>1</v>
      </c>
    </row>
    <row r="7" spans="1:11" ht="15" x14ac:dyDescent="0.2">
      <c r="A7" s="36" t="s">
        <v>43</v>
      </c>
      <c r="B7" s="38" t="s">
        <v>44</v>
      </c>
      <c r="C7" s="39">
        <v>2</v>
      </c>
    </row>
    <row r="8" spans="1:11" ht="28" customHeight="1" x14ac:dyDescent="0.2">
      <c r="A8" s="36" t="s">
        <v>45</v>
      </c>
      <c r="B8" s="38" t="s">
        <v>46</v>
      </c>
      <c r="C8" s="39">
        <v>0</v>
      </c>
      <c r="E8" s="40" t="s">
        <v>47</v>
      </c>
      <c r="F8" s="122" t="s">
        <v>1156</v>
      </c>
      <c r="G8" s="122"/>
      <c r="H8" s="122"/>
      <c r="I8" s="122"/>
      <c r="J8" s="122"/>
      <c r="K8" s="2"/>
    </row>
    <row r="9" spans="1:11" ht="28" customHeight="1" x14ac:dyDescent="0.2">
      <c r="A9" s="36" t="s">
        <v>48</v>
      </c>
      <c r="B9" s="38" t="s">
        <v>49</v>
      </c>
      <c r="C9" s="39">
        <v>4</v>
      </c>
      <c r="E9" s="2"/>
      <c r="F9" s="122"/>
      <c r="G9" s="122"/>
      <c r="H9" s="122"/>
      <c r="I9" s="122"/>
      <c r="J9" s="122"/>
      <c r="K9" s="2"/>
    </row>
    <row r="10" spans="1:11" ht="15" x14ac:dyDescent="0.2">
      <c r="A10" s="36" t="s">
        <v>50</v>
      </c>
      <c r="B10" s="38" t="s">
        <v>51</v>
      </c>
      <c r="C10" s="39">
        <v>4</v>
      </c>
      <c r="E10" s="41" t="s">
        <v>52</v>
      </c>
      <c r="F10" s="42" t="s">
        <v>53</v>
      </c>
    </row>
    <row r="11" spans="1:11" ht="20" customHeight="1" x14ac:dyDescent="0.15">
      <c r="A11" s="97" t="s">
        <v>54</v>
      </c>
      <c r="B11" s="97" t="s">
        <v>55</v>
      </c>
      <c r="C11" s="98">
        <v>5</v>
      </c>
      <c r="E11" t="s">
        <v>56</v>
      </c>
      <c r="F11" s="96">
        <f>C11-C5-C12</f>
        <v>1</v>
      </c>
    </row>
    <row r="12" spans="1:11" ht="20" customHeight="1" x14ac:dyDescent="0.15">
      <c r="A12" s="97" t="s">
        <v>57</v>
      </c>
      <c r="B12" s="97" t="s">
        <v>58</v>
      </c>
      <c r="C12" s="98">
        <v>2</v>
      </c>
    </row>
    <row r="13" spans="1:11" ht="20" customHeight="1" x14ac:dyDescent="0.15">
      <c r="A13" s="97"/>
      <c r="B13" s="97"/>
      <c r="C13" s="98"/>
    </row>
    <row r="14" spans="1:11" ht="20" customHeight="1" x14ac:dyDescent="0.15">
      <c r="A14" s="97"/>
      <c r="B14" s="97"/>
      <c r="C14" s="111"/>
    </row>
    <row r="15" spans="1:11" ht="20" customHeight="1" x14ac:dyDescent="0.15">
      <c r="A15" s="97"/>
      <c r="B15" s="97"/>
      <c r="C15" s="111"/>
    </row>
    <row r="16" spans="1:11" ht="20" customHeight="1" x14ac:dyDescent="0.15">
      <c r="A16" s="97"/>
      <c r="B16" s="97"/>
      <c r="C16" s="111"/>
    </row>
    <row r="17" spans="1:20" ht="14" customHeight="1" x14ac:dyDescent="0.2">
      <c r="A17" s="26" t="s">
        <v>0</v>
      </c>
      <c r="B17" s="26" t="s">
        <v>2</v>
      </c>
      <c r="C17" s="26" t="s">
        <v>59</v>
      </c>
      <c r="D17" s="26" t="s">
        <v>60</v>
      </c>
      <c r="E17" s="26" t="s">
        <v>61</v>
      </c>
      <c r="F17" s="26" t="s">
        <v>62</v>
      </c>
      <c r="G17" s="26" t="s">
        <v>63</v>
      </c>
      <c r="H17" s="26" t="s">
        <v>28</v>
      </c>
      <c r="I17" s="26" t="s">
        <v>64</v>
      </c>
      <c r="J17" s="26" t="s">
        <v>65</v>
      </c>
      <c r="K17" s="26" t="s">
        <v>66</v>
      </c>
      <c r="L17" s="43" t="s">
        <v>67</v>
      </c>
      <c r="M17" s="43" t="s">
        <v>68</v>
      </c>
      <c r="N17" s="43" t="s">
        <v>69</v>
      </c>
      <c r="O17" s="43" t="s">
        <v>70</v>
      </c>
      <c r="P17" s="43" t="s">
        <v>71</v>
      </c>
      <c r="Q17" s="44" t="s">
        <v>72</v>
      </c>
      <c r="R17" s="79" t="s">
        <v>73</v>
      </c>
      <c r="S17" s="79" t="s">
        <v>74</v>
      </c>
      <c r="T17" s="79" t="s">
        <v>30</v>
      </c>
    </row>
    <row r="18" spans="1:20" ht="14" hidden="1" customHeight="1" x14ac:dyDescent="0.2">
      <c r="A18" s="26" t="s">
        <v>90</v>
      </c>
      <c r="B18" s="45" t="str">
        <f>IFERROR(VLOOKUP($A18,Parts!$A$2:$M$191,3,FALSE()),"")</f>
        <v>PinSocket 1x4, 2.54 mm</v>
      </c>
      <c r="C18" s="26" t="str">
        <f>IFERROR(IF(_xlfn.XLOOKUP($A18&amp;"|Ja",Part_Suppliers!$L$2:$L$300,Part_Suppliers!$B$2:$B$300,"",0)=0,"",_xlfn.XLOOKUP($A18&amp;"|Ja",Part_Suppliers!$L$2:$L$300,Part_Suppliers!$B$2:$B$300,"",0)),"")</f>
        <v>Reichelt</v>
      </c>
      <c r="D18" s="26" t="str">
        <f>IFERROR(IF(_xlfn.XLOOKUP($A18&amp;"|Ja",Part_Suppliers!$L$2:$L$300,Part_Suppliers!$C$2:$C$300,"",0)=0,"",_xlfn.XLOOKUP($A18&amp;"|Ja",Part_Suppliers!$L$2:$L$300,Part_Suppliers!$C$2:$C$300,"",0)),"")</f>
        <v>BKL 10120946</v>
      </c>
      <c r="E18" s="27">
        <f>SUMIFS(Kit_BOM!$F$2:$F$300,Kit_BOM!$E$2:$E$300,$A18,Kit_BOM!$A$2:$A$300,$A$5,Kit_BOM!$G$2:$G$300,"Bestücken")*$C$5+SUMIFS(Kit_BOM!$F$2:$F$300,Kit_BOM!$E$2:$E$300,$A18,Kit_BOM!$A$2:$A$300,$A$5,Kit_BOM!$G$2:$G$300,"Mechanical")*$C$5+IF($F$5="Ja",SUMIFS(Kit_BOM!$F$2:$F$300,Kit_BOM!$E$2:$E$300,$A18,Kit_BOM!$A$2:$A$300,$A$5,Kit_BOM!$G$2:$G$300,"Optional")*$C$5,0)+IF($F$6="Ja",SUMIFS(Kit_BOM!$F$2:$F$300,Kit_BOM!$E$2:$E$300,$A18,Kit_BOM!$A$2:$A$300,$A$5,Kit_BOM!$G$2:$G$300,"DNP")*$C$5,0)+SUMIFS(Kit_BOM!$F$2:$F$300,Kit_BOM!$E$2:$E$300,$A18,Kit_BOM!$A$2:$A$300,$A$6,Kit_BOM!$G$2:$G$300,"Bestücken")*$C$6+SUMIFS(Kit_BOM!$F$2:$F$300,Kit_BOM!$E$2:$E$300,$A18,Kit_BOM!$A$2:$A$300,$A$6,Kit_BOM!$G$2:$G$300,"Mechanical")*$C$6+IF($F$5="Ja",SUMIFS(Kit_BOM!$F$2:$F$300,Kit_BOM!$E$2:$E$300,$A18,Kit_BOM!$A$2:$A$300,$A$6,Kit_BOM!$G$2:$G$300,"Optional")*$C$6,0)+IF($F$6="Ja",SUMIFS(Kit_BOM!$F$2:$F$300,Kit_BOM!$E$2:$E$300,$A18,Kit_BOM!$A$2:$A$300,$A$6,Kit_BOM!$G$2:$G$300,"DNP")*$C$6,0)+SUMIFS(Kit_BOM!$F$2:$F$300,Kit_BOM!$E$2:$E$300,$A18,Kit_BOM!$A$2:$A$300,$A$7,Kit_BOM!$G$2:$G$300,"Bestücken")*$C$7+SUMIFS(Kit_BOM!$F$2:$F$300,Kit_BOM!$E$2:$E$300,$A18,Kit_BOM!$A$2:$A$300,$A$7,Kit_BOM!$G$2:$G$300,"Mechanical")*$C$7+IF($F$5="Ja",SUMIFS(Kit_BOM!$F$2:$F$300,Kit_BOM!$E$2:$E$300,$A18,Kit_BOM!$A$2:$A$300,$A$7,Kit_BOM!$G$2:$G$300,"Optional")*$C$7,0)+IF($F$6="Ja",SUMIFS(Kit_BOM!$F$2:$F$300,Kit_BOM!$E$2:$E$300,$A18,Kit_BOM!$A$2:$A$300,$A$7,Kit_BOM!$G$2:$G$300,"DNP")*$C$7,0)+SUMIFS(Kit_BOM!$F$2:$F$300,Kit_BOM!$E$2:$E$300,$A18,Kit_BOM!$A$2:$A$300,$A$8,Kit_BOM!$G$2:$G$300,"Bestücken")*$C$8+SUMIFS(Kit_BOM!$F$2:$F$300,Kit_BOM!$E$2:$E$300,$A18,Kit_BOM!$A$2:$A$300,$A$8,Kit_BOM!$G$2:$G$300,"Mechanical")*$C$8+IF($F$5="Ja",SUMIFS(Kit_BOM!$F$2:$F$300,Kit_BOM!$E$2:$E$300,$A18,Kit_BOM!$A$2:$A$300,$A$8,Kit_BOM!$G$2:$G$300,"Optional")*$C$8,0)+IF($F$6="Ja",SUMIFS(Kit_BOM!$F$2:$F$300,Kit_BOM!$E$2:$E$300,$A18,Kit_BOM!$A$2:$A$300,$A$8,Kit_BOM!$G$2:$G$300,"DNP")*$C$8,0)+SUMIFS(Kit_BOM!$F$2:$F$300,Kit_BOM!$E$2:$E$300,$A18,Kit_BOM!$A$2:$A$300,$A$9,Kit_BOM!$G$2:$G$300,"Bestücken")*$C$9+SUMIFS(Kit_BOM!$F$2:$F$300,Kit_BOM!$E$2:$E$300,$A18,Kit_BOM!$A$2:$A$300,$A$9,Kit_BOM!$G$2:$G$300,"Mechanical")*$C$9+IF($F$5="Ja",SUMIFS(Kit_BOM!$F$2:$F$300,Kit_BOM!$E$2:$E$300,$A18,Kit_BOM!$A$2:$A$300,$A$9,Kit_BOM!$G$2:$G$300,"Optional")*$C$9,0)+IF($F$6="Ja",SUMIFS(Kit_BOM!$F$2:$F$300,Kit_BOM!$E$2:$E$300,$A18,Kit_BOM!$A$2:$A$300,$A$9,Kit_BOM!$G$2:$G$300,"DNP")*$C$9,0)+SUMIFS(Kit_BOM!$F$2:$F$300,Kit_BOM!$E$2:$E$300,$A18,Kit_BOM!$A$2:$A$300,$A$10,Kit_BOM!$G$2:$G$300,"Bestücken")*$C$10+SUMIFS(Kit_BOM!$F$2:$F$300,Kit_BOM!$E$2:$E$300,$A18,Kit_BOM!$A$2:$A$300,$A$10,Kit_BOM!$G$2:$G$300,"Mechanical")*$C$10+IF($F$5="Ja",SUMIFS(Kit_BOM!$F$2:$F$300,Kit_BOM!$E$2:$E$300,$A18,Kit_BOM!$A$2:$A$300,$A$10,Kit_BOM!$G$2:$G$300,"Optional")*$C$10,0)+IF($F$6="Ja",SUMIFS(Kit_BOM!$F$2:$F$300,Kit_BOM!$E$2:$E$300,$A18,Kit_BOM!$A$2:$A$300,$A$10,Kit_BOM!$G$2:$G$300,"DNP")*$C$10,0)+SUMIFS(Kit_BOM!$F$2:$F$300,Kit_BOM!$E$2:$E$300,$A18,Kit_BOM!$A$2:$A$300,$A$11,Kit_BOM!$G$2:$G$300,"Bestücken")*$C$11+SUMIFS(Kit_BOM!$F$2:$F$300,Kit_BOM!$E$2:$E$300,$A18,Kit_BOM!$A$2:$A$300,$A$11,Kit_BOM!$G$2:$G$300,"Mechanical")*$C$11+IF($F$5="Ja",SUMIFS(Kit_BOM!$F$2:$F$300,Kit_BOM!$E$2:$E$300,$A18,Kit_BOM!$A$2:$A$300,$A$11,Kit_BOM!$G$2:$G$300,"Optional")*$C$11,0)+IF($F$6="Ja",SUMIFS(Kit_BOM!$F$2:$F$300,Kit_BOM!$E$2:$E$300,$A18,Kit_BOM!$A$2:$A$300,$A$11,Kit_BOM!$G$2:$G$300,"DNP")*$C$11,0)+SUMIFS(Kit_BOM!$F$2:$F$300,Kit_BOM!$E$2:$E$300,$A18,Kit_BOM!$A$2:$A$300,$A$12,Kit_BOM!$G$2:$G$300,"Bestücken")*$C$12+SUMIFS(Kit_BOM!$F$2:$F$300,Kit_BOM!$E$2:$E$300,$A18,Kit_BOM!$A$2:$A$300,$A$12,Kit_BOM!$G$2:$G$300,"Mechanical")*$C$12+IF($F$5="Ja",SUMIFS(Kit_BOM!$F$2:$F$300,Kit_BOM!$E$2:$E$300,$A18,Kit_BOM!$A$2:$A$300,$A$12,Kit_BOM!$G$2:$G$300,"Optional")*$C$12,0)+IF($F$6="Ja",SUMIFS(Kit_BOM!$F$2:$F$300,Kit_BOM!$E$2:$E$300,$A18,Kit_BOM!$A$2:$A$300,$A$12,Kit_BOM!$G$2:$G$300,"DNP")*$C$12,0)+SUMIFS(Kit_BOM!$F$2:$F$300,Kit_BOM!$E$2:$E$300,$A18,Kit_BOM!$A$2:$A$300,$H$5,Kit_BOM!$G$2:$G$300,"Bestücken")*$J$5+SUMIFS(Kit_BOM!$F$2:$F$300,Kit_BOM!$E$2:$E$300,$A18,Kit_BOM!$A$2:$A$300,$H$5,Kit_BOM!$G$2:$G$300,"Mechanical")*$J$5+IF($F$5="Ja",SUMIFS(Kit_BOM!$F$2:$F$300,Kit_BOM!$E$2:$E$300,$A18,Kit_BOM!$A$2:$A$300,$H$5,Kit_BOM!$G$2:$G$300,"Optional")*$J$5,0)+IF($F$6="Ja",SUMIFS(Kit_BOM!$F$2:$F$300,Kit_BOM!$E$2:$E$300,$A18,Kit_BOM!$A$2:$A$300,$H$5,Kit_BOM!$G$2:$G$300,"DNP")*$J$5,0)+SUMIFS(Kit_BOM!$F$2:$F$300,Kit_BOM!$E$2:$E$300,$A18,Kit_BOM!$A$2:$A$300,$H$6,Kit_BOM!$G$2:$G$300,"Bestücken")*$J$6+SUMIFS(Kit_BOM!$F$2:$F$300,Kit_BOM!$E$2:$E$300,$A18,Kit_BOM!$A$2:$A$300,$H$6,Kit_BOM!$G$2:$G$300,"Mechanical")*$J$6+IF($F$5="Ja",SUMIFS(Kit_BOM!$F$2:$F$300,Kit_BOM!$E$2:$E$300,$A18,Kit_BOM!$A$2:$A$300,$H$6,Kit_BOM!$G$2:$G$300,"Optional")*$J$6,0)+IF($F$6="Ja",SUMIFS(Kit_BOM!$F$2:$F$300,Kit_BOM!$E$2:$E$300,$A18,Kit_BOM!$A$2:$A$300,$H$6,Kit_BOM!$G$2:$G$300,"DNP")*$J$6,0)</f>
        <v>0</v>
      </c>
      <c r="F18" s="27" t="str">
        <f>IFERROR(IF(_xlfn.XLOOKUP($A18&amp;"|Ja",Part_Suppliers!$L$2:$L$300,Part_Suppliers!$G$2:$G$300,"",0)=0,"",_xlfn.XLOOKUP($A18&amp;"|Ja",Part_Suppliers!$L$2:$L$300,Part_Suppliers!$G$2:$G$300,"",0)),"")</f>
        <v/>
      </c>
      <c r="G18" s="27">
        <f t="shared" ref="G18:G22" si="0">IF($E18=0,0,IF(OR($F18="",$F18=0),$E18,CEILING($E18,$F18)))</f>
        <v>0</v>
      </c>
      <c r="H18" s="46">
        <f>IFERROR(IF(_xlfn.XLOOKUP($A18&amp;"|Ja",Part_Suppliers!$L$2:$L$300,Part_Suppliers!$E$2:$E$300,"",0)=0,"",_xlfn.XLOOKUP($A18&amp;"|Ja",Part_Suppliers!$L$2:$L$300,Part_Suppliers!$E$2:$E$300,"",0)),"")</f>
        <v>0.81</v>
      </c>
      <c r="I18" s="46">
        <f t="shared" ref="I18:I22" si="1">IF(H18="","",G18*H18)</f>
        <v>0</v>
      </c>
      <c r="J18" t="str">
        <f t="shared" ref="J18:J22" si="2">IF(AND(P18&gt;0,P18&lt;&gt;O18),"Manuelle Menge prüfen",IF(E18=0,"Nicht benötigt",IF(L18&lt;0,"Bestand klären",IF(O18=0,"Gedeckt",IF(OR(C18="",C18="Noch festlegen",D18=""),"Artikel offen",IF(H18="","Preis offen","Bestellvorschlag prüfen"))))))</f>
        <v>Nicht benötigt</v>
      </c>
      <c r="K18" s="26" t="str">
        <f>IFERROR(IF(_xlfn.XLOOKUP($A18&amp;"|Ja",Part_Suppliers!$L$2:$L$300,Part_Suppliers!$D$2:$D$300,"",0)=0,"",_xlfn.XLOOKUP($A18&amp;"|Ja",Part_Suppliers!$L$2:$L$300,Part_Suppliers!$D$2:$D$300,"",0)),"")</f>
        <v>https://www.reichelt.de/de/de/shop/produkt/buchsenleiste_2_54mm_1x4_gerade-266671</v>
      </c>
      <c r="L18" s="47">
        <f>IFERROR(VLOOKUP($A18,Stock!$A$5:$K$200,10,FALSE()),0)</f>
        <v>2</v>
      </c>
      <c r="M18" s="47">
        <f>IFERROR(VLOOKUP($A18,Stock!$A$5:$K$200,11,FALSE()),0)</f>
        <v>0</v>
      </c>
      <c r="N18" s="47">
        <f t="shared" ref="N18:N22" si="3">$L18+$M18+$R18+$S18-$E18</f>
        <v>2</v>
      </c>
      <c r="O18" s="47">
        <f t="shared" ref="O18:O22" si="4">IF(E18=0,0,IF(N18&gt;=0,0,CEILING(-N18,IF(OR(F18="",F18=0),1,F18))))</f>
        <v>0</v>
      </c>
      <c r="P18" s="48">
        <v>0</v>
      </c>
      <c r="Q18" s="49">
        <f t="shared" ref="Q18:Q22" si="5">IF(P18=0,0,IF(H18="","",P18*H18))</f>
        <v>0</v>
      </c>
      <c r="R18" s="82">
        <f>SUMIFS(Part_Alternatives!$H$2:$H$200,Part_Alternatives!$A$2:$A$200,$A18,Part_Alternatives!$E$2:$E$200,"Ja")</f>
        <v>0</v>
      </c>
      <c r="S18" s="82">
        <f>SUMIFS(Part_Alternatives!$I$2:$I$200,Part_Alternatives!$A$2:$A$200,$A18,Part_Alternatives!$E$2:$E$200,"Ja")</f>
        <v>0</v>
      </c>
      <c r="T18" s="80" t="str">
        <f>IFERROR(VLOOKUP($A18,Part_Alternatives!$A$2:$K$200,10,FALSE()),"")</f>
        <v/>
      </c>
    </row>
    <row r="19" spans="1:20" ht="14" hidden="1" customHeight="1" x14ac:dyDescent="0.2">
      <c r="A19" s="26" t="s">
        <v>94</v>
      </c>
      <c r="B19" s="45" t="str">
        <f>IFERROR(VLOOKUP($A19,Parts!$A$2:$M$191,3,FALSE()),"")</f>
        <v>4.7 kOhm 1% SMD 1206</v>
      </c>
      <c r="C19" s="26" t="str">
        <f>IFERROR(IF(_xlfn.XLOOKUP($A19&amp;"|Ja",Part_Suppliers!$L$2:$L$300,Part_Suppliers!$B$2:$B$300,"",0)=0,"",_xlfn.XLOOKUP($A19&amp;"|Ja",Part_Suppliers!$L$2:$L$300,Part_Suppliers!$B$2:$B$300,"",0)),"")</f>
        <v>Reichelt</v>
      </c>
      <c r="D19" s="26" t="str">
        <f>IFERROR(IF(_xlfn.XLOOKUP($A19&amp;"|Ja",Part_Suppliers!$L$2:$L$300,Part_Suppliers!$C$2:$C$300,"",0)=0,"",_xlfn.XLOOKUP($A19&amp;"|Ja",Part_Suppliers!$L$2:$L$300,Part_Suppliers!$C$2:$C$300,"",0)),"")</f>
        <v>VIS CRCW12064K7</v>
      </c>
      <c r="E19" s="27">
        <f>SUMIFS(Kit_BOM!$F$2:$F$300,Kit_BOM!$E$2:$E$300,$A19,Kit_BOM!$A$2:$A$300,$A$5,Kit_BOM!$G$2:$G$300,"Bestücken")*$C$5+SUMIFS(Kit_BOM!$F$2:$F$300,Kit_BOM!$E$2:$E$300,$A19,Kit_BOM!$A$2:$A$300,$A$5,Kit_BOM!$G$2:$G$300,"Mechanical")*$C$5+IF($F$5="Ja",SUMIFS(Kit_BOM!$F$2:$F$300,Kit_BOM!$E$2:$E$300,$A19,Kit_BOM!$A$2:$A$300,$A$5,Kit_BOM!$G$2:$G$300,"Optional")*$C$5,0)+IF($F$6="Ja",SUMIFS(Kit_BOM!$F$2:$F$300,Kit_BOM!$E$2:$E$300,$A19,Kit_BOM!$A$2:$A$300,$A$5,Kit_BOM!$G$2:$G$300,"DNP")*$C$5,0)+SUMIFS(Kit_BOM!$F$2:$F$300,Kit_BOM!$E$2:$E$300,$A19,Kit_BOM!$A$2:$A$300,$A$6,Kit_BOM!$G$2:$G$300,"Bestücken")*$C$6+SUMIFS(Kit_BOM!$F$2:$F$300,Kit_BOM!$E$2:$E$300,$A19,Kit_BOM!$A$2:$A$300,$A$6,Kit_BOM!$G$2:$G$300,"Mechanical")*$C$6+IF($F$5="Ja",SUMIFS(Kit_BOM!$F$2:$F$300,Kit_BOM!$E$2:$E$300,$A19,Kit_BOM!$A$2:$A$300,$A$6,Kit_BOM!$G$2:$G$300,"Optional")*$C$6,0)+IF($F$6="Ja",SUMIFS(Kit_BOM!$F$2:$F$300,Kit_BOM!$E$2:$E$300,$A19,Kit_BOM!$A$2:$A$300,$A$6,Kit_BOM!$G$2:$G$300,"DNP")*$C$6,0)+SUMIFS(Kit_BOM!$F$2:$F$300,Kit_BOM!$E$2:$E$300,$A19,Kit_BOM!$A$2:$A$300,$A$7,Kit_BOM!$G$2:$G$300,"Bestücken")*$C$7+SUMIFS(Kit_BOM!$F$2:$F$300,Kit_BOM!$E$2:$E$300,$A19,Kit_BOM!$A$2:$A$300,$A$7,Kit_BOM!$G$2:$G$300,"Mechanical")*$C$7+IF($F$5="Ja",SUMIFS(Kit_BOM!$F$2:$F$300,Kit_BOM!$E$2:$E$300,$A19,Kit_BOM!$A$2:$A$300,$A$7,Kit_BOM!$G$2:$G$300,"Optional")*$C$7,0)+IF($F$6="Ja",SUMIFS(Kit_BOM!$F$2:$F$300,Kit_BOM!$E$2:$E$300,$A19,Kit_BOM!$A$2:$A$300,$A$7,Kit_BOM!$G$2:$G$300,"DNP")*$C$7,0)+SUMIFS(Kit_BOM!$F$2:$F$300,Kit_BOM!$E$2:$E$300,$A19,Kit_BOM!$A$2:$A$300,$A$8,Kit_BOM!$G$2:$G$300,"Bestücken")*$C$8+SUMIFS(Kit_BOM!$F$2:$F$300,Kit_BOM!$E$2:$E$300,$A19,Kit_BOM!$A$2:$A$300,$A$8,Kit_BOM!$G$2:$G$300,"Mechanical")*$C$8+IF($F$5="Ja",SUMIFS(Kit_BOM!$F$2:$F$300,Kit_BOM!$E$2:$E$300,$A19,Kit_BOM!$A$2:$A$300,$A$8,Kit_BOM!$G$2:$G$300,"Optional")*$C$8,0)+IF($F$6="Ja",SUMIFS(Kit_BOM!$F$2:$F$300,Kit_BOM!$E$2:$E$300,$A19,Kit_BOM!$A$2:$A$300,$A$8,Kit_BOM!$G$2:$G$300,"DNP")*$C$8,0)+SUMIFS(Kit_BOM!$F$2:$F$300,Kit_BOM!$E$2:$E$300,$A19,Kit_BOM!$A$2:$A$300,$A$9,Kit_BOM!$G$2:$G$300,"Bestücken")*$C$9+SUMIFS(Kit_BOM!$F$2:$F$300,Kit_BOM!$E$2:$E$300,$A19,Kit_BOM!$A$2:$A$300,$A$9,Kit_BOM!$G$2:$G$300,"Mechanical")*$C$9+IF($F$5="Ja",SUMIFS(Kit_BOM!$F$2:$F$300,Kit_BOM!$E$2:$E$300,$A19,Kit_BOM!$A$2:$A$300,$A$9,Kit_BOM!$G$2:$G$300,"Optional")*$C$9,0)+IF($F$6="Ja",SUMIFS(Kit_BOM!$F$2:$F$300,Kit_BOM!$E$2:$E$300,$A19,Kit_BOM!$A$2:$A$300,$A$9,Kit_BOM!$G$2:$G$300,"DNP")*$C$9,0)+SUMIFS(Kit_BOM!$F$2:$F$300,Kit_BOM!$E$2:$E$300,$A19,Kit_BOM!$A$2:$A$300,$A$10,Kit_BOM!$G$2:$G$300,"Bestücken")*$C$10+SUMIFS(Kit_BOM!$F$2:$F$300,Kit_BOM!$E$2:$E$300,$A19,Kit_BOM!$A$2:$A$300,$A$10,Kit_BOM!$G$2:$G$300,"Mechanical")*$C$10+IF($F$5="Ja",SUMIFS(Kit_BOM!$F$2:$F$300,Kit_BOM!$E$2:$E$300,$A19,Kit_BOM!$A$2:$A$300,$A$10,Kit_BOM!$G$2:$G$300,"Optional")*$C$10,0)+IF($F$6="Ja",SUMIFS(Kit_BOM!$F$2:$F$300,Kit_BOM!$E$2:$E$300,$A19,Kit_BOM!$A$2:$A$300,$A$10,Kit_BOM!$G$2:$G$300,"DNP")*$C$10,0)+SUMIFS(Kit_BOM!$F$2:$F$300,Kit_BOM!$E$2:$E$300,$A19,Kit_BOM!$A$2:$A$300,$A$11,Kit_BOM!$G$2:$G$300,"Bestücken")*$C$11+SUMIFS(Kit_BOM!$F$2:$F$300,Kit_BOM!$E$2:$E$300,$A19,Kit_BOM!$A$2:$A$300,$A$11,Kit_BOM!$G$2:$G$300,"Mechanical")*$C$11+IF($F$5="Ja",SUMIFS(Kit_BOM!$F$2:$F$300,Kit_BOM!$E$2:$E$300,$A19,Kit_BOM!$A$2:$A$300,$A$11,Kit_BOM!$G$2:$G$300,"Optional")*$C$11,0)+IF($F$6="Ja",SUMIFS(Kit_BOM!$F$2:$F$300,Kit_BOM!$E$2:$E$300,$A19,Kit_BOM!$A$2:$A$300,$A$11,Kit_BOM!$G$2:$G$300,"DNP")*$C$11,0)+SUMIFS(Kit_BOM!$F$2:$F$300,Kit_BOM!$E$2:$E$300,$A19,Kit_BOM!$A$2:$A$300,$A$12,Kit_BOM!$G$2:$G$300,"Bestücken")*$C$12+SUMIFS(Kit_BOM!$F$2:$F$300,Kit_BOM!$E$2:$E$300,$A19,Kit_BOM!$A$2:$A$300,$A$12,Kit_BOM!$G$2:$G$300,"Mechanical")*$C$12+IF($F$5="Ja",SUMIFS(Kit_BOM!$F$2:$F$300,Kit_BOM!$E$2:$E$300,$A19,Kit_BOM!$A$2:$A$300,$A$12,Kit_BOM!$G$2:$G$300,"Optional")*$C$12,0)+IF($F$6="Ja",SUMIFS(Kit_BOM!$F$2:$F$300,Kit_BOM!$E$2:$E$300,$A19,Kit_BOM!$A$2:$A$300,$A$12,Kit_BOM!$G$2:$G$300,"DNP")*$C$12,0)+SUMIFS(Kit_BOM!$F$2:$F$300,Kit_BOM!$E$2:$E$300,$A19,Kit_BOM!$A$2:$A$300,$H$5,Kit_BOM!$G$2:$G$300,"Bestücken")*$J$5+SUMIFS(Kit_BOM!$F$2:$F$300,Kit_BOM!$E$2:$E$300,$A19,Kit_BOM!$A$2:$A$300,$H$5,Kit_BOM!$G$2:$G$300,"Mechanical")*$J$5+IF($F$5="Ja",SUMIFS(Kit_BOM!$F$2:$F$300,Kit_BOM!$E$2:$E$300,$A19,Kit_BOM!$A$2:$A$300,$H$5,Kit_BOM!$G$2:$G$300,"Optional")*$J$5,0)+IF($F$6="Ja",SUMIFS(Kit_BOM!$F$2:$F$300,Kit_BOM!$E$2:$E$300,$A19,Kit_BOM!$A$2:$A$300,$H$5,Kit_BOM!$G$2:$G$300,"DNP")*$J$5,0)+SUMIFS(Kit_BOM!$F$2:$F$300,Kit_BOM!$E$2:$E$300,$A19,Kit_BOM!$A$2:$A$300,$H$6,Kit_BOM!$G$2:$G$300,"Bestücken")*$J$6+SUMIFS(Kit_BOM!$F$2:$F$300,Kit_BOM!$E$2:$E$300,$A19,Kit_BOM!$A$2:$A$300,$H$6,Kit_BOM!$G$2:$G$300,"Mechanical")*$J$6+IF($F$5="Ja",SUMIFS(Kit_BOM!$F$2:$F$300,Kit_BOM!$E$2:$E$300,$A19,Kit_BOM!$A$2:$A$300,$H$6,Kit_BOM!$G$2:$G$300,"Optional")*$J$6,0)+IF($F$6="Ja",SUMIFS(Kit_BOM!$F$2:$F$300,Kit_BOM!$E$2:$E$300,$A19,Kit_BOM!$A$2:$A$300,$H$6,Kit_BOM!$G$2:$G$300,"DNP")*$J$6,0)</f>
        <v>18</v>
      </c>
      <c r="F19" s="27" t="str">
        <f>IFERROR(IF(_xlfn.XLOOKUP($A19&amp;"|Ja",Part_Suppliers!$L$2:$L$300,Part_Suppliers!$G$2:$G$300,"",0)=0,"",_xlfn.XLOOKUP($A19&amp;"|Ja",Part_Suppliers!$L$2:$L$300,Part_Suppliers!$G$2:$G$300,"",0)),"")</f>
        <v/>
      </c>
      <c r="G19" s="27">
        <f t="shared" si="0"/>
        <v>18</v>
      </c>
      <c r="H19" s="46">
        <f>IFERROR(IF(_xlfn.XLOOKUP($A19&amp;"|Ja",Part_Suppliers!$L$2:$L$300,Part_Suppliers!$E$2:$E$300,"",0)=0,"",_xlfn.XLOOKUP($A19&amp;"|Ja",Part_Suppliers!$L$2:$L$300,Part_Suppliers!$E$2:$E$300,"",0)),"")</f>
        <v>0.15</v>
      </c>
      <c r="I19" s="46">
        <f t="shared" si="1"/>
        <v>2.6999999999999997</v>
      </c>
      <c r="J19" t="str">
        <f t="shared" si="2"/>
        <v>Gedeckt</v>
      </c>
      <c r="K19" s="26" t="str">
        <f>IFERROR(IF(_xlfn.XLOOKUP($A19&amp;"|Ja",Part_Suppliers!$L$2:$L$300,Part_Suppliers!$D$2:$D$300,"",0)=0,"",_xlfn.XLOOKUP($A19&amp;"|Ja",Part_Suppliers!$L$2:$L$300,Part_Suppliers!$D$2:$D$300,"",0)),"")</f>
        <v>https://www.reichelt.de/de/de/shop/produkt/smd-widerstand_1206_4_7_kohm_250_mw_1_-238119</v>
      </c>
      <c r="L19" s="47">
        <f>IFERROR(VLOOKUP($A19,Stock!$A$5:$K$200,10,FALSE()),0)</f>
        <v>54</v>
      </c>
      <c r="M19" s="47">
        <f>IFERROR(VLOOKUP($A19,Stock!$A$5:$K$200,11,FALSE()),0)</f>
        <v>0</v>
      </c>
      <c r="N19" s="47">
        <f t="shared" si="3"/>
        <v>36</v>
      </c>
      <c r="O19" s="47">
        <f t="shared" si="4"/>
        <v>0</v>
      </c>
      <c r="P19" s="48">
        <v>0</v>
      </c>
      <c r="Q19" s="49">
        <f t="shared" si="5"/>
        <v>0</v>
      </c>
      <c r="R19" s="82">
        <f>SUMIFS(Part_Alternatives!$H$2:$H$200,Part_Alternatives!$A$2:$A$200,$A19,Part_Alternatives!$E$2:$E$200,"Ja")</f>
        <v>0</v>
      </c>
      <c r="S19" s="82">
        <f>SUMIFS(Part_Alternatives!$I$2:$I$200,Part_Alternatives!$A$2:$A$200,$A19,Part_Alternatives!$E$2:$E$200,"Ja")</f>
        <v>0</v>
      </c>
      <c r="T19" s="80" t="str">
        <f>IFERROR(VLOOKUP($A19,Part_Alternatives!$A$2:$K$200,10,FALSE()),"")</f>
        <v/>
      </c>
    </row>
    <row r="20" spans="1:20" ht="14" hidden="1" customHeight="1" x14ac:dyDescent="0.2">
      <c r="A20" s="26" t="s">
        <v>95</v>
      </c>
      <c r="B20" s="45" t="str">
        <f>IFERROR(VLOOKUP($A20,Parts!$A$2:$M$191,3,FALSE()),"")</f>
        <v>100 nF Keramik SMD</v>
      </c>
      <c r="C20" s="26" t="str">
        <f>IFERROR(IF(_xlfn.XLOOKUP($A20&amp;"|Ja",Part_Suppliers!$L$2:$L$300,Part_Suppliers!$B$2:$B$300,"",0)=0,"",_xlfn.XLOOKUP($A20&amp;"|Ja",Part_Suppliers!$L$2:$L$300,Part_Suppliers!$B$2:$B$300,"",0)),"")</f>
        <v>Reichelt</v>
      </c>
      <c r="D20" s="26" t="str">
        <f>IFERROR(IF(_xlfn.XLOOKUP($A20&amp;"|Ja",Part_Suppliers!$L$2:$L$300,Part_Suppliers!$C$2:$C$300,"",0)=0,"",_xlfn.XLOOKUP($A20&amp;"|Ja",Part_Suppliers!$L$2:$L$300,Part_Suppliers!$C$2:$C$300,"",0)),"")</f>
        <v>KEM X7R1206A100N</v>
      </c>
      <c r="E20" s="27">
        <f>SUMIFS(Kit_BOM!$F$2:$F$300,Kit_BOM!$E$2:$E$300,$A20,Kit_BOM!$A$2:$A$300,$A$5,Kit_BOM!$G$2:$G$300,"Bestücken")*$C$5+SUMIFS(Kit_BOM!$F$2:$F$300,Kit_BOM!$E$2:$E$300,$A20,Kit_BOM!$A$2:$A$300,$A$5,Kit_BOM!$G$2:$G$300,"Mechanical")*$C$5+IF($F$5="Ja",SUMIFS(Kit_BOM!$F$2:$F$300,Kit_BOM!$E$2:$E$300,$A20,Kit_BOM!$A$2:$A$300,$A$5,Kit_BOM!$G$2:$G$300,"Optional")*$C$5,0)+IF($F$6="Ja",SUMIFS(Kit_BOM!$F$2:$F$300,Kit_BOM!$E$2:$E$300,$A20,Kit_BOM!$A$2:$A$300,$A$5,Kit_BOM!$G$2:$G$300,"DNP")*$C$5,0)+SUMIFS(Kit_BOM!$F$2:$F$300,Kit_BOM!$E$2:$E$300,$A20,Kit_BOM!$A$2:$A$300,$A$6,Kit_BOM!$G$2:$G$300,"Bestücken")*$C$6+SUMIFS(Kit_BOM!$F$2:$F$300,Kit_BOM!$E$2:$E$300,$A20,Kit_BOM!$A$2:$A$300,$A$6,Kit_BOM!$G$2:$G$300,"Mechanical")*$C$6+IF($F$5="Ja",SUMIFS(Kit_BOM!$F$2:$F$300,Kit_BOM!$E$2:$E$300,$A20,Kit_BOM!$A$2:$A$300,$A$6,Kit_BOM!$G$2:$G$300,"Optional")*$C$6,0)+IF($F$6="Ja",SUMIFS(Kit_BOM!$F$2:$F$300,Kit_BOM!$E$2:$E$300,$A20,Kit_BOM!$A$2:$A$300,$A$6,Kit_BOM!$G$2:$G$300,"DNP")*$C$6,0)+SUMIFS(Kit_BOM!$F$2:$F$300,Kit_BOM!$E$2:$E$300,$A20,Kit_BOM!$A$2:$A$300,$A$7,Kit_BOM!$G$2:$G$300,"Bestücken")*$C$7+SUMIFS(Kit_BOM!$F$2:$F$300,Kit_BOM!$E$2:$E$300,$A20,Kit_BOM!$A$2:$A$300,$A$7,Kit_BOM!$G$2:$G$300,"Mechanical")*$C$7+IF($F$5="Ja",SUMIFS(Kit_BOM!$F$2:$F$300,Kit_BOM!$E$2:$E$300,$A20,Kit_BOM!$A$2:$A$300,$A$7,Kit_BOM!$G$2:$G$300,"Optional")*$C$7,0)+IF($F$6="Ja",SUMIFS(Kit_BOM!$F$2:$F$300,Kit_BOM!$E$2:$E$300,$A20,Kit_BOM!$A$2:$A$300,$A$7,Kit_BOM!$G$2:$G$300,"DNP")*$C$7,0)+SUMIFS(Kit_BOM!$F$2:$F$300,Kit_BOM!$E$2:$E$300,$A20,Kit_BOM!$A$2:$A$300,$A$8,Kit_BOM!$G$2:$G$300,"Bestücken")*$C$8+SUMIFS(Kit_BOM!$F$2:$F$300,Kit_BOM!$E$2:$E$300,$A20,Kit_BOM!$A$2:$A$300,$A$8,Kit_BOM!$G$2:$G$300,"Mechanical")*$C$8+IF($F$5="Ja",SUMIFS(Kit_BOM!$F$2:$F$300,Kit_BOM!$E$2:$E$300,$A20,Kit_BOM!$A$2:$A$300,$A$8,Kit_BOM!$G$2:$G$300,"Optional")*$C$8,0)+IF($F$6="Ja",SUMIFS(Kit_BOM!$F$2:$F$300,Kit_BOM!$E$2:$E$300,$A20,Kit_BOM!$A$2:$A$300,$A$8,Kit_BOM!$G$2:$G$300,"DNP")*$C$8,0)+SUMIFS(Kit_BOM!$F$2:$F$300,Kit_BOM!$E$2:$E$300,$A20,Kit_BOM!$A$2:$A$300,$A$9,Kit_BOM!$G$2:$G$300,"Bestücken")*$C$9+SUMIFS(Kit_BOM!$F$2:$F$300,Kit_BOM!$E$2:$E$300,$A20,Kit_BOM!$A$2:$A$300,$A$9,Kit_BOM!$G$2:$G$300,"Mechanical")*$C$9+IF($F$5="Ja",SUMIFS(Kit_BOM!$F$2:$F$300,Kit_BOM!$E$2:$E$300,$A20,Kit_BOM!$A$2:$A$300,$A$9,Kit_BOM!$G$2:$G$300,"Optional")*$C$9,0)+IF($F$6="Ja",SUMIFS(Kit_BOM!$F$2:$F$300,Kit_BOM!$E$2:$E$300,$A20,Kit_BOM!$A$2:$A$300,$A$9,Kit_BOM!$G$2:$G$300,"DNP")*$C$9,0)+SUMIFS(Kit_BOM!$F$2:$F$300,Kit_BOM!$E$2:$E$300,$A20,Kit_BOM!$A$2:$A$300,$A$10,Kit_BOM!$G$2:$G$300,"Bestücken")*$C$10+SUMIFS(Kit_BOM!$F$2:$F$300,Kit_BOM!$E$2:$E$300,$A20,Kit_BOM!$A$2:$A$300,$A$10,Kit_BOM!$G$2:$G$300,"Mechanical")*$C$10+IF($F$5="Ja",SUMIFS(Kit_BOM!$F$2:$F$300,Kit_BOM!$E$2:$E$300,$A20,Kit_BOM!$A$2:$A$300,$A$10,Kit_BOM!$G$2:$G$300,"Optional")*$C$10,0)+IF($F$6="Ja",SUMIFS(Kit_BOM!$F$2:$F$300,Kit_BOM!$E$2:$E$300,$A20,Kit_BOM!$A$2:$A$300,$A$10,Kit_BOM!$G$2:$G$300,"DNP")*$C$10,0)+SUMIFS(Kit_BOM!$F$2:$F$300,Kit_BOM!$E$2:$E$300,$A20,Kit_BOM!$A$2:$A$300,$A$11,Kit_BOM!$G$2:$G$300,"Bestücken")*$C$11+SUMIFS(Kit_BOM!$F$2:$F$300,Kit_BOM!$E$2:$E$300,$A20,Kit_BOM!$A$2:$A$300,$A$11,Kit_BOM!$G$2:$G$300,"Mechanical")*$C$11+IF($F$5="Ja",SUMIFS(Kit_BOM!$F$2:$F$300,Kit_BOM!$E$2:$E$300,$A20,Kit_BOM!$A$2:$A$300,$A$11,Kit_BOM!$G$2:$G$300,"Optional")*$C$11,0)+IF($F$6="Ja",SUMIFS(Kit_BOM!$F$2:$F$300,Kit_BOM!$E$2:$E$300,$A20,Kit_BOM!$A$2:$A$300,$A$11,Kit_BOM!$G$2:$G$300,"DNP")*$C$11,0)+SUMIFS(Kit_BOM!$F$2:$F$300,Kit_BOM!$E$2:$E$300,$A20,Kit_BOM!$A$2:$A$300,$A$12,Kit_BOM!$G$2:$G$300,"Bestücken")*$C$12+SUMIFS(Kit_BOM!$F$2:$F$300,Kit_BOM!$E$2:$E$300,$A20,Kit_BOM!$A$2:$A$300,$A$12,Kit_BOM!$G$2:$G$300,"Mechanical")*$C$12+IF($F$5="Ja",SUMIFS(Kit_BOM!$F$2:$F$300,Kit_BOM!$E$2:$E$300,$A20,Kit_BOM!$A$2:$A$300,$A$12,Kit_BOM!$G$2:$G$300,"Optional")*$C$12,0)+IF($F$6="Ja",SUMIFS(Kit_BOM!$F$2:$F$300,Kit_BOM!$E$2:$E$300,$A20,Kit_BOM!$A$2:$A$300,$A$12,Kit_BOM!$G$2:$G$300,"DNP")*$C$12,0)+SUMIFS(Kit_BOM!$F$2:$F$300,Kit_BOM!$E$2:$E$300,$A20,Kit_BOM!$A$2:$A$300,$H$5,Kit_BOM!$G$2:$G$300,"Bestücken")*$J$5+SUMIFS(Kit_BOM!$F$2:$F$300,Kit_BOM!$E$2:$E$300,$A20,Kit_BOM!$A$2:$A$300,$H$5,Kit_BOM!$G$2:$G$300,"Mechanical")*$J$5+IF($F$5="Ja",SUMIFS(Kit_BOM!$F$2:$F$300,Kit_BOM!$E$2:$E$300,$A20,Kit_BOM!$A$2:$A$300,$H$5,Kit_BOM!$G$2:$G$300,"Optional")*$J$5,0)+IF($F$6="Ja",SUMIFS(Kit_BOM!$F$2:$F$300,Kit_BOM!$E$2:$E$300,$A20,Kit_BOM!$A$2:$A$300,$H$5,Kit_BOM!$G$2:$G$300,"DNP")*$J$5,0)+SUMIFS(Kit_BOM!$F$2:$F$300,Kit_BOM!$E$2:$E$300,$A20,Kit_BOM!$A$2:$A$300,$H$6,Kit_BOM!$G$2:$G$300,"Bestücken")*$J$6+SUMIFS(Kit_BOM!$F$2:$F$300,Kit_BOM!$E$2:$E$300,$A20,Kit_BOM!$A$2:$A$300,$H$6,Kit_BOM!$G$2:$G$300,"Mechanical")*$J$6+IF($F$5="Ja",SUMIFS(Kit_BOM!$F$2:$F$300,Kit_BOM!$E$2:$E$300,$A20,Kit_BOM!$A$2:$A$300,$H$6,Kit_BOM!$G$2:$G$300,"Optional")*$J$6,0)+IF($F$6="Ja",SUMIFS(Kit_BOM!$F$2:$F$300,Kit_BOM!$E$2:$E$300,$A20,Kit_BOM!$A$2:$A$300,$H$6,Kit_BOM!$G$2:$G$300,"DNP")*$J$6,0)</f>
        <v>24</v>
      </c>
      <c r="F20" s="27">
        <f>IFERROR(IF(_xlfn.XLOOKUP($A20&amp;"|Ja",Part_Suppliers!$L$2:$L$300,Part_Suppliers!$G$2:$G$300,"",0)=0,"",_xlfn.XLOOKUP($A20&amp;"|Ja",Part_Suppliers!$L$2:$L$300,Part_Suppliers!$G$2:$G$300,"",0)),"")</f>
        <v>10</v>
      </c>
      <c r="G20" s="27">
        <f t="shared" si="0"/>
        <v>30</v>
      </c>
      <c r="H20" s="46">
        <f>IFERROR(IF(_xlfn.XLOOKUP($A20&amp;"|Ja",Part_Suppliers!$L$2:$L$300,Part_Suppliers!$E$2:$E$300,"",0)=0,"",_xlfn.XLOOKUP($A20&amp;"|Ja",Part_Suppliers!$L$2:$L$300,Part_Suppliers!$E$2:$E$300,"",0)),"")</f>
        <v>0.24</v>
      </c>
      <c r="I20" s="46">
        <f t="shared" si="1"/>
        <v>7.1999999999999993</v>
      </c>
      <c r="J20" t="str">
        <f t="shared" si="2"/>
        <v>Gedeckt</v>
      </c>
      <c r="K20" s="26" t="str">
        <f>IFERROR(IF(_xlfn.XLOOKUP($A20&amp;"|Ja",Part_Suppliers!$L$2:$L$300,Part_Suppliers!$D$2:$D$300,"",0)=0,"",_xlfn.XLOOKUP($A20&amp;"|Ja",Part_Suppliers!$L$2:$L$300,Part_Suppliers!$D$2:$D$300,"",0)),"")</f>
        <v>https://www.reichelt.de/de/de/shop/produkt/vielschicht_kerko_1206_100_nf_10_x7r_100_v_125_c-207151</v>
      </c>
      <c r="L20" s="47">
        <f>IFERROR(VLOOKUP($A20,Stock!$A$5:$K$200,10,FALSE()),0)</f>
        <v>40</v>
      </c>
      <c r="M20" s="47">
        <f>IFERROR(VLOOKUP($A20,Stock!$A$5:$K$200,11,FALSE()),0)</f>
        <v>0</v>
      </c>
      <c r="N20" s="47">
        <f t="shared" si="3"/>
        <v>16</v>
      </c>
      <c r="O20" s="47">
        <f t="shared" si="4"/>
        <v>0</v>
      </c>
      <c r="P20" s="48">
        <v>0</v>
      </c>
      <c r="Q20" s="49">
        <f t="shared" si="5"/>
        <v>0</v>
      </c>
      <c r="R20" s="82">
        <f>SUMIFS(Part_Alternatives!$H$2:$H$200,Part_Alternatives!$A$2:$A$200,$A20,Part_Alternatives!$E$2:$E$200,"Ja")</f>
        <v>0</v>
      </c>
      <c r="S20" s="82">
        <f>SUMIFS(Part_Alternatives!$I$2:$I$200,Part_Alternatives!$A$2:$A$200,$A20,Part_Alternatives!$E$2:$E$200,"Ja")</f>
        <v>0</v>
      </c>
      <c r="T20" s="80" t="str">
        <f>IFERROR(VLOOKUP($A20,Part_Alternatives!$A$2:$K$200,10,FALSE()),"")</f>
        <v/>
      </c>
    </row>
    <row r="21" spans="1:20" ht="14" hidden="1" customHeight="1" x14ac:dyDescent="0.2">
      <c r="A21" s="26" t="s">
        <v>97</v>
      </c>
      <c r="B21" s="45" t="str">
        <f>IFERROR(VLOOKUP($A21,Parts!$A$2:$M$191,3,FALSE()),"")</f>
        <v>10 uF Keramik SMD</v>
      </c>
      <c r="C21" s="26" t="str">
        <f>IFERROR(IF(_xlfn.XLOOKUP($A21&amp;"|Ja",Part_Suppliers!$L$2:$L$300,Part_Suppliers!$B$2:$B$300,"",0)=0,"",_xlfn.XLOOKUP($A21&amp;"|Ja",Part_Suppliers!$L$2:$L$300,Part_Suppliers!$B$2:$B$300,"",0)),"")</f>
        <v>Reichelt</v>
      </c>
      <c r="D21" s="26" t="str">
        <f>IFERROR(IF(_xlfn.XLOOKUP($A21&amp;"|Ja",Part_Suppliers!$L$2:$L$300,Part_Suppliers!$C$2:$C$300,"",0)=0,"",_xlfn.XLOOKUP($A21&amp;"|Ja",Part_Suppliers!$L$2:$L$300,Part_Suppliers!$C$2:$C$300,"",0)),"")</f>
        <v>12063C106KAT2A</v>
      </c>
      <c r="E21" s="27">
        <f>SUMIFS(Kit_BOM!$F$2:$F$300,Kit_BOM!$E$2:$E$300,$A21,Kit_BOM!$A$2:$A$300,$A$5,Kit_BOM!$G$2:$G$300,"Bestücken")*$C$5+SUMIFS(Kit_BOM!$F$2:$F$300,Kit_BOM!$E$2:$E$300,$A21,Kit_BOM!$A$2:$A$300,$A$5,Kit_BOM!$G$2:$G$300,"Mechanical")*$C$5+IF($F$5="Ja",SUMIFS(Kit_BOM!$F$2:$F$300,Kit_BOM!$E$2:$E$300,$A21,Kit_BOM!$A$2:$A$300,$A$5,Kit_BOM!$G$2:$G$300,"Optional")*$C$5,0)+IF($F$6="Ja",SUMIFS(Kit_BOM!$F$2:$F$300,Kit_BOM!$E$2:$E$300,$A21,Kit_BOM!$A$2:$A$300,$A$5,Kit_BOM!$G$2:$G$300,"DNP")*$C$5,0)+SUMIFS(Kit_BOM!$F$2:$F$300,Kit_BOM!$E$2:$E$300,$A21,Kit_BOM!$A$2:$A$300,$A$6,Kit_BOM!$G$2:$G$300,"Bestücken")*$C$6+SUMIFS(Kit_BOM!$F$2:$F$300,Kit_BOM!$E$2:$E$300,$A21,Kit_BOM!$A$2:$A$300,$A$6,Kit_BOM!$G$2:$G$300,"Mechanical")*$C$6+IF($F$5="Ja",SUMIFS(Kit_BOM!$F$2:$F$300,Kit_BOM!$E$2:$E$300,$A21,Kit_BOM!$A$2:$A$300,$A$6,Kit_BOM!$G$2:$G$300,"Optional")*$C$6,0)+IF($F$6="Ja",SUMIFS(Kit_BOM!$F$2:$F$300,Kit_BOM!$E$2:$E$300,$A21,Kit_BOM!$A$2:$A$300,$A$6,Kit_BOM!$G$2:$G$300,"DNP")*$C$6,0)+SUMIFS(Kit_BOM!$F$2:$F$300,Kit_BOM!$E$2:$E$300,$A21,Kit_BOM!$A$2:$A$300,$A$7,Kit_BOM!$G$2:$G$300,"Bestücken")*$C$7+SUMIFS(Kit_BOM!$F$2:$F$300,Kit_BOM!$E$2:$E$300,$A21,Kit_BOM!$A$2:$A$300,$A$7,Kit_BOM!$G$2:$G$300,"Mechanical")*$C$7+IF($F$5="Ja",SUMIFS(Kit_BOM!$F$2:$F$300,Kit_BOM!$E$2:$E$300,$A21,Kit_BOM!$A$2:$A$300,$A$7,Kit_BOM!$G$2:$G$300,"Optional")*$C$7,0)+IF($F$6="Ja",SUMIFS(Kit_BOM!$F$2:$F$300,Kit_BOM!$E$2:$E$300,$A21,Kit_BOM!$A$2:$A$300,$A$7,Kit_BOM!$G$2:$G$300,"DNP")*$C$7,0)+SUMIFS(Kit_BOM!$F$2:$F$300,Kit_BOM!$E$2:$E$300,$A21,Kit_BOM!$A$2:$A$300,$A$8,Kit_BOM!$G$2:$G$300,"Bestücken")*$C$8+SUMIFS(Kit_BOM!$F$2:$F$300,Kit_BOM!$E$2:$E$300,$A21,Kit_BOM!$A$2:$A$300,$A$8,Kit_BOM!$G$2:$G$300,"Mechanical")*$C$8+IF($F$5="Ja",SUMIFS(Kit_BOM!$F$2:$F$300,Kit_BOM!$E$2:$E$300,$A21,Kit_BOM!$A$2:$A$300,$A$8,Kit_BOM!$G$2:$G$300,"Optional")*$C$8,0)+IF($F$6="Ja",SUMIFS(Kit_BOM!$F$2:$F$300,Kit_BOM!$E$2:$E$300,$A21,Kit_BOM!$A$2:$A$300,$A$8,Kit_BOM!$G$2:$G$300,"DNP")*$C$8,0)+SUMIFS(Kit_BOM!$F$2:$F$300,Kit_BOM!$E$2:$E$300,$A21,Kit_BOM!$A$2:$A$300,$A$9,Kit_BOM!$G$2:$G$300,"Bestücken")*$C$9+SUMIFS(Kit_BOM!$F$2:$F$300,Kit_BOM!$E$2:$E$300,$A21,Kit_BOM!$A$2:$A$300,$A$9,Kit_BOM!$G$2:$G$300,"Mechanical")*$C$9+IF($F$5="Ja",SUMIFS(Kit_BOM!$F$2:$F$300,Kit_BOM!$E$2:$E$300,$A21,Kit_BOM!$A$2:$A$300,$A$9,Kit_BOM!$G$2:$G$300,"Optional")*$C$9,0)+IF($F$6="Ja",SUMIFS(Kit_BOM!$F$2:$F$300,Kit_BOM!$E$2:$E$300,$A21,Kit_BOM!$A$2:$A$300,$A$9,Kit_BOM!$G$2:$G$300,"DNP")*$C$9,0)+SUMIFS(Kit_BOM!$F$2:$F$300,Kit_BOM!$E$2:$E$300,$A21,Kit_BOM!$A$2:$A$300,$A$10,Kit_BOM!$G$2:$G$300,"Bestücken")*$C$10+SUMIFS(Kit_BOM!$F$2:$F$300,Kit_BOM!$E$2:$E$300,$A21,Kit_BOM!$A$2:$A$300,$A$10,Kit_BOM!$G$2:$G$300,"Mechanical")*$C$10+IF($F$5="Ja",SUMIFS(Kit_BOM!$F$2:$F$300,Kit_BOM!$E$2:$E$300,$A21,Kit_BOM!$A$2:$A$300,$A$10,Kit_BOM!$G$2:$G$300,"Optional")*$C$10,0)+IF($F$6="Ja",SUMIFS(Kit_BOM!$F$2:$F$300,Kit_BOM!$E$2:$E$300,$A21,Kit_BOM!$A$2:$A$300,$A$10,Kit_BOM!$G$2:$G$300,"DNP")*$C$10,0)+SUMIFS(Kit_BOM!$F$2:$F$300,Kit_BOM!$E$2:$E$300,$A21,Kit_BOM!$A$2:$A$300,$A$11,Kit_BOM!$G$2:$G$300,"Bestücken")*$C$11+SUMIFS(Kit_BOM!$F$2:$F$300,Kit_BOM!$E$2:$E$300,$A21,Kit_BOM!$A$2:$A$300,$A$11,Kit_BOM!$G$2:$G$300,"Mechanical")*$C$11+IF($F$5="Ja",SUMIFS(Kit_BOM!$F$2:$F$300,Kit_BOM!$E$2:$E$300,$A21,Kit_BOM!$A$2:$A$300,$A$11,Kit_BOM!$G$2:$G$300,"Optional")*$C$11,0)+IF($F$6="Ja",SUMIFS(Kit_BOM!$F$2:$F$300,Kit_BOM!$E$2:$E$300,$A21,Kit_BOM!$A$2:$A$300,$A$11,Kit_BOM!$G$2:$G$300,"DNP")*$C$11,0)+SUMIFS(Kit_BOM!$F$2:$F$300,Kit_BOM!$E$2:$E$300,$A21,Kit_BOM!$A$2:$A$300,$A$12,Kit_BOM!$G$2:$G$300,"Bestücken")*$C$12+SUMIFS(Kit_BOM!$F$2:$F$300,Kit_BOM!$E$2:$E$300,$A21,Kit_BOM!$A$2:$A$300,$A$12,Kit_BOM!$G$2:$G$300,"Mechanical")*$C$12+IF($F$5="Ja",SUMIFS(Kit_BOM!$F$2:$F$300,Kit_BOM!$E$2:$E$300,$A21,Kit_BOM!$A$2:$A$300,$A$12,Kit_BOM!$G$2:$G$300,"Optional")*$C$12,0)+IF($F$6="Ja",SUMIFS(Kit_BOM!$F$2:$F$300,Kit_BOM!$E$2:$E$300,$A21,Kit_BOM!$A$2:$A$300,$A$12,Kit_BOM!$G$2:$G$300,"DNP")*$C$12,0)+SUMIFS(Kit_BOM!$F$2:$F$300,Kit_BOM!$E$2:$E$300,$A21,Kit_BOM!$A$2:$A$300,$H$5,Kit_BOM!$G$2:$G$300,"Bestücken")*$J$5+SUMIFS(Kit_BOM!$F$2:$F$300,Kit_BOM!$E$2:$E$300,$A21,Kit_BOM!$A$2:$A$300,$H$5,Kit_BOM!$G$2:$G$300,"Mechanical")*$J$5+IF($F$5="Ja",SUMIFS(Kit_BOM!$F$2:$F$300,Kit_BOM!$E$2:$E$300,$A21,Kit_BOM!$A$2:$A$300,$H$5,Kit_BOM!$G$2:$G$300,"Optional")*$J$5,0)+IF($F$6="Ja",SUMIFS(Kit_BOM!$F$2:$F$300,Kit_BOM!$E$2:$E$300,$A21,Kit_BOM!$A$2:$A$300,$H$5,Kit_BOM!$G$2:$G$300,"DNP")*$J$5,0)+SUMIFS(Kit_BOM!$F$2:$F$300,Kit_BOM!$E$2:$E$300,$A21,Kit_BOM!$A$2:$A$300,$H$6,Kit_BOM!$G$2:$G$300,"Bestücken")*$J$6+SUMIFS(Kit_BOM!$F$2:$F$300,Kit_BOM!$E$2:$E$300,$A21,Kit_BOM!$A$2:$A$300,$H$6,Kit_BOM!$G$2:$G$300,"Mechanical")*$J$6+IF($F$5="Ja",SUMIFS(Kit_BOM!$F$2:$F$300,Kit_BOM!$E$2:$E$300,$A21,Kit_BOM!$A$2:$A$300,$H$6,Kit_BOM!$G$2:$G$300,"Optional")*$J$6,0)+IF($F$6="Ja",SUMIFS(Kit_BOM!$F$2:$F$300,Kit_BOM!$E$2:$E$300,$A21,Kit_BOM!$A$2:$A$300,$H$6,Kit_BOM!$G$2:$G$300,"DNP")*$J$6,0)</f>
        <v>6</v>
      </c>
      <c r="F21" s="27">
        <f>IFERROR(IF(_xlfn.XLOOKUP($A21&amp;"|Ja",Part_Suppliers!$L$2:$L$300,Part_Suppliers!$G$2:$G$300,"",0)=0,"",_xlfn.XLOOKUP($A21&amp;"|Ja",Part_Suppliers!$L$2:$L$300,Part_Suppliers!$G$2:$G$300,"",0)),"")</f>
        <v>10</v>
      </c>
      <c r="G21" s="27">
        <f t="shared" si="0"/>
        <v>10</v>
      </c>
      <c r="H21" s="46">
        <f>IFERROR(IF(_xlfn.XLOOKUP($A21&amp;"|Ja",Part_Suppliers!$L$2:$L$300,Part_Suppliers!$E$2:$E$300,"",0)=0,"",_xlfn.XLOOKUP($A21&amp;"|Ja",Part_Suppliers!$L$2:$L$300,Part_Suppliers!$E$2:$E$300,"",0)),"")</f>
        <v>0.11</v>
      </c>
      <c r="I21" s="46">
        <f t="shared" si="1"/>
        <v>1.1000000000000001</v>
      </c>
      <c r="J21" t="str">
        <f t="shared" si="2"/>
        <v>Gedeckt</v>
      </c>
      <c r="K21" s="26" t="str">
        <f>IFERROR(IF(_xlfn.XLOOKUP($A21&amp;"|Ja",Part_Suppliers!$L$2:$L$300,Part_Suppliers!$D$2:$D$300,"",0)=0,"",_xlfn.XLOOKUP($A21&amp;"|Ja",Part_Suppliers!$L$2:$L$300,Part_Suppliers!$D$2:$D$300,"",0)),"")</f>
        <v>https://www.reichelt.de/de/de/shop/produkt/mlcc_1206_10_f_25_v_-10_x7r-409262</v>
      </c>
      <c r="L21" s="47">
        <f>IFERROR(VLOOKUP($A21,Stock!$A$5:$K$200,10,FALSE()),0)</f>
        <v>8</v>
      </c>
      <c r="M21" s="47">
        <f>IFERROR(VLOOKUP($A21,Stock!$A$5:$K$200,11,FALSE()),0)</f>
        <v>0</v>
      </c>
      <c r="N21" s="47">
        <f t="shared" si="3"/>
        <v>2</v>
      </c>
      <c r="O21" s="47">
        <f t="shared" si="4"/>
        <v>0</v>
      </c>
      <c r="P21" s="48">
        <v>0</v>
      </c>
      <c r="Q21" s="49">
        <f t="shared" si="5"/>
        <v>0</v>
      </c>
      <c r="R21" s="82">
        <f>SUMIFS(Part_Alternatives!$H$2:$H$200,Part_Alternatives!$A$2:$A$200,$A21,Part_Alternatives!$E$2:$E$200,"Ja")</f>
        <v>0</v>
      </c>
      <c r="S21" s="82">
        <f>SUMIFS(Part_Alternatives!$I$2:$I$200,Part_Alternatives!$A$2:$A$200,$A21,Part_Alternatives!$E$2:$E$200,"Ja")</f>
        <v>0</v>
      </c>
      <c r="T21" s="80" t="str">
        <f>IFERROR(VLOOKUP($A21,Part_Alternatives!$A$2:$K$200,10,FALSE()),"")</f>
        <v/>
      </c>
    </row>
    <row r="22" spans="1:20" ht="14" hidden="1" customHeight="1" x14ac:dyDescent="0.2">
      <c r="A22" s="26" t="s">
        <v>98</v>
      </c>
      <c r="B22" s="45" t="str">
        <f>IFERROR(VLOOKUP($A22,Parts!$A$2:$M$191,3,FALSE()),"")</f>
        <v>47 uF 10V Tantal</v>
      </c>
      <c r="C22" s="26" t="str">
        <f>IFERROR(IF(_xlfn.XLOOKUP($A22&amp;"|Ja",Part_Suppliers!$L$2:$L$300,Part_Suppliers!$B$2:$B$300,"",0)=0,"",_xlfn.XLOOKUP($A22&amp;"|Ja",Part_Suppliers!$L$2:$L$300,Part_Suppliers!$B$2:$B$300,"",0)),"")</f>
        <v>Reichelt</v>
      </c>
      <c r="D22" s="26" t="str">
        <f>IFERROR(IF(_xlfn.XLOOKUP($A22&amp;"|Ja",Part_Suppliers!$L$2:$L$300,Part_Suppliers!$C$2:$C$300,"",0)=0,"",_xlfn.XLOOKUP($A22&amp;"|Ja",Part_Suppliers!$L$2:$L$300,Part_Suppliers!$C$2:$C$300,"",0)),"")</f>
        <v>TAJ 3528 47/10</v>
      </c>
      <c r="E22" s="27">
        <f>SUMIFS(Kit_BOM!$F$2:$F$300,Kit_BOM!$E$2:$E$300,$A22,Kit_BOM!$A$2:$A$300,$A$5,Kit_BOM!$G$2:$G$300,"Bestücken")*$C$5+SUMIFS(Kit_BOM!$F$2:$F$300,Kit_BOM!$E$2:$E$300,$A22,Kit_BOM!$A$2:$A$300,$A$5,Kit_BOM!$G$2:$G$300,"Mechanical")*$C$5+IF($F$5="Ja",SUMIFS(Kit_BOM!$F$2:$F$300,Kit_BOM!$E$2:$E$300,$A22,Kit_BOM!$A$2:$A$300,$A$5,Kit_BOM!$G$2:$G$300,"Optional")*$C$5,0)+IF($F$6="Ja",SUMIFS(Kit_BOM!$F$2:$F$300,Kit_BOM!$E$2:$E$300,$A22,Kit_BOM!$A$2:$A$300,$A$5,Kit_BOM!$G$2:$G$300,"DNP")*$C$5,0)+SUMIFS(Kit_BOM!$F$2:$F$300,Kit_BOM!$E$2:$E$300,$A22,Kit_BOM!$A$2:$A$300,$A$6,Kit_BOM!$G$2:$G$300,"Bestücken")*$C$6+SUMIFS(Kit_BOM!$F$2:$F$300,Kit_BOM!$E$2:$E$300,$A22,Kit_BOM!$A$2:$A$300,$A$6,Kit_BOM!$G$2:$G$300,"Mechanical")*$C$6+IF($F$5="Ja",SUMIFS(Kit_BOM!$F$2:$F$300,Kit_BOM!$E$2:$E$300,$A22,Kit_BOM!$A$2:$A$300,$A$6,Kit_BOM!$G$2:$G$300,"Optional")*$C$6,0)+IF($F$6="Ja",SUMIFS(Kit_BOM!$F$2:$F$300,Kit_BOM!$E$2:$E$300,$A22,Kit_BOM!$A$2:$A$300,$A$6,Kit_BOM!$G$2:$G$300,"DNP")*$C$6,0)+SUMIFS(Kit_BOM!$F$2:$F$300,Kit_BOM!$E$2:$E$300,$A22,Kit_BOM!$A$2:$A$300,$A$7,Kit_BOM!$G$2:$G$300,"Bestücken")*$C$7+SUMIFS(Kit_BOM!$F$2:$F$300,Kit_BOM!$E$2:$E$300,$A22,Kit_BOM!$A$2:$A$300,$A$7,Kit_BOM!$G$2:$G$300,"Mechanical")*$C$7+IF($F$5="Ja",SUMIFS(Kit_BOM!$F$2:$F$300,Kit_BOM!$E$2:$E$300,$A22,Kit_BOM!$A$2:$A$300,$A$7,Kit_BOM!$G$2:$G$300,"Optional")*$C$7,0)+IF($F$6="Ja",SUMIFS(Kit_BOM!$F$2:$F$300,Kit_BOM!$E$2:$E$300,$A22,Kit_BOM!$A$2:$A$300,$A$7,Kit_BOM!$G$2:$G$300,"DNP")*$C$7,0)+SUMIFS(Kit_BOM!$F$2:$F$300,Kit_BOM!$E$2:$E$300,$A22,Kit_BOM!$A$2:$A$300,$A$8,Kit_BOM!$G$2:$G$300,"Bestücken")*$C$8+SUMIFS(Kit_BOM!$F$2:$F$300,Kit_BOM!$E$2:$E$300,$A22,Kit_BOM!$A$2:$A$300,$A$8,Kit_BOM!$G$2:$G$300,"Mechanical")*$C$8+IF($F$5="Ja",SUMIFS(Kit_BOM!$F$2:$F$300,Kit_BOM!$E$2:$E$300,$A22,Kit_BOM!$A$2:$A$300,$A$8,Kit_BOM!$G$2:$G$300,"Optional")*$C$8,0)+IF($F$6="Ja",SUMIFS(Kit_BOM!$F$2:$F$300,Kit_BOM!$E$2:$E$300,$A22,Kit_BOM!$A$2:$A$300,$A$8,Kit_BOM!$G$2:$G$300,"DNP")*$C$8,0)+SUMIFS(Kit_BOM!$F$2:$F$300,Kit_BOM!$E$2:$E$300,$A22,Kit_BOM!$A$2:$A$300,$A$9,Kit_BOM!$G$2:$G$300,"Bestücken")*$C$9+SUMIFS(Kit_BOM!$F$2:$F$300,Kit_BOM!$E$2:$E$300,$A22,Kit_BOM!$A$2:$A$300,$A$9,Kit_BOM!$G$2:$G$300,"Mechanical")*$C$9+IF($F$5="Ja",SUMIFS(Kit_BOM!$F$2:$F$300,Kit_BOM!$E$2:$E$300,$A22,Kit_BOM!$A$2:$A$300,$A$9,Kit_BOM!$G$2:$G$300,"Optional")*$C$9,0)+IF($F$6="Ja",SUMIFS(Kit_BOM!$F$2:$F$300,Kit_BOM!$E$2:$E$300,$A22,Kit_BOM!$A$2:$A$300,$A$9,Kit_BOM!$G$2:$G$300,"DNP")*$C$9,0)+SUMIFS(Kit_BOM!$F$2:$F$300,Kit_BOM!$E$2:$E$300,$A22,Kit_BOM!$A$2:$A$300,$A$10,Kit_BOM!$G$2:$G$300,"Bestücken")*$C$10+SUMIFS(Kit_BOM!$F$2:$F$300,Kit_BOM!$E$2:$E$300,$A22,Kit_BOM!$A$2:$A$300,$A$10,Kit_BOM!$G$2:$G$300,"Mechanical")*$C$10+IF($F$5="Ja",SUMIFS(Kit_BOM!$F$2:$F$300,Kit_BOM!$E$2:$E$300,$A22,Kit_BOM!$A$2:$A$300,$A$10,Kit_BOM!$G$2:$G$300,"Optional")*$C$10,0)+IF($F$6="Ja",SUMIFS(Kit_BOM!$F$2:$F$300,Kit_BOM!$E$2:$E$300,$A22,Kit_BOM!$A$2:$A$300,$A$10,Kit_BOM!$G$2:$G$300,"DNP")*$C$10,0)+SUMIFS(Kit_BOM!$F$2:$F$300,Kit_BOM!$E$2:$E$300,$A22,Kit_BOM!$A$2:$A$300,$A$11,Kit_BOM!$G$2:$G$300,"Bestücken")*$C$11+SUMIFS(Kit_BOM!$F$2:$F$300,Kit_BOM!$E$2:$E$300,$A22,Kit_BOM!$A$2:$A$300,$A$11,Kit_BOM!$G$2:$G$300,"Mechanical")*$C$11+IF($F$5="Ja",SUMIFS(Kit_BOM!$F$2:$F$300,Kit_BOM!$E$2:$E$300,$A22,Kit_BOM!$A$2:$A$300,$A$11,Kit_BOM!$G$2:$G$300,"Optional")*$C$11,0)+IF($F$6="Ja",SUMIFS(Kit_BOM!$F$2:$F$300,Kit_BOM!$E$2:$E$300,$A22,Kit_BOM!$A$2:$A$300,$A$11,Kit_BOM!$G$2:$G$300,"DNP")*$C$11,0)+SUMIFS(Kit_BOM!$F$2:$F$300,Kit_BOM!$E$2:$E$300,$A22,Kit_BOM!$A$2:$A$300,$A$12,Kit_BOM!$G$2:$G$300,"Bestücken")*$C$12+SUMIFS(Kit_BOM!$F$2:$F$300,Kit_BOM!$E$2:$E$300,$A22,Kit_BOM!$A$2:$A$300,$A$12,Kit_BOM!$G$2:$G$300,"Mechanical")*$C$12+IF($F$5="Ja",SUMIFS(Kit_BOM!$F$2:$F$300,Kit_BOM!$E$2:$E$300,$A22,Kit_BOM!$A$2:$A$300,$A$12,Kit_BOM!$G$2:$G$300,"Optional")*$C$12,0)+IF($F$6="Ja",SUMIFS(Kit_BOM!$F$2:$F$300,Kit_BOM!$E$2:$E$300,$A22,Kit_BOM!$A$2:$A$300,$A$12,Kit_BOM!$G$2:$G$300,"DNP")*$C$12,0)+SUMIFS(Kit_BOM!$F$2:$F$300,Kit_BOM!$E$2:$E$300,$A22,Kit_BOM!$A$2:$A$300,$H$5,Kit_BOM!$G$2:$G$300,"Bestücken")*$J$5+SUMIFS(Kit_BOM!$F$2:$F$300,Kit_BOM!$E$2:$E$300,$A22,Kit_BOM!$A$2:$A$300,$H$5,Kit_BOM!$G$2:$G$300,"Mechanical")*$J$5+IF($F$5="Ja",SUMIFS(Kit_BOM!$F$2:$F$300,Kit_BOM!$E$2:$E$300,$A22,Kit_BOM!$A$2:$A$300,$H$5,Kit_BOM!$G$2:$G$300,"Optional")*$J$5,0)+IF($F$6="Ja",SUMIFS(Kit_BOM!$F$2:$F$300,Kit_BOM!$E$2:$E$300,$A22,Kit_BOM!$A$2:$A$300,$H$5,Kit_BOM!$G$2:$G$300,"DNP")*$J$5,0)+SUMIFS(Kit_BOM!$F$2:$F$300,Kit_BOM!$E$2:$E$300,$A22,Kit_BOM!$A$2:$A$300,$H$6,Kit_BOM!$G$2:$G$300,"Bestücken")*$J$6+SUMIFS(Kit_BOM!$F$2:$F$300,Kit_BOM!$E$2:$E$300,$A22,Kit_BOM!$A$2:$A$300,$H$6,Kit_BOM!$G$2:$G$300,"Mechanical")*$J$6+IF($F$5="Ja",SUMIFS(Kit_BOM!$F$2:$F$300,Kit_BOM!$E$2:$E$300,$A22,Kit_BOM!$A$2:$A$300,$H$6,Kit_BOM!$G$2:$G$300,"Optional")*$J$6,0)+IF($F$6="Ja",SUMIFS(Kit_BOM!$F$2:$F$300,Kit_BOM!$E$2:$E$300,$A22,Kit_BOM!$A$2:$A$300,$H$6,Kit_BOM!$G$2:$G$300,"DNP")*$J$6,0)</f>
        <v>5</v>
      </c>
      <c r="F22" s="27" t="str">
        <f>IFERROR(IF(_xlfn.XLOOKUP($A22&amp;"|Ja",Part_Suppliers!$L$2:$L$300,Part_Suppliers!$G$2:$G$300,"",0)=0,"",_xlfn.XLOOKUP($A22&amp;"|Ja",Part_Suppliers!$L$2:$L$300,Part_Suppliers!$G$2:$G$300,"",0)),"")</f>
        <v/>
      </c>
      <c r="G22" s="27">
        <f t="shared" si="0"/>
        <v>5</v>
      </c>
      <c r="H22" s="46">
        <f>IFERROR(IF(_xlfn.XLOOKUP($A22&amp;"|Ja",Part_Suppliers!$L$2:$L$300,Part_Suppliers!$E$2:$E$300,"",0)=0,"",_xlfn.XLOOKUP($A22&amp;"|Ja",Part_Suppliers!$L$2:$L$300,Part_Suppliers!$E$2:$E$300,"",0)),"")</f>
        <v>0.28999999999999998</v>
      </c>
      <c r="I22" s="46">
        <f t="shared" si="1"/>
        <v>1.45</v>
      </c>
      <c r="J22" t="str">
        <f t="shared" si="2"/>
        <v>Gedeckt</v>
      </c>
      <c r="K22" s="26" t="str">
        <f>IFERROR(IF(_xlfn.XLOOKUP($A22&amp;"|Ja",Part_Suppliers!$L$2:$L$300,Part_Suppliers!$D$2:$D$300,"",0)=0,"",_xlfn.XLOOKUP($A22&amp;"|Ja",Part_Suppliers!$L$2:$L$300,Part_Suppliers!$D$2:$D$300,"",0)),"")</f>
        <v>https://www.reichelt.de/de/de/shop/produkt/smd-tantal_kondensator_47_f_10_v-167014</v>
      </c>
      <c r="L22" s="47">
        <f>IFERROR(VLOOKUP($A22,Stock!$A$5:$K$200,10,FALSE()),0)</f>
        <v>12</v>
      </c>
      <c r="M22" s="47">
        <f>IFERROR(VLOOKUP($A22,Stock!$A$5:$K$200,11,FALSE()),0)</f>
        <v>0</v>
      </c>
      <c r="N22" s="47">
        <f t="shared" si="3"/>
        <v>7</v>
      </c>
      <c r="O22" s="47">
        <f t="shared" si="4"/>
        <v>0</v>
      </c>
      <c r="P22" s="48">
        <v>0</v>
      </c>
      <c r="Q22" s="49">
        <f t="shared" si="5"/>
        <v>0</v>
      </c>
      <c r="R22" s="82">
        <f>SUMIFS(Part_Alternatives!$H$2:$H$200,Part_Alternatives!$A$2:$A$200,$A22,Part_Alternatives!$E$2:$E$200,"Ja")</f>
        <v>0</v>
      </c>
      <c r="S22" s="82">
        <f>SUMIFS(Part_Alternatives!$I$2:$I$200,Part_Alternatives!$A$2:$A$200,$A22,Part_Alternatives!$E$2:$E$200,"Ja")</f>
        <v>0</v>
      </c>
      <c r="T22" s="80" t="str">
        <f>IFERROR(VLOOKUP($A22,Part_Alternatives!$A$2:$K$200,10,FALSE()),"")</f>
        <v/>
      </c>
    </row>
    <row r="23" spans="1:20" ht="14" customHeight="1" x14ac:dyDescent="0.15">
      <c r="A23" t="s">
        <v>203</v>
      </c>
      <c r="B23" t="str">
        <f>IFERROR(VLOOKUP($A23,Parts!$A$2:$M$191,3,FALSE()),"")</f>
        <v>SMD-Widerstand 5,1 kOhm, 1 %, 1206</v>
      </c>
      <c r="C23" t="str">
        <f>IFERROR(IF(_xlfn.XLOOKUP($A23&amp;"|Ja",Part_Suppliers!$L$2:$L$300,Part_Suppliers!$B$2:$B$300,"",0)=0,"",_xlfn.XLOOKUP($A23&amp;"|Ja",Part_Suppliers!$L$2:$L$300,Part_Suppliers!$B$2:$B$300,"",0)),"")</f>
        <v>DigiKey</v>
      </c>
      <c r="D23" t="str">
        <f>IFERROR(IF(_xlfn.XLOOKUP($A23&amp;"|Ja",Part_Suppliers!$L$2:$L$300,Part_Suppliers!$C$2:$C$300,"",0)=0,"",_xlfn.XLOOKUP($A23&amp;"|Ja",Part_Suppliers!$L$2:$L$300,Part_Suppliers!$C$2:$C$300,"",0)),"")</f>
        <v>541-5.10KFCT-ND</v>
      </c>
      <c r="E23">
        <f>SUMIFS(Kit_BOM!$F$2:$F$300,Kit_BOM!$E$2:$E$300,$A23,Kit_BOM!$A$2:$A$300,$A$5,Kit_BOM!$G$2:$G$300,"Bestücken")*$C$5+SUMIFS(Kit_BOM!$F$2:$F$300,Kit_BOM!$E$2:$E$300,$A23,Kit_BOM!$A$2:$A$300,$A$5,Kit_BOM!$G$2:$G$300,"Mechanical")*$C$5+IF($F$5="Ja",SUMIFS(Kit_BOM!$F$2:$F$300,Kit_BOM!$E$2:$E$300,$A23,Kit_BOM!$A$2:$A$300,$A$5,Kit_BOM!$G$2:$G$300,"Optional")*$C$5,0)+IF($F$6="Ja",SUMIFS(Kit_BOM!$F$2:$F$300,Kit_BOM!$E$2:$E$300,$A23,Kit_BOM!$A$2:$A$300,$A$5,Kit_BOM!$G$2:$G$300,"DNP")*$C$5,0)+SUMIFS(Kit_BOM!$F$2:$F$300,Kit_BOM!$E$2:$E$300,$A23,Kit_BOM!$A$2:$A$300,$A$6,Kit_BOM!$G$2:$G$300,"Bestücken")*$C$6+SUMIFS(Kit_BOM!$F$2:$F$300,Kit_BOM!$E$2:$E$300,$A23,Kit_BOM!$A$2:$A$300,$A$6,Kit_BOM!$G$2:$G$300,"Mechanical")*$C$6+IF($F$5="Ja",SUMIFS(Kit_BOM!$F$2:$F$300,Kit_BOM!$E$2:$E$300,$A23,Kit_BOM!$A$2:$A$300,$A$6,Kit_BOM!$G$2:$G$300,"Optional")*$C$6,0)+IF($F$6="Ja",SUMIFS(Kit_BOM!$F$2:$F$300,Kit_BOM!$E$2:$E$300,$A23,Kit_BOM!$A$2:$A$300,$A$6,Kit_BOM!$G$2:$G$300,"DNP")*$C$6,0)+SUMIFS(Kit_BOM!$F$2:$F$300,Kit_BOM!$E$2:$E$300,$A23,Kit_BOM!$A$2:$A$300,$A$7,Kit_BOM!$G$2:$G$300,"Bestücken")*$C$7+SUMIFS(Kit_BOM!$F$2:$F$300,Kit_BOM!$E$2:$E$300,$A23,Kit_BOM!$A$2:$A$300,$A$7,Kit_BOM!$G$2:$G$300,"Mechanical")*$C$7+IF($F$5="Ja",SUMIFS(Kit_BOM!$F$2:$F$300,Kit_BOM!$E$2:$E$300,$A23,Kit_BOM!$A$2:$A$300,$A$7,Kit_BOM!$G$2:$G$300,"Optional")*$C$7,0)+IF($F$6="Ja",SUMIFS(Kit_BOM!$F$2:$F$300,Kit_BOM!$E$2:$E$300,$A23,Kit_BOM!$A$2:$A$300,$A$7,Kit_BOM!$G$2:$G$300,"DNP")*$C$7,0)+SUMIFS(Kit_BOM!$F$2:$F$300,Kit_BOM!$E$2:$E$300,$A23,Kit_BOM!$A$2:$A$300,$A$8,Kit_BOM!$G$2:$G$300,"Bestücken")*$C$8+SUMIFS(Kit_BOM!$F$2:$F$300,Kit_BOM!$E$2:$E$300,$A23,Kit_BOM!$A$2:$A$300,$A$8,Kit_BOM!$G$2:$G$300,"Mechanical")*$C$8+IF($F$5="Ja",SUMIFS(Kit_BOM!$F$2:$F$300,Kit_BOM!$E$2:$E$300,$A23,Kit_BOM!$A$2:$A$300,$A$8,Kit_BOM!$G$2:$G$300,"Optional")*$C$8,0)+IF($F$6="Ja",SUMIFS(Kit_BOM!$F$2:$F$300,Kit_BOM!$E$2:$E$300,$A23,Kit_BOM!$A$2:$A$300,$A$8,Kit_BOM!$G$2:$G$300,"DNP")*$C$8,0)+SUMIFS(Kit_BOM!$F$2:$F$300,Kit_BOM!$E$2:$E$300,$A23,Kit_BOM!$A$2:$A$300,$A$9,Kit_BOM!$G$2:$G$300,"Bestücken")*$C$9+SUMIFS(Kit_BOM!$F$2:$F$300,Kit_BOM!$E$2:$E$300,$A23,Kit_BOM!$A$2:$A$300,$A$9,Kit_BOM!$G$2:$G$300,"Mechanical")*$C$9+IF($F$5="Ja",SUMIFS(Kit_BOM!$F$2:$F$300,Kit_BOM!$E$2:$E$300,$A23,Kit_BOM!$A$2:$A$300,$A$9,Kit_BOM!$G$2:$G$300,"Optional")*$C$9,0)+IF($F$6="Ja",SUMIFS(Kit_BOM!$F$2:$F$300,Kit_BOM!$E$2:$E$300,$A23,Kit_BOM!$A$2:$A$300,$A$9,Kit_BOM!$G$2:$G$300,"DNP")*$C$9,0)+SUMIFS(Kit_BOM!$F$2:$F$300,Kit_BOM!$E$2:$E$300,$A23,Kit_BOM!$A$2:$A$300,$A$10,Kit_BOM!$G$2:$G$300,"Bestücken")*$C$10+SUMIFS(Kit_BOM!$F$2:$F$300,Kit_BOM!$E$2:$E$300,$A23,Kit_BOM!$A$2:$A$300,$A$10,Kit_BOM!$G$2:$G$300,"Mechanical")*$C$10+IF($F$5="Ja",SUMIFS(Kit_BOM!$F$2:$F$300,Kit_BOM!$E$2:$E$300,$A23,Kit_BOM!$A$2:$A$300,$A$10,Kit_BOM!$G$2:$G$300,"Optional")*$C$10,0)+IF($F$6="Ja",SUMIFS(Kit_BOM!$F$2:$F$300,Kit_BOM!$E$2:$E$300,$A23,Kit_BOM!$A$2:$A$300,$A$10,Kit_BOM!$G$2:$G$300,"DNP")*$C$10,0)+SUMIFS(Kit_BOM!$F$2:$F$300,Kit_BOM!$E$2:$E$300,$A23,Kit_BOM!$A$2:$A$300,$A$11,Kit_BOM!$G$2:$G$300,"Bestücken")*$C$11+SUMIFS(Kit_BOM!$F$2:$F$300,Kit_BOM!$E$2:$E$300,$A23,Kit_BOM!$A$2:$A$300,$A$11,Kit_BOM!$G$2:$G$300,"Mechanical")*$C$11+IF($F$5="Ja",SUMIFS(Kit_BOM!$F$2:$F$300,Kit_BOM!$E$2:$E$300,$A23,Kit_BOM!$A$2:$A$300,$A$11,Kit_BOM!$G$2:$G$300,"Optional")*$C$11,0)+IF($F$6="Ja",SUMIFS(Kit_BOM!$F$2:$F$300,Kit_BOM!$E$2:$E$300,$A23,Kit_BOM!$A$2:$A$300,$A$11,Kit_BOM!$G$2:$G$300,"DNP")*$C$11,0)+SUMIFS(Kit_BOM!$F$2:$F$300,Kit_BOM!$E$2:$E$300,$A23,Kit_BOM!$A$2:$A$300,$A$12,Kit_BOM!$G$2:$G$300,"Bestücken")*$C$12+SUMIFS(Kit_BOM!$F$2:$F$300,Kit_BOM!$E$2:$E$300,$A23,Kit_BOM!$A$2:$A$300,$A$12,Kit_BOM!$G$2:$G$300,"Mechanical")*$C$12+IF($F$5="Ja",SUMIFS(Kit_BOM!$F$2:$F$300,Kit_BOM!$E$2:$E$300,$A23,Kit_BOM!$A$2:$A$300,$A$12,Kit_BOM!$G$2:$G$300,"Optional")*$C$12,0)+IF($F$6="Ja",SUMIFS(Kit_BOM!$F$2:$F$300,Kit_BOM!$E$2:$E$300,$A23,Kit_BOM!$A$2:$A$300,$A$12,Kit_BOM!$G$2:$G$300,"DNP")*$C$12,0)+SUMIFS(Kit_BOM!$F$2:$F$300,Kit_BOM!$E$2:$E$300,$A23,Kit_BOM!$A$2:$A$300,$H$5,Kit_BOM!$G$2:$G$300,"Bestücken")*$J$5+SUMIFS(Kit_BOM!$F$2:$F$300,Kit_BOM!$E$2:$E$300,$A23,Kit_BOM!$A$2:$A$300,$H$5,Kit_BOM!$G$2:$G$300,"Mechanical")*$J$5+IF($F$5="Ja",SUMIFS(Kit_BOM!$F$2:$F$300,Kit_BOM!$E$2:$E$300,$A23,Kit_BOM!$A$2:$A$300,$H$5,Kit_BOM!$G$2:$G$300,"Optional")*$J$5,0)+IF($F$6="Ja",SUMIFS(Kit_BOM!$F$2:$F$300,Kit_BOM!$E$2:$E$300,$A23,Kit_BOM!$A$2:$A$300,$H$5,Kit_BOM!$G$2:$G$300,"DNP")*$J$5,0)+SUMIFS(Kit_BOM!$F$2:$F$300,Kit_BOM!$E$2:$E$300,$A23,Kit_BOM!$A$2:$A$300,$H$6,Kit_BOM!$G$2:$G$300,"Bestücken")*$J$6+SUMIFS(Kit_BOM!$F$2:$F$300,Kit_BOM!$E$2:$E$300,$A23,Kit_BOM!$A$2:$A$300,$H$6,Kit_BOM!$G$2:$G$300,"Mechanical")*$J$6+IF($F$5="Ja",SUMIFS(Kit_BOM!$F$2:$F$300,Kit_BOM!$E$2:$E$300,$A23,Kit_BOM!$A$2:$A$300,$H$6,Kit_BOM!$G$2:$G$300,"Optional")*$J$6,0)+IF($F$6="Ja",SUMIFS(Kit_BOM!$F$2:$F$300,Kit_BOM!$E$2:$E$300,$A23,Kit_BOM!$A$2:$A$300,$H$6,Kit_BOM!$G$2:$G$300,"DNP")*$J$6,0)</f>
        <v>10</v>
      </c>
      <c r="F23" t="str">
        <f>IFERROR(IF(_xlfn.XLOOKUP($A23&amp;"|Ja",Part_Suppliers!$L$2:$L$300,Part_Suppliers!$G$2:$G$300,"",0)=0,"",_xlfn.XLOOKUP($A23&amp;"|Ja",Part_Suppliers!$L$2:$L$300,Part_Suppliers!$G$2:$G$300,"",0)),"")</f>
        <v/>
      </c>
      <c r="G23">
        <f t="shared" ref="G23:G54" si="6">IF($E23=0,0,IF(OR($F23="",$F23=0),$E23,CEILING($E23,$F23)))</f>
        <v>10</v>
      </c>
      <c r="H23">
        <f>IFERROR(IF(_xlfn.XLOOKUP($A23&amp;"|Ja",Part_Suppliers!$L$2:$L$300,Part_Suppliers!$E$2:$E$300,"",0)=0,"",_xlfn.XLOOKUP($A23&amp;"|Ja",Part_Suppliers!$L$2:$L$300,Part_Suppliers!$E$2:$E$300,"",0)),"")</f>
        <v>0.09</v>
      </c>
      <c r="I23">
        <f t="shared" ref="I23:I54" si="7">IF(H23="","",G23*H23)</f>
        <v>0.89999999999999991</v>
      </c>
      <c r="J23" t="str">
        <f t="shared" ref="J23:J43" si="8">IF(AND(P23&gt;0,P23&lt;&gt;O23),"Manuelle Menge prüfen",IF(E23=0,"Nicht benötigt",IF(L23&lt;0,"Bestand klären",IF(O23=0,"Gedeckt",IF(OR(C23="",C23="Noch festlegen",D23=""),"Artikel offen",IF(H23="","Preis offen","Bestellvorschlag prüfen"))))))</f>
        <v>Manuelle Menge prüfen</v>
      </c>
      <c r="K23" t="str">
        <f>IFERROR(IF(_xlfn.XLOOKUP($A23&amp;"|Ja",Part_Suppliers!$L$2:$L$300,Part_Suppliers!$D$2:$D$300,"",0)=0,"",_xlfn.XLOOKUP($A23&amp;"|Ja",Part_Suppliers!$L$2:$L$300,Part_Suppliers!$D$2:$D$300,"",0)),"")</f>
        <v/>
      </c>
      <c r="L23">
        <f>IFERROR(VLOOKUP($A23,Stock!$A$5:$K$200,10,FALSE()),0)</f>
        <v>2</v>
      </c>
      <c r="M23">
        <f>IFERROR(VLOOKUP($A23,Stock!$A$5:$K$200,11,FALSE()),0)</f>
        <v>0</v>
      </c>
      <c r="N23">
        <f t="shared" ref="N23:N54" si="9">$L23+$M23+$R23+$S23-$E23</f>
        <v>-8</v>
      </c>
      <c r="O23">
        <f t="shared" ref="O23:O54" si="10">IF(E23=0,0,IF(N23&gt;=0,0,CEILING(-N23,IF(OR(F23="",F23=0),1,F23))))</f>
        <v>8</v>
      </c>
      <c r="P23">
        <v>20</v>
      </c>
      <c r="Q23">
        <f t="shared" ref="Q23:Q54" si="11">IF(P23=0,0,IF(H23="","",P23*H23))</f>
        <v>1.7999999999999998</v>
      </c>
      <c r="R23">
        <f>SUMIFS(Part_Alternatives!$H$2:$H$200,Part_Alternatives!$A$2:$A$200,$A23,Part_Alternatives!$E$2:$E$200,"Ja")</f>
        <v>0</v>
      </c>
      <c r="S23">
        <f>SUMIFS(Part_Alternatives!$I$2:$I$200,Part_Alternatives!$A$2:$A$200,$A23,Part_Alternatives!$E$2:$E$200,"Ja")</f>
        <v>0</v>
      </c>
      <c r="T23" t="str">
        <f>IFERROR(VLOOKUP($A23,Part_Alternatives!$A$2:$K$200,10,FALSE()),"")</f>
        <v/>
      </c>
    </row>
    <row r="24" spans="1:20" ht="14" hidden="1" customHeight="1" x14ac:dyDescent="0.2">
      <c r="A24" s="26" t="s">
        <v>100</v>
      </c>
      <c r="B24" s="45" t="str">
        <f>IFERROR(VLOOKUP($A24,Parts!$A$2:$M$191,3,FALSE()),"")</f>
        <v>ESP32-DevKitC</v>
      </c>
      <c r="C24" s="26" t="str">
        <f>IFERROR(IF(_xlfn.XLOOKUP($A24&amp;"|Ja",Part_Suppliers!$L$2:$L$300,Part_Suppliers!$B$2:$B$300,"",0)=0,"",_xlfn.XLOOKUP($A24&amp;"|Ja",Part_Suppliers!$L$2:$L$300,Part_Suppliers!$B$2:$B$300,"",0)),"")</f>
        <v>Amazon</v>
      </c>
      <c r="D24" s="26" t="str">
        <f>IFERROR(IF(_xlfn.XLOOKUP($A24&amp;"|Ja",Part_Suppliers!$L$2:$L$300,Part_Suppliers!$C$2:$C$300,"",0)=0,"",_xlfn.XLOOKUP($A24&amp;"|Ja",Part_Suppliers!$L$2:$L$300,Part_Suppliers!$C$2:$C$300,"",0)),"")</f>
        <v>ESP-32 NodeMCU Modul 2,4 GHz Dual Core WLAN WiFi Bluetooth CP2102 für Arduino(Micro USB Port)</v>
      </c>
      <c r="E24" s="27">
        <f>SUMIFS(Kit_BOM!$F$2:$F$300,Kit_BOM!$E$2:$E$300,$A24,Kit_BOM!$A$2:$A$300,$A$5,Kit_BOM!$G$2:$G$300,"Bestücken")*$C$5+SUMIFS(Kit_BOM!$F$2:$F$300,Kit_BOM!$E$2:$E$300,$A24,Kit_BOM!$A$2:$A$300,$A$5,Kit_BOM!$G$2:$G$300,"Mechanical")*$C$5+IF($F$5="Ja",SUMIFS(Kit_BOM!$F$2:$F$300,Kit_BOM!$E$2:$E$300,$A24,Kit_BOM!$A$2:$A$300,$A$5,Kit_BOM!$G$2:$G$300,"Optional")*$C$5,0)+IF($F$6="Ja",SUMIFS(Kit_BOM!$F$2:$F$300,Kit_BOM!$E$2:$E$300,$A24,Kit_BOM!$A$2:$A$300,$A$5,Kit_BOM!$G$2:$G$300,"DNP")*$C$5,0)+SUMIFS(Kit_BOM!$F$2:$F$300,Kit_BOM!$E$2:$E$300,$A24,Kit_BOM!$A$2:$A$300,$A$6,Kit_BOM!$G$2:$G$300,"Bestücken")*$C$6+SUMIFS(Kit_BOM!$F$2:$F$300,Kit_BOM!$E$2:$E$300,$A24,Kit_BOM!$A$2:$A$300,$A$6,Kit_BOM!$G$2:$G$300,"Mechanical")*$C$6+IF($F$5="Ja",SUMIFS(Kit_BOM!$F$2:$F$300,Kit_BOM!$E$2:$E$300,$A24,Kit_BOM!$A$2:$A$300,$A$6,Kit_BOM!$G$2:$G$300,"Optional")*$C$6,0)+IF($F$6="Ja",SUMIFS(Kit_BOM!$F$2:$F$300,Kit_BOM!$E$2:$E$300,$A24,Kit_BOM!$A$2:$A$300,$A$6,Kit_BOM!$G$2:$G$300,"DNP")*$C$6,0)+SUMIFS(Kit_BOM!$F$2:$F$300,Kit_BOM!$E$2:$E$300,$A24,Kit_BOM!$A$2:$A$300,$A$7,Kit_BOM!$G$2:$G$300,"Bestücken")*$C$7+SUMIFS(Kit_BOM!$F$2:$F$300,Kit_BOM!$E$2:$E$300,$A24,Kit_BOM!$A$2:$A$300,$A$7,Kit_BOM!$G$2:$G$300,"Mechanical")*$C$7+IF($F$5="Ja",SUMIFS(Kit_BOM!$F$2:$F$300,Kit_BOM!$E$2:$E$300,$A24,Kit_BOM!$A$2:$A$300,$A$7,Kit_BOM!$G$2:$G$300,"Optional")*$C$7,0)+IF($F$6="Ja",SUMIFS(Kit_BOM!$F$2:$F$300,Kit_BOM!$E$2:$E$300,$A24,Kit_BOM!$A$2:$A$300,$A$7,Kit_BOM!$G$2:$G$300,"DNP")*$C$7,0)+SUMIFS(Kit_BOM!$F$2:$F$300,Kit_BOM!$E$2:$E$300,$A24,Kit_BOM!$A$2:$A$300,$A$8,Kit_BOM!$G$2:$G$300,"Bestücken")*$C$8+SUMIFS(Kit_BOM!$F$2:$F$300,Kit_BOM!$E$2:$E$300,$A24,Kit_BOM!$A$2:$A$300,$A$8,Kit_BOM!$G$2:$G$300,"Mechanical")*$C$8+IF($F$5="Ja",SUMIFS(Kit_BOM!$F$2:$F$300,Kit_BOM!$E$2:$E$300,$A24,Kit_BOM!$A$2:$A$300,$A$8,Kit_BOM!$G$2:$G$300,"Optional")*$C$8,0)+IF($F$6="Ja",SUMIFS(Kit_BOM!$F$2:$F$300,Kit_BOM!$E$2:$E$300,$A24,Kit_BOM!$A$2:$A$300,$A$8,Kit_BOM!$G$2:$G$300,"DNP")*$C$8,0)+SUMIFS(Kit_BOM!$F$2:$F$300,Kit_BOM!$E$2:$E$300,$A24,Kit_BOM!$A$2:$A$300,$A$9,Kit_BOM!$G$2:$G$300,"Bestücken")*$C$9+SUMIFS(Kit_BOM!$F$2:$F$300,Kit_BOM!$E$2:$E$300,$A24,Kit_BOM!$A$2:$A$300,$A$9,Kit_BOM!$G$2:$G$300,"Mechanical")*$C$9+IF($F$5="Ja",SUMIFS(Kit_BOM!$F$2:$F$300,Kit_BOM!$E$2:$E$300,$A24,Kit_BOM!$A$2:$A$300,$A$9,Kit_BOM!$G$2:$G$300,"Optional")*$C$9,0)+IF($F$6="Ja",SUMIFS(Kit_BOM!$F$2:$F$300,Kit_BOM!$E$2:$E$300,$A24,Kit_BOM!$A$2:$A$300,$A$9,Kit_BOM!$G$2:$G$300,"DNP")*$C$9,0)+SUMIFS(Kit_BOM!$F$2:$F$300,Kit_BOM!$E$2:$E$300,$A24,Kit_BOM!$A$2:$A$300,$A$10,Kit_BOM!$G$2:$G$300,"Bestücken")*$C$10+SUMIFS(Kit_BOM!$F$2:$F$300,Kit_BOM!$E$2:$E$300,$A24,Kit_BOM!$A$2:$A$300,$A$10,Kit_BOM!$G$2:$G$300,"Mechanical")*$C$10+IF($F$5="Ja",SUMIFS(Kit_BOM!$F$2:$F$300,Kit_BOM!$E$2:$E$300,$A24,Kit_BOM!$A$2:$A$300,$A$10,Kit_BOM!$G$2:$G$300,"Optional")*$C$10,0)+IF($F$6="Ja",SUMIFS(Kit_BOM!$F$2:$F$300,Kit_BOM!$E$2:$E$300,$A24,Kit_BOM!$A$2:$A$300,$A$10,Kit_BOM!$G$2:$G$300,"DNP")*$C$10,0)+SUMIFS(Kit_BOM!$F$2:$F$300,Kit_BOM!$E$2:$E$300,$A24,Kit_BOM!$A$2:$A$300,$A$11,Kit_BOM!$G$2:$G$300,"Bestücken")*$C$11+SUMIFS(Kit_BOM!$F$2:$F$300,Kit_BOM!$E$2:$E$300,$A24,Kit_BOM!$A$2:$A$300,$A$11,Kit_BOM!$G$2:$G$300,"Mechanical")*$C$11+IF($F$5="Ja",SUMIFS(Kit_BOM!$F$2:$F$300,Kit_BOM!$E$2:$E$300,$A24,Kit_BOM!$A$2:$A$300,$A$11,Kit_BOM!$G$2:$G$300,"Optional")*$C$11,0)+IF($F$6="Ja",SUMIFS(Kit_BOM!$F$2:$F$300,Kit_BOM!$E$2:$E$300,$A24,Kit_BOM!$A$2:$A$300,$A$11,Kit_BOM!$G$2:$G$300,"DNP")*$C$11,0)+SUMIFS(Kit_BOM!$F$2:$F$300,Kit_BOM!$E$2:$E$300,$A24,Kit_BOM!$A$2:$A$300,$A$12,Kit_BOM!$G$2:$G$300,"Bestücken")*$C$12+SUMIFS(Kit_BOM!$F$2:$F$300,Kit_BOM!$E$2:$E$300,$A24,Kit_BOM!$A$2:$A$300,$A$12,Kit_BOM!$G$2:$G$300,"Mechanical")*$C$12+IF($F$5="Ja",SUMIFS(Kit_BOM!$F$2:$F$300,Kit_BOM!$E$2:$E$300,$A24,Kit_BOM!$A$2:$A$300,$A$12,Kit_BOM!$G$2:$G$300,"Optional")*$C$12,0)+IF($F$6="Ja",SUMIFS(Kit_BOM!$F$2:$F$300,Kit_BOM!$E$2:$E$300,$A24,Kit_BOM!$A$2:$A$300,$A$12,Kit_BOM!$G$2:$G$300,"DNP")*$C$12,0)+SUMIFS(Kit_BOM!$F$2:$F$300,Kit_BOM!$E$2:$E$300,$A24,Kit_BOM!$A$2:$A$300,$H$5,Kit_BOM!$G$2:$G$300,"Bestücken")*$J$5+SUMIFS(Kit_BOM!$F$2:$F$300,Kit_BOM!$E$2:$E$300,$A24,Kit_BOM!$A$2:$A$300,$H$5,Kit_BOM!$G$2:$G$300,"Mechanical")*$J$5+IF($F$5="Ja",SUMIFS(Kit_BOM!$F$2:$F$300,Kit_BOM!$E$2:$E$300,$A24,Kit_BOM!$A$2:$A$300,$H$5,Kit_BOM!$G$2:$G$300,"Optional")*$J$5,0)+IF($F$6="Ja",SUMIFS(Kit_BOM!$F$2:$F$300,Kit_BOM!$E$2:$E$300,$A24,Kit_BOM!$A$2:$A$300,$H$5,Kit_BOM!$G$2:$G$300,"DNP")*$J$5,0)+SUMIFS(Kit_BOM!$F$2:$F$300,Kit_BOM!$E$2:$E$300,$A24,Kit_BOM!$A$2:$A$300,$H$6,Kit_BOM!$G$2:$G$300,"Bestücken")*$J$6+SUMIFS(Kit_BOM!$F$2:$F$300,Kit_BOM!$E$2:$E$300,$A24,Kit_BOM!$A$2:$A$300,$H$6,Kit_BOM!$G$2:$G$300,"Mechanical")*$J$6+IF($F$5="Ja",SUMIFS(Kit_BOM!$F$2:$F$300,Kit_BOM!$E$2:$E$300,$A24,Kit_BOM!$A$2:$A$300,$H$6,Kit_BOM!$G$2:$G$300,"Optional")*$J$6,0)+IF($F$6="Ja",SUMIFS(Kit_BOM!$F$2:$F$300,Kit_BOM!$E$2:$E$300,$A24,Kit_BOM!$A$2:$A$300,$H$6,Kit_BOM!$G$2:$G$300,"DNP")*$J$6,0)</f>
        <v>4</v>
      </c>
      <c r="F24" s="27">
        <f>IFERROR(IF(_xlfn.XLOOKUP($A24&amp;"|Ja",Part_Suppliers!$L$2:$L$300,Part_Suppliers!$G$2:$G$300,"",0)=0,"",_xlfn.XLOOKUP($A24&amp;"|Ja",Part_Suppliers!$L$2:$L$300,Part_Suppliers!$G$2:$G$300,"",0)),"")</f>
        <v>1</v>
      </c>
      <c r="G24" s="27">
        <f t="shared" si="6"/>
        <v>4</v>
      </c>
      <c r="H24" s="46">
        <f>IFERROR(IF(_xlfn.XLOOKUP($A24&amp;"|Ja",Part_Suppliers!$L$2:$L$300,Part_Suppliers!$E$2:$E$300,"",0)=0,"",_xlfn.XLOOKUP($A24&amp;"|Ja",Part_Suppliers!$L$2:$L$300,Part_Suppliers!$E$2:$E$300,"",0)),"")</f>
        <v>4.996666666666667</v>
      </c>
      <c r="I24" s="46">
        <f t="shared" si="7"/>
        <v>19.986666666666668</v>
      </c>
      <c r="J24" t="str">
        <f t="shared" si="8"/>
        <v>Gedeckt</v>
      </c>
      <c r="K24" s="26" t="str">
        <f>IFERROR(IF(_xlfn.XLOOKUP($A24&amp;"|Ja",Part_Suppliers!$L$2:$L$300,Part_Suppliers!$D$2:$D$300,"",0)=0,"",_xlfn.XLOOKUP($A24&amp;"|Ja",Part_Suppliers!$L$2:$L$300,Part_Suppliers!$D$2:$D$300,"",0)),"")</f>
        <v>https://www.amazon.de/dp/B0DCGCPKHQ?ref=ppx_yo2ov_dt_b_fed_asin_title</v>
      </c>
      <c r="L24" s="47">
        <f>IFERROR(VLOOKUP($A24,Stock!$A$5:$K$200,10,FALSE()),0)</f>
        <v>5</v>
      </c>
      <c r="M24" s="47">
        <f>IFERROR(VLOOKUP($A24,Stock!$A$5:$K$200,11,FALSE()),0)</f>
        <v>0</v>
      </c>
      <c r="N24" s="47">
        <f t="shared" si="9"/>
        <v>1</v>
      </c>
      <c r="O24" s="47">
        <f t="shared" si="10"/>
        <v>0</v>
      </c>
      <c r="P24" s="48">
        <v>0</v>
      </c>
      <c r="Q24" s="49">
        <f t="shared" si="11"/>
        <v>0</v>
      </c>
      <c r="R24" s="82">
        <f>SUMIFS(Part_Alternatives!$H$2:$H$200,Part_Alternatives!$A$2:$A$200,$A24,Part_Alternatives!$E$2:$E$200,"Ja")</f>
        <v>0</v>
      </c>
      <c r="S24" s="82">
        <f>SUMIFS(Part_Alternatives!$I$2:$I$200,Part_Alternatives!$A$2:$A$200,$A24,Part_Alternatives!$E$2:$E$200,"Ja")</f>
        <v>0</v>
      </c>
      <c r="T24" s="80" t="str">
        <f>IFERROR(VLOOKUP($A24,Part_Alternatives!$A$2:$K$200,10,FALSE()),"")</f>
        <v/>
      </c>
    </row>
    <row r="25" spans="1:20" ht="14" hidden="1" customHeight="1" x14ac:dyDescent="0.2">
      <c r="A25" s="26" t="s">
        <v>102</v>
      </c>
      <c r="B25" s="45" t="str">
        <f>IFERROR(VLOOKUP($A25,Parts!$A$2:$M$191,3,FALSE()),"")</f>
        <v>JST - Stiftleiste, gerade, 1x2-polig - PH</v>
      </c>
      <c r="C25" s="26" t="str">
        <f>IFERROR(IF(_xlfn.XLOOKUP($A25&amp;"|Ja",Part_Suppliers!$L$2:$L$300,Part_Suppliers!$B$2:$B$300,"",0)=0,"",_xlfn.XLOOKUP($A25&amp;"|Ja",Part_Suppliers!$L$2:$L$300,Part_Suppliers!$B$2:$B$300,"",0)),"")</f>
        <v>Reichelt</v>
      </c>
      <c r="D25" s="26" t="str">
        <f>IFERROR(IF(_xlfn.XLOOKUP($A25&amp;"|Ja",Part_Suppliers!$L$2:$L$300,Part_Suppliers!$C$2:$C$300,"",0)=0,"",_xlfn.XLOOKUP($A25&amp;"|Ja",Part_Suppliers!$L$2:$L$300,Part_Suppliers!$C$2:$C$300,"",0)),"")</f>
        <v>JST PH2P ST</v>
      </c>
      <c r="E25" s="27">
        <f>SUMIFS(Kit_BOM!$F$2:$F$300,Kit_BOM!$E$2:$E$300,$A25,Kit_BOM!$A$2:$A$300,$A$5,Kit_BOM!$G$2:$G$300,"Bestücken")*$C$5+SUMIFS(Kit_BOM!$F$2:$F$300,Kit_BOM!$E$2:$E$300,$A25,Kit_BOM!$A$2:$A$300,$A$5,Kit_BOM!$G$2:$G$300,"Mechanical")*$C$5+IF($F$5="Ja",SUMIFS(Kit_BOM!$F$2:$F$300,Kit_BOM!$E$2:$E$300,$A25,Kit_BOM!$A$2:$A$300,$A$5,Kit_BOM!$G$2:$G$300,"Optional")*$C$5,0)+IF($F$6="Ja",SUMIFS(Kit_BOM!$F$2:$F$300,Kit_BOM!$E$2:$E$300,$A25,Kit_BOM!$A$2:$A$300,$A$5,Kit_BOM!$G$2:$G$300,"DNP")*$C$5,0)+SUMIFS(Kit_BOM!$F$2:$F$300,Kit_BOM!$E$2:$E$300,$A25,Kit_BOM!$A$2:$A$300,$A$6,Kit_BOM!$G$2:$G$300,"Bestücken")*$C$6+SUMIFS(Kit_BOM!$F$2:$F$300,Kit_BOM!$E$2:$E$300,$A25,Kit_BOM!$A$2:$A$300,$A$6,Kit_BOM!$G$2:$G$300,"Mechanical")*$C$6+IF($F$5="Ja",SUMIFS(Kit_BOM!$F$2:$F$300,Kit_BOM!$E$2:$E$300,$A25,Kit_BOM!$A$2:$A$300,$A$6,Kit_BOM!$G$2:$G$300,"Optional")*$C$6,0)+IF($F$6="Ja",SUMIFS(Kit_BOM!$F$2:$F$300,Kit_BOM!$E$2:$E$300,$A25,Kit_BOM!$A$2:$A$300,$A$6,Kit_BOM!$G$2:$G$300,"DNP")*$C$6,0)+SUMIFS(Kit_BOM!$F$2:$F$300,Kit_BOM!$E$2:$E$300,$A25,Kit_BOM!$A$2:$A$300,$A$7,Kit_BOM!$G$2:$G$300,"Bestücken")*$C$7+SUMIFS(Kit_BOM!$F$2:$F$300,Kit_BOM!$E$2:$E$300,$A25,Kit_BOM!$A$2:$A$300,$A$7,Kit_BOM!$G$2:$G$300,"Mechanical")*$C$7+IF($F$5="Ja",SUMIFS(Kit_BOM!$F$2:$F$300,Kit_BOM!$E$2:$E$300,$A25,Kit_BOM!$A$2:$A$300,$A$7,Kit_BOM!$G$2:$G$300,"Optional")*$C$7,0)+IF($F$6="Ja",SUMIFS(Kit_BOM!$F$2:$F$300,Kit_BOM!$E$2:$E$300,$A25,Kit_BOM!$A$2:$A$300,$A$7,Kit_BOM!$G$2:$G$300,"DNP")*$C$7,0)+SUMIFS(Kit_BOM!$F$2:$F$300,Kit_BOM!$E$2:$E$300,$A25,Kit_BOM!$A$2:$A$300,$A$8,Kit_BOM!$G$2:$G$300,"Bestücken")*$C$8+SUMIFS(Kit_BOM!$F$2:$F$300,Kit_BOM!$E$2:$E$300,$A25,Kit_BOM!$A$2:$A$300,$A$8,Kit_BOM!$G$2:$G$300,"Mechanical")*$C$8+IF($F$5="Ja",SUMIFS(Kit_BOM!$F$2:$F$300,Kit_BOM!$E$2:$E$300,$A25,Kit_BOM!$A$2:$A$300,$A$8,Kit_BOM!$G$2:$G$300,"Optional")*$C$8,0)+IF($F$6="Ja",SUMIFS(Kit_BOM!$F$2:$F$300,Kit_BOM!$E$2:$E$300,$A25,Kit_BOM!$A$2:$A$300,$A$8,Kit_BOM!$G$2:$G$300,"DNP")*$C$8,0)+SUMIFS(Kit_BOM!$F$2:$F$300,Kit_BOM!$E$2:$E$300,$A25,Kit_BOM!$A$2:$A$300,$A$9,Kit_BOM!$G$2:$G$300,"Bestücken")*$C$9+SUMIFS(Kit_BOM!$F$2:$F$300,Kit_BOM!$E$2:$E$300,$A25,Kit_BOM!$A$2:$A$300,$A$9,Kit_BOM!$G$2:$G$300,"Mechanical")*$C$9+IF($F$5="Ja",SUMIFS(Kit_BOM!$F$2:$F$300,Kit_BOM!$E$2:$E$300,$A25,Kit_BOM!$A$2:$A$300,$A$9,Kit_BOM!$G$2:$G$300,"Optional")*$C$9,0)+IF($F$6="Ja",SUMIFS(Kit_BOM!$F$2:$F$300,Kit_BOM!$E$2:$E$300,$A25,Kit_BOM!$A$2:$A$300,$A$9,Kit_BOM!$G$2:$G$300,"DNP")*$C$9,0)+SUMIFS(Kit_BOM!$F$2:$F$300,Kit_BOM!$E$2:$E$300,$A25,Kit_BOM!$A$2:$A$300,$A$10,Kit_BOM!$G$2:$G$300,"Bestücken")*$C$10+SUMIFS(Kit_BOM!$F$2:$F$300,Kit_BOM!$E$2:$E$300,$A25,Kit_BOM!$A$2:$A$300,$A$10,Kit_BOM!$G$2:$G$300,"Mechanical")*$C$10+IF($F$5="Ja",SUMIFS(Kit_BOM!$F$2:$F$300,Kit_BOM!$E$2:$E$300,$A25,Kit_BOM!$A$2:$A$300,$A$10,Kit_BOM!$G$2:$G$300,"Optional")*$C$10,0)+IF($F$6="Ja",SUMIFS(Kit_BOM!$F$2:$F$300,Kit_BOM!$E$2:$E$300,$A25,Kit_BOM!$A$2:$A$300,$A$10,Kit_BOM!$G$2:$G$300,"DNP")*$C$10,0)+SUMIFS(Kit_BOM!$F$2:$F$300,Kit_BOM!$E$2:$E$300,$A25,Kit_BOM!$A$2:$A$300,$A$11,Kit_BOM!$G$2:$G$300,"Bestücken")*$C$11+SUMIFS(Kit_BOM!$F$2:$F$300,Kit_BOM!$E$2:$E$300,$A25,Kit_BOM!$A$2:$A$300,$A$11,Kit_BOM!$G$2:$G$300,"Mechanical")*$C$11+IF($F$5="Ja",SUMIFS(Kit_BOM!$F$2:$F$300,Kit_BOM!$E$2:$E$300,$A25,Kit_BOM!$A$2:$A$300,$A$11,Kit_BOM!$G$2:$G$300,"Optional")*$C$11,0)+IF($F$6="Ja",SUMIFS(Kit_BOM!$F$2:$F$300,Kit_BOM!$E$2:$E$300,$A25,Kit_BOM!$A$2:$A$300,$A$11,Kit_BOM!$G$2:$G$300,"DNP")*$C$11,0)+SUMIFS(Kit_BOM!$F$2:$F$300,Kit_BOM!$E$2:$E$300,$A25,Kit_BOM!$A$2:$A$300,$A$12,Kit_BOM!$G$2:$G$300,"Bestücken")*$C$12+SUMIFS(Kit_BOM!$F$2:$F$300,Kit_BOM!$E$2:$E$300,$A25,Kit_BOM!$A$2:$A$300,$A$12,Kit_BOM!$G$2:$G$300,"Mechanical")*$C$12+IF($F$5="Ja",SUMIFS(Kit_BOM!$F$2:$F$300,Kit_BOM!$E$2:$E$300,$A25,Kit_BOM!$A$2:$A$300,$A$12,Kit_BOM!$G$2:$G$300,"Optional")*$C$12,0)+IF($F$6="Ja",SUMIFS(Kit_BOM!$F$2:$F$300,Kit_BOM!$E$2:$E$300,$A25,Kit_BOM!$A$2:$A$300,$A$12,Kit_BOM!$G$2:$G$300,"DNP")*$C$12,0)+SUMIFS(Kit_BOM!$F$2:$F$300,Kit_BOM!$E$2:$E$300,$A25,Kit_BOM!$A$2:$A$300,$H$5,Kit_BOM!$G$2:$G$300,"Bestücken")*$J$5+SUMIFS(Kit_BOM!$F$2:$F$300,Kit_BOM!$E$2:$E$300,$A25,Kit_BOM!$A$2:$A$300,$H$5,Kit_BOM!$G$2:$G$300,"Mechanical")*$J$5+IF($F$5="Ja",SUMIFS(Kit_BOM!$F$2:$F$300,Kit_BOM!$E$2:$E$300,$A25,Kit_BOM!$A$2:$A$300,$H$5,Kit_BOM!$G$2:$G$300,"Optional")*$J$5,0)+IF($F$6="Ja",SUMIFS(Kit_BOM!$F$2:$F$300,Kit_BOM!$E$2:$E$300,$A25,Kit_BOM!$A$2:$A$300,$H$5,Kit_BOM!$G$2:$G$300,"DNP")*$J$5,0)+SUMIFS(Kit_BOM!$F$2:$F$300,Kit_BOM!$E$2:$E$300,$A25,Kit_BOM!$A$2:$A$300,$H$6,Kit_BOM!$G$2:$G$300,"Bestücken")*$J$6+SUMIFS(Kit_BOM!$F$2:$F$300,Kit_BOM!$E$2:$E$300,$A25,Kit_BOM!$A$2:$A$300,$H$6,Kit_BOM!$G$2:$G$300,"Mechanical")*$J$6+IF($F$5="Ja",SUMIFS(Kit_BOM!$F$2:$F$300,Kit_BOM!$E$2:$E$300,$A25,Kit_BOM!$A$2:$A$300,$H$6,Kit_BOM!$G$2:$G$300,"Optional")*$J$6,0)+IF($F$6="Ja",SUMIFS(Kit_BOM!$F$2:$F$300,Kit_BOM!$E$2:$E$300,$A25,Kit_BOM!$A$2:$A$300,$H$6,Kit_BOM!$G$2:$G$300,"DNP")*$J$6,0)</f>
        <v>2</v>
      </c>
      <c r="F25" s="27" t="str">
        <f>IFERROR(IF(_xlfn.XLOOKUP($A25&amp;"|Ja",Part_Suppliers!$L$2:$L$300,Part_Suppliers!$G$2:$G$300,"",0)=0,"",_xlfn.XLOOKUP($A25&amp;"|Ja",Part_Suppliers!$L$2:$L$300,Part_Suppliers!$G$2:$G$300,"",0)),"")</f>
        <v/>
      </c>
      <c r="G25" s="27">
        <f t="shared" si="6"/>
        <v>2</v>
      </c>
      <c r="H25" s="46">
        <f>IFERROR(IF(_xlfn.XLOOKUP($A25&amp;"|Ja",Part_Suppliers!$L$2:$L$300,Part_Suppliers!$E$2:$E$300,"",0)=0,"",_xlfn.XLOOKUP($A25&amp;"|Ja",Part_Suppliers!$L$2:$L$300,Part_Suppliers!$E$2:$E$300,"",0)),"")</f>
        <v>1.3</v>
      </c>
      <c r="I25" s="46">
        <f t="shared" si="7"/>
        <v>2.6</v>
      </c>
      <c r="J25" t="str">
        <f t="shared" si="8"/>
        <v>Gedeckt</v>
      </c>
      <c r="K25" s="26" t="str">
        <f>IFERROR(IF(_xlfn.XLOOKUP($A25&amp;"|Ja",Part_Suppliers!$L$2:$L$300,Part_Suppliers!$D$2:$D$300,"",0)=0,"",_xlfn.XLOOKUP($A25&amp;"|Ja",Part_Suppliers!$L$2:$L$300,Part_Suppliers!$D$2:$D$300,"",0)),"")</f>
        <v>https://www.reichelt.de/de/de/shop/produkt/jst_-_stiftleiste_gerade_1x2-polig_-_ph-185049</v>
      </c>
      <c r="L25" s="47">
        <f>IFERROR(VLOOKUP($A25,Stock!$A$5:$K$200,10,FALSE()),0)</f>
        <v>4</v>
      </c>
      <c r="M25" s="47">
        <f>IFERROR(VLOOKUP($A25,Stock!$A$5:$K$200,11,FALSE()),0)</f>
        <v>0</v>
      </c>
      <c r="N25" s="47">
        <f t="shared" si="9"/>
        <v>2</v>
      </c>
      <c r="O25" s="47">
        <f t="shared" si="10"/>
        <v>0</v>
      </c>
      <c r="P25" s="48">
        <v>0</v>
      </c>
      <c r="Q25" s="49">
        <f t="shared" si="11"/>
        <v>0</v>
      </c>
      <c r="R25" s="82">
        <f>SUMIFS(Part_Alternatives!$H$2:$H$200,Part_Alternatives!$A$2:$A$200,$A25,Part_Alternatives!$E$2:$E$200,"Ja")</f>
        <v>0</v>
      </c>
      <c r="S25" s="82">
        <f>SUMIFS(Part_Alternatives!$I$2:$I$200,Part_Alternatives!$A$2:$A$200,$A25,Part_Alternatives!$E$2:$E$200,"Ja")</f>
        <v>0</v>
      </c>
      <c r="T25" s="80" t="str">
        <f>IFERROR(VLOOKUP($A25,Part_Alternatives!$A$2:$K$200,10,FALSE()),"")</f>
        <v/>
      </c>
    </row>
    <row r="26" spans="1:20" ht="14" hidden="1" customHeight="1" x14ac:dyDescent="0.2">
      <c r="A26" s="26" t="s">
        <v>103</v>
      </c>
      <c r="B26" s="45" t="str">
        <f>IFERROR(VLOOKUP($A26,Parts!$A$2:$M$191,3,FALSE()),"")</f>
        <v>MOSFET, N-Ch 30V 5,7A 0,018R, SOT-23</v>
      </c>
      <c r="C26" s="26" t="str">
        <f>IFERROR(IF(_xlfn.XLOOKUP($A26&amp;"|Ja",Part_Suppliers!$L$2:$L$300,Part_Suppliers!$B$2:$B$300,"",0)=0,"",_xlfn.XLOOKUP($A26&amp;"|Ja",Part_Suppliers!$L$2:$L$300,Part_Suppliers!$B$2:$B$300,"",0)),"")</f>
        <v>Reichelt</v>
      </c>
      <c r="D26" s="26" t="str">
        <f>IFERROR(IF(_xlfn.XLOOKUP($A26&amp;"|Ja",Part_Suppliers!$L$2:$L$300,Part_Suppliers!$C$2:$C$300,"",0)=0,"",_xlfn.XLOOKUP($A26&amp;"|Ja",Part_Suppliers!$L$2:$L$300,Part_Suppliers!$C$2:$C$300,"",0)),"")</f>
        <v>AO3400A</v>
      </c>
      <c r="E26" s="27">
        <f>SUMIFS(Kit_BOM!$F$2:$F$300,Kit_BOM!$E$2:$E$300,$A26,Kit_BOM!$A$2:$A$300,$A$5,Kit_BOM!$G$2:$G$300,"Bestücken")*$C$5+SUMIFS(Kit_BOM!$F$2:$F$300,Kit_BOM!$E$2:$E$300,$A26,Kit_BOM!$A$2:$A$300,$A$5,Kit_BOM!$G$2:$G$300,"Mechanical")*$C$5+IF($F$5="Ja",SUMIFS(Kit_BOM!$F$2:$F$300,Kit_BOM!$E$2:$E$300,$A26,Kit_BOM!$A$2:$A$300,$A$5,Kit_BOM!$G$2:$G$300,"Optional")*$C$5,0)+IF($F$6="Ja",SUMIFS(Kit_BOM!$F$2:$F$300,Kit_BOM!$E$2:$E$300,$A26,Kit_BOM!$A$2:$A$300,$A$5,Kit_BOM!$G$2:$G$300,"DNP")*$C$5,0)+SUMIFS(Kit_BOM!$F$2:$F$300,Kit_BOM!$E$2:$E$300,$A26,Kit_BOM!$A$2:$A$300,$A$6,Kit_BOM!$G$2:$G$300,"Bestücken")*$C$6+SUMIFS(Kit_BOM!$F$2:$F$300,Kit_BOM!$E$2:$E$300,$A26,Kit_BOM!$A$2:$A$300,$A$6,Kit_BOM!$G$2:$G$300,"Mechanical")*$C$6+IF($F$5="Ja",SUMIFS(Kit_BOM!$F$2:$F$300,Kit_BOM!$E$2:$E$300,$A26,Kit_BOM!$A$2:$A$300,$A$6,Kit_BOM!$G$2:$G$300,"Optional")*$C$6,0)+IF($F$6="Ja",SUMIFS(Kit_BOM!$F$2:$F$300,Kit_BOM!$E$2:$E$300,$A26,Kit_BOM!$A$2:$A$300,$A$6,Kit_BOM!$G$2:$G$300,"DNP")*$C$6,0)+SUMIFS(Kit_BOM!$F$2:$F$300,Kit_BOM!$E$2:$E$300,$A26,Kit_BOM!$A$2:$A$300,$A$7,Kit_BOM!$G$2:$G$300,"Bestücken")*$C$7+SUMIFS(Kit_BOM!$F$2:$F$300,Kit_BOM!$E$2:$E$300,$A26,Kit_BOM!$A$2:$A$300,$A$7,Kit_BOM!$G$2:$G$300,"Mechanical")*$C$7+IF($F$5="Ja",SUMIFS(Kit_BOM!$F$2:$F$300,Kit_BOM!$E$2:$E$300,$A26,Kit_BOM!$A$2:$A$300,$A$7,Kit_BOM!$G$2:$G$300,"Optional")*$C$7,0)+IF($F$6="Ja",SUMIFS(Kit_BOM!$F$2:$F$300,Kit_BOM!$E$2:$E$300,$A26,Kit_BOM!$A$2:$A$300,$A$7,Kit_BOM!$G$2:$G$300,"DNP")*$C$7,0)+SUMIFS(Kit_BOM!$F$2:$F$300,Kit_BOM!$E$2:$E$300,$A26,Kit_BOM!$A$2:$A$300,$A$8,Kit_BOM!$G$2:$G$300,"Bestücken")*$C$8+SUMIFS(Kit_BOM!$F$2:$F$300,Kit_BOM!$E$2:$E$300,$A26,Kit_BOM!$A$2:$A$300,$A$8,Kit_BOM!$G$2:$G$300,"Mechanical")*$C$8+IF($F$5="Ja",SUMIFS(Kit_BOM!$F$2:$F$300,Kit_BOM!$E$2:$E$300,$A26,Kit_BOM!$A$2:$A$300,$A$8,Kit_BOM!$G$2:$G$300,"Optional")*$C$8,0)+IF($F$6="Ja",SUMIFS(Kit_BOM!$F$2:$F$300,Kit_BOM!$E$2:$E$300,$A26,Kit_BOM!$A$2:$A$300,$A$8,Kit_BOM!$G$2:$G$300,"DNP")*$C$8,0)+SUMIFS(Kit_BOM!$F$2:$F$300,Kit_BOM!$E$2:$E$300,$A26,Kit_BOM!$A$2:$A$300,$A$9,Kit_BOM!$G$2:$G$300,"Bestücken")*$C$9+SUMIFS(Kit_BOM!$F$2:$F$300,Kit_BOM!$E$2:$E$300,$A26,Kit_BOM!$A$2:$A$300,$A$9,Kit_BOM!$G$2:$G$300,"Mechanical")*$C$9+IF($F$5="Ja",SUMIFS(Kit_BOM!$F$2:$F$300,Kit_BOM!$E$2:$E$300,$A26,Kit_BOM!$A$2:$A$300,$A$9,Kit_BOM!$G$2:$G$300,"Optional")*$C$9,0)+IF($F$6="Ja",SUMIFS(Kit_BOM!$F$2:$F$300,Kit_BOM!$E$2:$E$300,$A26,Kit_BOM!$A$2:$A$300,$A$9,Kit_BOM!$G$2:$G$300,"DNP")*$C$9,0)+SUMIFS(Kit_BOM!$F$2:$F$300,Kit_BOM!$E$2:$E$300,$A26,Kit_BOM!$A$2:$A$300,$A$10,Kit_BOM!$G$2:$G$300,"Bestücken")*$C$10+SUMIFS(Kit_BOM!$F$2:$F$300,Kit_BOM!$E$2:$E$300,$A26,Kit_BOM!$A$2:$A$300,$A$10,Kit_BOM!$G$2:$G$300,"Mechanical")*$C$10+IF($F$5="Ja",SUMIFS(Kit_BOM!$F$2:$F$300,Kit_BOM!$E$2:$E$300,$A26,Kit_BOM!$A$2:$A$300,$A$10,Kit_BOM!$G$2:$G$300,"Optional")*$C$10,0)+IF($F$6="Ja",SUMIFS(Kit_BOM!$F$2:$F$300,Kit_BOM!$E$2:$E$300,$A26,Kit_BOM!$A$2:$A$300,$A$10,Kit_BOM!$G$2:$G$300,"DNP")*$C$10,0)+SUMIFS(Kit_BOM!$F$2:$F$300,Kit_BOM!$E$2:$E$300,$A26,Kit_BOM!$A$2:$A$300,$A$11,Kit_BOM!$G$2:$G$300,"Bestücken")*$C$11+SUMIFS(Kit_BOM!$F$2:$F$300,Kit_BOM!$E$2:$E$300,$A26,Kit_BOM!$A$2:$A$300,$A$11,Kit_BOM!$G$2:$G$300,"Mechanical")*$C$11+IF($F$5="Ja",SUMIFS(Kit_BOM!$F$2:$F$300,Kit_BOM!$E$2:$E$300,$A26,Kit_BOM!$A$2:$A$300,$A$11,Kit_BOM!$G$2:$G$300,"Optional")*$C$11,0)+IF($F$6="Ja",SUMIFS(Kit_BOM!$F$2:$F$300,Kit_BOM!$E$2:$E$300,$A26,Kit_BOM!$A$2:$A$300,$A$11,Kit_BOM!$G$2:$G$300,"DNP")*$C$11,0)+SUMIFS(Kit_BOM!$F$2:$F$300,Kit_BOM!$E$2:$E$300,$A26,Kit_BOM!$A$2:$A$300,$A$12,Kit_BOM!$G$2:$G$300,"Bestücken")*$C$12+SUMIFS(Kit_BOM!$F$2:$F$300,Kit_BOM!$E$2:$E$300,$A26,Kit_BOM!$A$2:$A$300,$A$12,Kit_BOM!$G$2:$G$300,"Mechanical")*$C$12+IF($F$5="Ja",SUMIFS(Kit_BOM!$F$2:$F$300,Kit_BOM!$E$2:$E$300,$A26,Kit_BOM!$A$2:$A$300,$A$12,Kit_BOM!$G$2:$G$300,"Optional")*$C$12,0)+IF($F$6="Ja",SUMIFS(Kit_BOM!$F$2:$F$300,Kit_BOM!$E$2:$E$300,$A26,Kit_BOM!$A$2:$A$300,$A$12,Kit_BOM!$G$2:$G$300,"DNP")*$C$12,0)+SUMIFS(Kit_BOM!$F$2:$F$300,Kit_BOM!$E$2:$E$300,$A26,Kit_BOM!$A$2:$A$300,$H$5,Kit_BOM!$G$2:$G$300,"Bestücken")*$J$5+SUMIFS(Kit_BOM!$F$2:$F$300,Kit_BOM!$E$2:$E$300,$A26,Kit_BOM!$A$2:$A$300,$H$5,Kit_BOM!$G$2:$G$300,"Mechanical")*$J$5+IF($F$5="Ja",SUMIFS(Kit_BOM!$F$2:$F$300,Kit_BOM!$E$2:$E$300,$A26,Kit_BOM!$A$2:$A$300,$H$5,Kit_BOM!$G$2:$G$300,"Optional")*$J$5,0)+IF($F$6="Ja",SUMIFS(Kit_BOM!$F$2:$F$300,Kit_BOM!$E$2:$E$300,$A26,Kit_BOM!$A$2:$A$300,$H$5,Kit_BOM!$G$2:$G$300,"DNP")*$J$5,0)+SUMIFS(Kit_BOM!$F$2:$F$300,Kit_BOM!$E$2:$E$300,$A26,Kit_BOM!$A$2:$A$300,$H$6,Kit_BOM!$G$2:$G$300,"Bestücken")*$J$6+SUMIFS(Kit_BOM!$F$2:$F$300,Kit_BOM!$E$2:$E$300,$A26,Kit_BOM!$A$2:$A$300,$H$6,Kit_BOM!$G$2:$G$300,"Mechanical")*$J$6+IF($F$5="Ja",SUMIFS(Kit_BOM!$F$2:$F$300,Kit_BOM!$E$2:$E$300,$A26,Kit_BOM!$A$2:$A$300,$H$6,Kit_BOM!$G$2:$G$300,"Optional")*$J$6,0)+IF($F$6="Ja",SUMIFS(Kit_BOM!$F$2:$F$300,Kit_BOM!$E$2:$E$300,$A26,Kit_BOM!$A$2:$A$300,$H$6,Kit_BOM!$G$2:$G$300,"DNP")*$J$6,0)</f>
        <v>4</v>
      </c>
      <c r="F26" s="27" t="str">
        <f>IFERROR(IF(_xlfn.XLOOKUP($A26&amp;"|Ja",Part_Suppliers!$L$2:$L$300,Part_Suppliers!$G$2:$G$300,"",0)=0,"",_xlfn.XLOOKUP($A26&amp;"|Ja",Part_Suppliers!$L$2:$L$300,Part_Suppliers!$G$2:$G$300,"",0)),"")</f>
        <v/>
      </c>
      <c r="G26" s="27">
        <f t="shared" si="6"/>
        <v>4</v>
      </c>
      <c r="H26" s="46">
        <f>IFERROR(IF(_xlfn.XLOOKUP($A26&amp;"|Ja",Part_Suppliers!$L$2:$L$300,Part_Suppliers!$E$2:$E$300,"",0)=0,"",_xlfn.XLOOKUP($A26&amp;"|Ja",Part_Suppliers!$L$2:$L$300,Part_Suppliers!$E$2:$E$300,"",0)),"")</f>
        <v>0.18</v>
      </c>
      <c r="I26" s="46">
        <f t="shared" si="7"/>
        <v>0.72</v>
      </c>
      <c r="J26" t="str">
        <f t="shared" si="8"/>
        <v>Gedeckt</v>
      </c>
      <c r="K26" s="26" t="str">
        <f>IFERROR(IF(_xlfn.XLOOKUP($A26&amp;"|Ja",Part_Suppliers!$L$2:$L$300,Part_Suppliers!$D$2:$D$300,"",0)=0,"",_xlfn.XLOOKUP($A26&amp;"|Ja",Part_Suppliers!$L$2:$L$300,Part_Suppliers!$D$2:$D$300,"",0)),"")</f>
        <v>https://www.reichelt.de/de/de/shop/produkt/mosfet_n-ch_30v_5_7a_0_018r_sot-23-166490</v>
      </c>
      <c r="L26" s="47">
        <f>IFERROR(VLOOKUP($A26,Stock!$A$5:$K$200,10,FALSE()),0)</f>
        <v>4</v>
      </c>
      <c r="M26" s="47">
        <f>IFERROR(VLOOKUP($A26,Stock!$A$5:$K$200,11,FALSE()),0)</f>
        <v>0</v>
      </c>
      <c r="N26" s="47">
        <f t="shared" si="9"/>
        <v>0</v>
      </c>
      <c r="O26" s="47">
        <f t="shared" si="10"/>
        <v>0</v>
      </c>
      <c r="P26" s="48">
        <v>0</v>
      </c>
      <c r="Q26" s="49">
        <f t="shared" si="11"/>
        <v>0</v>
      </c>
      <c r="R26" s="82">
        <f>SUMIFS(Part_Alternatives!$H$2:$H$200,Part_Alternatives!$A$2:$A$200,$A26,Part_Alternatives!$E$2:$E$200,"Ja")</f>
        <v>0</v>
      </c>
      <c r="S26" s="82">
        <f>SUMIFS(Part_Alternatives!$I$2:$I$200,Part_Alternatives!$A$2:$A$200,$A26,Part_Alternatives!$E$2:$E$200,"Ja")</f>
        <v>0</v>
      </c>
      <c r="T26" s="80" t="str">
        <f>IFERROR(VLOOKUP($A26,Part_Alternatives!$A$2:$K$200,10,FALSE()),"")</f>
        <v/>
      </c>
    </row>
    <row r="27" spans="1:20" ht="26.25" hidden="1" customHeight="1" x14ac:dyDescent="0.2">
      <c r="A27" s="26" t="s">
        <v>107</v>
      </c>
      <c r="B27" s="45" t="str">
        <f>IFERROR(VLOOKUP($A27,Parts!$A$2:$M$191,3,FALSE()),"")</f>
        <v>SMD-Widerstand, 1206, 100 kOhm, 250 mW, 0,1%</v>
      </c>
      <c r="C27" s="26" t="str">
        <f>IFERROR(IF(_xlfn.XLOOKUP($A27&amp;"|Ja",Part_Suppliers!$L$2:$L$300,Part_Suppliers!$B$2:$B$300,"",0)=0,"",_xlfn.XLOOKUP($A27&amp;"|Ja",Part_Suppliers!$L$2:$L$300,Part_Suppliers!$B$2:$B$300,"",0)),"")</f>
        <v>Reichelt</v>
      </c>
      <c r="D27" s="26" t="str">
        <f>IFERROR(IF(_xlfn.XLOOKUP($A27&amp;"|Ja",Part_Suppliers!$L$2:$L$300,Part_Suppliers!$C$2:$C$300,"",0)=0,"",_xlfn.XLOOKUP($A27&amp;"|Ja",Part_Suppliers!$L$2:$L$300,Part_Suppliers!$C$2:$C$300,"",0)),"")</f>
        <v>PAN ERA8AEB104V</v>
      </c>
      <c r="E27" s="27">
        <f>SUMIFS(Kit_BOM!$F$2:$F$300,Kit_BOM!$E$2:$E$300,$A27,Kit_BOM!$A$2:$A$300,$A$5,Kit_BOM!$G$2:$G$300,"Bestücken")*$C$5+SUMIFS(Kit_BOM!$F$2:$F$300,Kit_BOM!$E$2:$E$300,$A27,Kit_BOM!$A$2:$A$300,$A$5,Kit_BOM!$G$2:$G$300,"Mechanical")*$C$5+IF($F$5="Ja",SUMIFS(Kit_BOM!$F$2:$F$300,Kit_BOM!$E$2:$E$300,$A27,Kit_BOM!$A$2:$A$300,$A$5,Kit_BOM!$G$2:$G$300,"Optional")*$C$5,0)+IF($F$6="Ja",SUMIFS(Kit_BOM!$F$2:$F$300,Kit_BOM!$E$2:$E$300,$A27,Kit_BOM!$A$2:$A$300,$A$5,Kit_BOM!$G$2:$G$300,"DNP")*$C$5,0)+SUMIFS(Kit_BOM!$F$2:$F$300,Kit_BOM!$E$2:$E$300,$A27,Kit_BOM!$A$2:$A$300,$A$6,Kit_BOM!$G$2:$G$300,"Bestücken")*$C$6+SUMIFS(Kit_BOM!$F$2:$F$300,Kit_BOM!$E$2:$E$300,$A27,Kit_BOM!$A$2:$A$300,$A$6,Kit_BOM!$G$2:$G$300,"Mechanical")*$C$6+IF($F$5="Ja",SUMIFS(Kit_BOM!$F$2:$F$300,Kit_BOM!$E$2:$E$300,$A27,Kit_BOM!$A$2:$A$300,$A$6,Kit_BOM!$G$2:$G$300,"Optional")*$C$6,0)+IF($F$6="Ja",SUMIFS(Kit_BOM!$F$2:$F$300,Kit_BOM!$E$2:$E$300,$A27,Kit_BOM!$A$2:$A$300,$A$6,Kit_BOM!$G$2:$G$300,"DNP")*$C$6,0)+SUMIFS(Kit_BOM!$F$2:$F$300,Kit_BOM!$E$2:$E$300,$A27,Kit_BOM!$A$2:$A$300,$A$7,Kit_BOM!$G$2:$G$300,"Bestücken")*$C$7+SUMIFS(Kit_BOM!$F$2:$F$300,Kit_BOM!$E$2:$E$300,$A27,Kit_BOM!$A$2:$A$300,$A$7,Kit_BOM!$G$2:$G$300,"Mechanical")*$C$7+IF($F$5="Ja",SUMIFS(Kit_BOM!$F$2:$F$300,Kit_BOM!$E$2:$E$300,$A27,Kit_BOM!$A$2:$A$300,$A$7,Kit_BOM!$G$2:$G$300,"Optional")*$C$7,0)+IF($F$6="Ja",SUMIFS(Kit_BOM!$F$2:$F$300,Kit_BOM!$E$2:$E$300,$A27,Kit_BOM!$A$2:$A$300,$A$7,Kit_BOM!$G$2:$G$300,"DNP")*$C$7,0)+SUMIFS(Kit_BOM!$F$2:$F$300,Kit_BOM!$E$2:$E$300,$A27,Kit_BOM!$A$2:$A$300,$A$8,Kit_BOM!$G$2:$G$300,"Bestücken")*$C$8+SUMIFS(Kit_BOM!$F$2:$F$300,Kit_BOM!$E$2:$E$300,$A27,Kit_BOM!$A$2:$A$300,$A$8,Kit_BOM!$G$2:$G$300,"Mechanical")*$C$8+IF($F$5="Ja",SUMIFS(Kit_BOM!$F$2:$F$300,Kit_BOM!$E$2:$E$300,$A27,Kit_BOM!$A$2:$A$300,$A$8,Kit_BOM!$G$2:$G$300,"Optional")*$C$8,0)+IF($F$6="Ja",SUMIFS(Kit_BOM!$F$2:$F$300,Kit_BOM!$E$2:$E$300,$A27,Kit_BOM!$A$2:$A$300,$A$8,Kit_BOM!$G$2:$G$300,"DNP")*$C$8,0)+SUMIFS(Kit_BOM!$F$2:$F$300,Kit_BOM!$E$2:$E$300,$A27,Kit_BOM!$A$2:$A$300,$A$9,Kit_BOM!$G$2:$G$300,"Bestücken")*$C$9+SUMIFS(Kit_BOM!$F$2:$F$300,Kit_BOM!$E$2:$E$300,$A27,Kit_BOM!$A$2:$A$300,$A$9,Kit_BOM!$G$2:$G$300,"Mechanical")*$C$9+IF($F$5="Ja",SUMIFS(Kit_BOM!$F$2:$F$300,Kit_BOM!$E$2:$E$300,$A27,Kit_BOM!$A$2:$A$300,$A$9,Kit_BOM!$G$2:$G$300,"Optional")*$C$9,0)+IF($F$6="Ja",SUMIFS(Kit_BOM!$F$2:$F$300,Kit_BOM!$E$2:$E$300,$A27,Kit_BOM!$A$2:$A$300,$A$9,Kit_BOM!$G$2:$G$300,"DNP")*$C$9,0)+SUMIFS(Kit_BOM!$F$2:$F$300,Kit_BOM!$E$2:$E$300,$A27,Kit_BOM!$A$2:$A$300,$A$10,Kit_BOM!$G$2:$G$300,"Bestücken")*$C$10+SUMIFS(Kit_BOM!$F$2:$F$300,Kit_BOM!$E$2:$E$300,$A27,Kit_BOM!$A$2:$A$300,$A$10,Kit_BOM!$G$2:$G$300,"Mechanical")*$C$10+IF($F$5="Ja",SUMIFS(Kit_BOM!$F$2:$F$300,Kit_BOM!$E$2:$E$300,$A27,Kit_BOM!$A$2:$A$300,$A$10,Kit_BOM!$G$2:$G$300,"Optional")*$C$10,0)+IF($F$6="Ja",SUMIFS(Kit_BOM!$F$2:$F$300,Kit_BOM!$E$2:$E$300,$A27,Kit_BOM!$A$2:$A$300,$A$10,Kit_BOM!$G$2:$G$300,"DNP")*$C$10,0)+SUMIFS(Kit_BOM!$F$2:$F$300,Kit_BOM!$E$2:$E$300,$A27,Kit_BOM!$A$2:$A$300,$A$11,Kit_BOM!$G$2:$G$300,"Bestücken")*$C$11+SUMIFS(Kit_BOM!$F$2:$F$300,Kit_BOM!$E$2:$E$300,$A27,Kit_BOM!$A$2:$A$300,$A$11,Kit_BOM!$G$2:$G$300,"Mechanical")*$C$11+IF($F$5="Ja",SUMIFS(Kit_BOM!$F$2:$F$300,Kit_BOM!$E$2:$E$300,$A27,Kit_BOM!$A$2:$A$300,$A$11,Kit_BOM!$G$2:$G$300,"Optional")*$C$11,0)+IF($F$6="Ja",SUMIFS(Kit_BOM!$F$2:$F$300,Kit_BOM!$E$2:$E$300,$A27,Kit_BOM!$A$2:$A$300,$A$11,Kit_BOM!$G$2:$G$300,"DNP")*$C$11,0)+SUMIFS(Kit_BOM!$F$2:$F$300,Kit_BOM!$E$2:$E$300,$A27,Kit_BOM!$A$2:$A$300,$A$12,Kit_BOM!$G$2:$G$300,"Bestücken")*$C$12+SUMIFS(Kit_BOM!$F$2:$F$300,Kit_BOM!$E$2:$E$300,$A27,Kit_BOM!$A$2:$A$300,$A$12,Kit_BOM!$G$2:$G$300,"Mechanical")*$C$12+IF($F$5="Ja",SUMIFS(Kit_BOM!$F$2:$F$300,Kit_BOM!$E$2:$E$300,$A27,Kit_BOM!$A$2:$A$300,$A$12,Kit_BOM!$G$2:$G$300,"Optional")*$C$12,0)+IF($F$6="Ja",SUMIFS(Kit_BOM!$F$2:$F$300,Kit_BOM!$E$2:$E$300,$A27,Kit_BOM!$A$2:$A$300,$A$12,Kit_BOM!$G$2:$G$300,"DNP")*$C$12,0)+SUMIFS(Kit_BOM!$F$2:$F$300,Kit_BOM!$E$2:$E$300,$A27,Kit_BOM!$A$2:$A$300,$H$5,Kit_BOM!$G$2:$G$300,"Bestücken")*$J$5+SUMIFS(Kit_BOM!$F$2:$F$300,Kit_BOM!$E$2:$E$300,$A27,Kit_BOM!$A$2:$A$300,$H$5,Kit_BOM!$G$2:$G$300,"Mechanical")*$J$5+IF($F$5="Ja",SUMIFS(Kit_BOM!$F$2:$F$300,Kit_BOM!$E$2:$E$300,$A27,Kit_BOM!$A$2:$A$300,$H$5,Kit_BOM!$G$2:$G$300,"Optional")*$J$5,0)+IF($F$6="Ja",SUMIFS(Kit_BOM!$F$2:$F$300,Kit_BOM!$E$2:$E$300,$A27,Kit_BOM!$A$2:$A$300,$H$5,Kit_BOM!$G$2:$G$300,"DNP")*$J$5,0)+SUMIFS(Kit_BOM!$F$2:$F$300,Kit_BOM!$E$2:$E$300,$A27,Kit_BOM!$A$2:$A$300,$H$6,Kit_BOM!$G$2:$G$300,"Bestücken")*$J$6+SUMIFS(Kit_BOM!$F$2:$F$300,Kit_BOM!$E$2:$E$300,$A27,Kit_BOM!$A$2:$A$300,$H$6,Kit_BOM!$G$2:$G$300,"Mechanical")*$J$6+IF($F$5="Ja",SUMIFS(Kit_BOM!$F$2:$F$300,Kit_BOM!$E$2:$E$300,$A27,Kit_BOM!$A$2:$A$300,$H$6,Kit_BOM!$G$2:$G$300,"Optional")*$J$6,0)+IF($F$6="Ja",SUMIFS(Kit_BOM!$F$2:$F$300,Kit_BOM!$E$2:$E$300,$A27,Kit_BOM!$A$2:$A$300,$H$6,Kit_BOM!$G$2:$G$300,"DNP")*$J$6,0)</f>
        <v>10</v>
      </c>
      <c r="F27" s="27" t="str">
        <f>IFERROR(IF(_xlfn.XLOOKUP($A27&amp;"|Ja",Part_Suppliers!$L$2:$L$300,Part_Suppliers!$G$2:$G$300,"",0)=0,"",_xlfn.XLOOKUP($A27&amp;"|Ja",Part_Suppliers!$L$2:$L$300,Part_Suppliers!$G$2:$G$300,"",0)),"")</f>
        <v/>
      </c>
      <c r="G27" s="27">
        <f t="shared" si="6"/>
        <v>10</v>
      </c>
      <c r="H27" s="46">
        <f>IFERROR(IF(_xlfn.XLOOKUP($A27&amp;"|Ja",Part_Suppliers!$L$2:$L$300,Part_Suppliers!$E$2:$E$300,"",0)=0,"",_xlfn.XLOOKUP($A27&amp;"|Ja",Part_Suppliers!$L$2:$L$300,Part_Suppliers!$E$2:$E$300,"",0)),"")</f>
        <v>0.83</v>
      </c>
      <c r="I27" s="46">
        <f t="shared" si="7"/>
        <v>8.2999999999999989</v>
      </c>
      <c r="J27" t="str">
        <f t="shared" si="8"/>
        <v>Gedeckt</v>
      </c>
      <c r="K27" s="26" t="str">
        <f>IFERROR(IF(_xlfn.XLOOKUP($A27&amp;"|Ja",Part_Suppliers!$L$2:$L$300,Part_Suppliers!$D$2:$D$300,"",0)=0,"",_xlfn.XLOOKUP($A27&amp;"|Ja",Part_Suppliers!$L$2:$L$300,Part_Suppliers!$D$2:$D$300,"",0)),"")</f>
        <v>https://www.reichelt.de/de/de/shop/produkt/smd-widerstand_1206_100_kohm_250_mw_0_1_-238081</v>
      </c>
      <c r="L27" s="47">
        <f>IFERROR(VLOOKUP($A27,Stock!$A$5:$K$200,10,FALSE()),0)</f>
        <v>10</v>
      </c>
      <c r="M27" s="47">
        <f>IFERROR(VLOOKUP($A27,Stock!$A$5:$K$200,11,FALSE()),0)</f>
        <v>0</v>
      </c>
      <c r="N27" s="47">
        <f t="shared" si="9"/>
        <v>0</v>
      </c>
      <c r="O27" s="47">
        <f t="shared" si="10"/>
        <v>0</v>
      </c>
      <c r="P27" s="48">
        <v>0</v>
      </c>
      <c r="Q27" s="49">
        <f t="shared" si="11"/>
        <v>0</v>
      </c>
      <c r="R27" s="82">
        <f>SUMIFS(Part_Alternatives!$H$2:$H$200,Part_Alternatives!$A$2:$A$200,$A27,Part_Alternatives!$E$2:$E$200,"Ja")</f>
        <v>0</v>
      </c>
      <c r="S27" s="82">
        <f>SUMIFS(Part_Alternatives!$I$2:$I$200,Part_Alternatives!$A$2:$A$200,$A27,Part_Alternatives!$E$2:$E$200,"Ja")</f>
        <v>0</v>
      </c>
      <c r="T27" s="80" t="str">
        <f>IFERROR(VLOOKUP($A27,Part_Alternatives!$A$2:$K$200,10,FALSE()),"")</f>
        <v/>
      </c>
    </row>
    <row r="28" spans="1:20" ht="26.25" hidden="1" customHeight="1" x14ac:dyDescent="0.2">
      <c r="A28" s="26" t="s">
        <v>108</v>
      </c>
      <c r="B28" s="45" t="str">
        <f>IFERROR(VLOOKUP($A28,Parts!$A$2:$M$191,3,FALSE()),"")</f>
        <v>SMD-Widerstand, 1206, 100 Ohm, 250 mW, 5%</v>
      </c>
      <c r="C28" s="26" t="str">
        <f>IFERROR(IF(_xlfn.XLOOKUP($A28&amp;"|Ja",Part_Suppliers!$L$2:$L$300,Part_Suppliers!$B$2:$B$300,"",0)=0,"",_xlfn.XLOOKUP($A28&amp;"|Ja",Part_Suppliers!$L$2:$L$300,Part_Suppliers!$B$2:$B$300,"",0)),"")</f>
        <v>Reichelt</v>
      </c>
      <c r="D28" s="26" t="str">
        <f>IFERROR(IF(_xlfn.XLOOKUP($A28&amp;"|Ja",Part_Suppliers!$L$2:$L$300,Part_Suppliers!$C$2:$C$300,"",0)=0,"",_xlfn.XLOOKUP($A28&amp;"|Ja",Part_Suppliers!$L$2:$L$300,Part_Suppliers!$C$2:$C$300,"",0)),"")</f>
        <v>SMD 1/4W 100</v>
      </c>
      <c r="E28" s="27">
        <f>SUMIFS(Kit_BOM!$F$2:$F$300,Kit_BOM!$E$2:$E$300,$A28,Kit_BOM!$A$2:$A$300,$A$5,Kit_BOM!$G$2:$G$300,"Bestücken")*$C$5+SUMIFS(Kit_BOM!$F$2:$F$300,Kit_BOM!$E$2:$E$300,$A28,Kit_BOM!$A$2:$A$300,$A$5,Kit_BOM!$G$2:$G$300,"Mechanical")*$C$5+IF($F$5="Ja",SUMIFS(Kit_BOM!$F$2:$F$300,Kit_BOM!$E$2:$E$300,$A28,Kit_BOM!$A$2:$A$300,$A$5,Kit_BOM!$G$2:$G$300,"Optional")*$C$5,0)+IF($F$6="Ja",SUMIFS(Kit_BOM!$F$2:$F$300,Kit_BOM!$E$2:$E$300,$A28,Kit_BOM!$A$2:$A$300,$A$5,Kit_BOM!$G$2:$G$300,"DNP")*$C$5,0)+SUMIFS(Kit_BOM!$F$2:$F$300,Kit_BOM!$E$2:$E$300,$A28,Kit_BOM!$A$2:$A$300,$A$6,Kit_BOM!$G$2:$G$300,"Bestücken")*$C$6+SUMIFS(Kit_BOM!$F$2:$F$300,Kit_BOM!$E$2:$E$300,$A28,Kit_BOM!$A$2:$A$300,$A$6,Kit_BOM!$G$2:$G$300,"Mechanical")*$C$6+IF($F$5="Ja",SUMIFS(Kit_BOM!$F$2:$F$300,Kit_BOM!$E$2:$E$300,$A28,Kit_BOM!$A$2:$A$300,$A$6,Kit_BOM!$G$2:$G$300,"Optional")*$C$6,0)+IF($F$6="Ja",SUMIFS(Kit_BOM!$F$2:$F$300,Kit_BOM!$E$2:$E$300,$A28,Kit_BOM!$A$2:$A$300,$A$6,Kit_BOM!$G$2:$G$300,"DNP")*$C$6,0)+SUMIFS(Kit_BOM!$F$2:$F$300,Kit_BOM!$E$2:$E$300,$A28,Kit_BOM!$A$2:$A$300,$A$7,Kit_BOM!$G$2:$G$300,"Bestücken")*$C$7+SUMIFS(Kit_BOM!$F$2:$F$300,Kit_BOM!$E$2:$E$300,$A28,Kit_BOM!$A$2:$A$300,$A$7,Kit_BOM!$G$2:$G$300,"Mechanical")*$C$7+IF($F$5="Ja",SUMIFS(Kit_BOM!$F$2:$F$300,Kit_BOM!$E$2:$E$300,$A28,Kit_BOM!$A$2:$A$300,$A$7,Kit_BOM!$G$2:$G$300,"Optional")*$C$7,0)+IF($F$6="Ja",SUMIFS(Kit_BOM!$F$2:$F$300,Kit_BOM!$E$2:$E$300,$A28,Kit_BOM!$A$2:$A$300,$A$7,Kit_BOM!$G$2:$G$300,"DNP")*$C$7,0)+SUMIFS(Kit_BOM!$F$2:$F$300,Kit_BOM!$E$2:$E$300,$A28,Kit_BOM!$A$2:$A$300,$A$8,Kit_BOM!$G$2:$G$300,"Bestücken")*$C$8+SUMIFS(Kit_BOM!$F$2:$F$300,Kit_BOM!$E$2:$E$300,$A28,Kit_BOM!$A$2:$A$300,$A$8,Kit_BOM!$G$2:$G$300,"Mechanical")*$C$8+IF($F$5="Ja",SUMIFS(Kit_BOM!$F$2:$F$300,Kit_BOM!$E$2:$E$300,$A28,Kit_BOM!$A$2:$A$300,$A$8,Kit_BOM!$G$2:$G$300,"Optional")*$C$8,0)+IF($F$6="Ja",SUMIFS(Kit_BOM!$F$2:$F$300,Kit_BOM!$E$2:$E$300,$A28,Kit_BOM!$A$2:$A$300,$A$8,Kit_BOM!$G$2:$G$300,"DNP")*$C$8,0)+SUMIFS(Kit_BOM!$F$2:$F$300,Kit_BOM!$E$2:$E$300,$A28,Kit_BOM!$A$2:$A$300,$A$9,Kit_BOM!$G$2:$G$300,"Bestücken")*$C$9+SUMIFS(Kit_BOM!$F$2:$F$300,Kit_BOM!$E$2:$E$300,$A28,Kit_BOM!$A$2:$A$300,$A$9,Kit_BOM!$G$2:$G$300,"Mechanical")*$C$9+IF($F$5="Ja",SUMIFS(Kit_BOM!$F$2:$F$300,Kit_BOM!$E$2:$E$300,$A28,Kit_BOM!$A$2:$A$300,$A$9,Kit_BOM!$G$2:$G$300,"Optional")*$C$9,0)+IF($F$6="Ja",SUMIFS(Kit_BOM!$F$2:$F$300,Kit_BOM!$E$2:$E$300,$A28,Kit_BOM!$A$2:$A$300,$A$9,Kit_BOM!$G$2:$G$300,"DNP")*$C$9,0)+SUMIFS(Kit_BOM!$F$2:$F$300,Kit_BOM!$E$2:$E$300,$A28,Kit_BOM!$A$2:$A$300,$A$10,Kit_BOM!$G$2:$G$300,"Bestücken")*$C$10+SUMIFS(Kit_BOM!$F$2:$F$300,Kit_BOM!$E$2:$E$300,$A28,Kit_BOM!$A$2:$A$300,$A$10,Kit_BOM!$G$2:$G$300,"Mechanical")*$C$10+IF($F$5="Ja",SUMIFS(Kit_BOM!$F$2:$F$300,Kit_BOM!$E$2:$E$300,$A28,Kit_BOM!$A$2:$A$300,$A$10,Kit_BOM!$G$2:$G$300,"Optional")*$C$10,0)+IF($F$6="Ja",SUMIFS(Kit_BOM!$F$2:$F$300,Kit_BOM!$E$2:$E$300,$A28,Kit_BOM!$A$2:$A$300,$A$10,Kit_BOM!$G$2:$G$300,"DNP")*$C$10,0)+SUMIFS(Kit_BOM!$F$2:$F$300,Kit_BOM!$E$2:$E$300,$A28,Kit_BOM!$A$2:$A$300,$A$11,Kit_BOM!$G$2:$G$300,"Bestücken")*$C$11+SUMIFS(Kit_BOM!$F$2:$F$300,Kit_BOM!$E$2:$E$300,$A28,Kit_BOM!$A$2:$A$300,$A$11,Kit_BOM!$G$2:$G$300,"Mechanical")*$C$11+IF($F$5="Ja",SUMIFS(Kit_BOM!$F$2:$F$300,Kit_BOM!$E$2:$E$300,$A28,Kit_BOM!$A$2:$A$300,$A$11,Kit_BOM!$G$2:$G$300,"Optional")*$C$11,0)+IF($F$6="Ja",SUMIFS(Kit_BOM!$F$2:$F$300,Kit_BOM!$E$2:$E$300,$A28,Kit_BOM!$A$2:$A$300,$A$11,Kit_BOM!$G$2:$G$300,"DNP")*$C$11,0)+SUMIFS(Kit_BOM!$F$2:$F$300,Kit_BOM!$E$2:$E$300,$A28,Kit_BOM!$A$2:$A$300,$A$12,Kit_BOM!$G$2:$G$300,"Bestücken")*$C$12+SUMIFS(Kit_BOM!$F$2:$F$300,Kit_BOM!$E$2:$E$300,$A28,Kit_BOM!$A$2:$A$300,$A$12,Kit_BOM!$G$2:$G$300,"Mechanical")*$C$12+IF($F$5="Ja",SUMIFS(Kit_BOM!$F$2:$F$300,Kit_BOM!$E$2:$E$300,$A28,Kit_BOM!$A$2:$A$300,$A$12,Kit_BOM!$G$2:$G$300,"Optional")*$C$12,0)+IF($F$6="Ja",SUMIFS(Kit_BOM!$F$2:$F$300,Kit_BOM!$E$2:$E$300,$A28,Kit_BOM!$A$2:$A$300,$A$12,Kit_BOM!$G$2:$G$300,"DNP")*$C$12,0)+SUMIFS(Kit_BOM!$F$2:$F$300,Kit_BOM!$E$2:$E$300,$A28,Kit_BOM!$A$2:$A$300,$H$5,Kit_BOM!$G$2:$G$300,"Bestücken")*$J$5+SUMIFS(Kit_BOM!$F$2:$F$300,Kit_BOM!$E$2:$E$300,$A28,Kit_BOM!$A$2:$A$300,$H$5,Kit_BOM!$G$2:$G$300,"Mechanical")*$J$5+IF($F$5="Ja",SUMIFS(Kit_BOM!$F$2:$F$300,Kit_BOM!$E$2:$E$300,$A28,Kit_BOM!$A$2:$A$300,$H$5,Kit_BOM!$G$2:$G$300,"Optional")*$J$5,0)+IF($F$6="Ja",SUMIFS(Kit_BOM!$F$2:$F$300,Kit_BOM!$E$2:$E$300,$A28,Kit_BOM!$A$2:$A$300,$H$5,Kit_BOM!$G$2:$G$300,"DNP")*$J$5,0)+SUMIFS(Kit_BOM!$F$2:$F$300,Kit_BOM!$E$2:$E$300,$A28,Kit_BOM!$A$2:$A$300,$H$6,Kit_BOM!$G$2:$G$300,"Bestücken")*$J$6+SUMIFS(Kit_BOM!$F$2:$F$300,Kit_BOM!$E$2:$E$300,$A28,Kit_BOM!$A$2:$A$300,$H$6,Kit_BOM!$G$2:$G$300,"Mechanical")*$J$6+IF($F$5="Ja",SUMIFS(Kit_BOM!$F$2:$F$300,Kit_BOM!$E$2:$E$300,$A28,Kit_BOM!$A$2:$A$300,$H$6,Kit_BOM!$G$2:$G$300,"Optional")*$J$6,0)+IF($F$6="Ja",SUMIFS(Kit_BOM!$F$2:$F$300,Kit_BOM!$E$2:$E$300,$A28,Kit_BOM!$A$2:$A$300,$H$6,Kit_BOM!$G$2:$G$300,"DNP")*$J$6,0)</f>
        <v>6</v>
      </c>
      <c r="F28" s="27" t="str">
        <f>IFERROR(IF(_xlfn.XLOOKUP($A28&amp;"|Ja",Part_Suppliers!$L$2:$L$300,Part_Suppliers!$G$2:$G$300,"",0)=0,"",_xlfn.XLOOKUP($A28&amp;"|Ja",Part_Suppliers!$L$2:$L$300,Part_Suppliers!$G$2:$G$300,"",0)),"")</f>
        <v/>
      </c>
      <c r="G28" s="27">
        <f t="shared" si="6"/>
        <v>6</v>
      </c>
      <c r="H28" s="46">
        <f>IFERROR(IF(_xlfn.XLOOKUP($A28&amp;"|Ja",Part_Suppliers!$L$2:$L$300,Part_Suppliers!$E$2:$E$300,"",0)=0,"",_xlfn.XLOOKUP($A28&amp;"|Ja",Part_Suppliers!$L$2:$L$300,Part_Suppliers!$E$2:$E$300,"",0)),"")</f>
        <v>0.06</v>
      </c>
      <c r="I28" s="46">
        <f t="shared" si="7"/>
        <v>0.36</v>
      </c>
      <c r="J28" t="str">
        <f t="shared" si="8"/>
        <v>Gedeckt</v>
      </c>
      <c r="K28" s="26" t="str">
        <f>IFERROR(IF(_xlfn.XLOOKUP($A28&amp;"|Ja",Part_Suppliers!$L$2:$L$300,Part_Suppliers!$D$2:$D$300,"",0)=0,"",_xlfn.XLOOKUP($A28&amp;"|Ja",Part_Suppliers!$L$2:$L$300,Part_Suppliers!$D$2:$D$300,"",0)),"")</f>
        <v>https://www.reichelt.de/de/de/shop/produkt/smd-widerstand_1206_100_ohm_250_mw_5_-18242</v>
      </c>
      <c r="L28" s="47">
        <f>IFERROR(VLOOKUP($A28,Stock!$A$5:$K$200,10,FALSE()),0)</f>
        <v>49</v>
      </c>
      <c r="M28" s="47">
        <f>IFERROR(VLOOKUP($A28,Stock!$A$5:$K$200,11,FALSE()),0)</f>
        <v>0</v>
      </c>
      <c r="N28" s="47">
        <f t="shared" si="9"/>
        <v>43</v>
      </c>
      <c r="O28" s="47">
        <f t="shared" si="10"/>
        <v>0</v>
      </c>
      <c r="P28" s="48">
        <v>0</v>
      </c>
      <c r="Q28" s="49">
        <f t="shared" si="11"/>
        <v>0</v>
      </c>
      <c r="R28" s="82">
        <f>SUMIFS(Part_Alternatives!$H$2:$H$200,Part_Alternatives!$A$2:$A$200,$A28,Part_Alternatives!$E$2:$E$200,"Ja")</f>
        <v>0</v>
      </c>
      <c r="S28" s="82">
        <f>SUMIFS(Part_Alternatives!$I$2:$I$200,Part_Alternatives!$A$2:$A$200,$A28,Part_Alternatives!$E$2:$E$200,"Ja")</f>
        <v>0</v>
      </c>
      <c r="T28" s="80" t="str">
        <f>IFERROR(VLOOKUP($A28,Part_Alternatives!$A$2:$K$200,10,FALSE()),"")</f>
        <v/>
      </c>
    </row>
    <row r="29" spans="1:20" ht="26.25" hidden="1" customHeight="1" x14ac:dyDescent="0.2">
      <c r="A29" s="26" t="s">
        <v>109</v>
      </c>
      <c r="B29" s="45" t="str">
        <f>IFERROR(VLOOKUP($A29,Parts!$A$2:$M$191,3,FALSE()),"")</f>
        <v>SMD-Widerstand, 1206, 10 kOhm, 250 mW, 0,1%</v>
      </c>
      <c r="C29" s="26" t="str">
        <f>IFERROR(IF(_xlfn.XLOOKUP($A29&amp;"|Ja",Part_Suppliers!$L$2:$L$300,Part_Suppliers!$B$2:$B$300,"",0)=0,"",_xlfn.XLOOKUP($A29&amp;"|Ja",Part_Suppliers!$L$2:$L$300,Part_Suppliers!$B$2:$B$300,"",0)),"")</f>
        <v>Reichelt</v>
      </c>
      <c r="D29" s="26" t="str">
        <f>IFERROR(IF(_xlfn.XLOOKUP($A29&amp;"|Ja",Part_Suppliers!$L$2:$L$300,Part_Suppliers!$C$2:$C$300,"",0)=0,"",_xlfn.XLOOKUP($A29&amp;"|Ja",Part_Suppliers!$L$2:$L$300,Part_Suppliers!$C$2:$C$300,"",0)),"")</f>
        <v>PAN ERA8AEB103V</v>
      </c>
      <c r="E29" s="27">
        <f>SUMIFS(Kit_BOM!$F$2:$F$300,Kit_BOM!$E$2:$E$300,$A29,Kit_BOM!$A$2:$A$300,$A$5,Kit_BOM!$G$2:$G$300,"Bestücken")*$C$5+SUMIFS(Kit_BOM!$F$2:$F$300,Kit_BOM!$E$2:$E$300,$A29,Kit_BOM!$A$2:$A$300,$A$5,Kit_BOM!$G$2:$G$300,"Mechanical")*$C$5+IF($F$5="Ja",SUMIFS(Kit_BOM!$F$2:$F$300,Kit_BOM!$E$2:$E$300,$A29,Kit_BOM!$A$2:$A$300,$A$5,Kit_BOM!$G$2:$G$300,"Optional")*$C$5,0)+IF($F$6="Ja",SUMIFS(Kit_BOM!$F$2:$F$300,Kit_BOM!$E$2:$E$300,$A29,Kit_BOM!$A$2:$A$300,$A$5,Kit_BOM!$G$2:$G$300,"DNP")*$C$5,0)+SUMIFS(Kit_BOM!$F$2:$F$300,Kit_BOM!$E$2:$E$300,$A29,Kit_BOM!$A$2:$A$300,$A$6,Kit_BOM!$G$2:$G$300,"Bestücken")*$C$6+SUMIFS(Kit_BOM!$F$2:$F$300,Kit_BOM!$E$2:$E$300,$A29,Kit_BOM!$A$2:$A$300,$A$6,Kit_BOM!$G$2:$G$300,"Mechanical")*$C$6+IF($F$5="Ja",SUMIFS(Kit_BOM!$F$2:$F$300,Kit_BOM!$E$2:$E$300,$A29,Kit_BOM!$A$2:$A$300,$A$6,Kit_BOM!$G$2:$G$300,"Optional")*$C$6,0)+IF($F$6="Ja",SUMIFS(Kit_BOM!$F$2:$F$300,Kit_BOM!$E$2:$E$300,$A29,Kit_BOM!$A$2:$A$300,$A$6,Kit_BOM!$G$2:$G$300,"DNP")*$C$6,0)+SUMIFS(Kit_BOM!$F$2:$F$300,Kit_BOM!$E$2:$E$300,$A29,Kit_BOM!$A$2:$A$300,$A$7,Kit_BOM!$G$2:$G$300,"Bestücken")*$C$7+SUMIFS(Kit_BOM!$F$2:$F$300,Kit_BOM!$E$2:$E$300,$A29,Kit_BOM!$A$2:$A$300,$A$7,Kit_BOM!$G$2:$G$300,"Mechanical")*$C$7+IF($F$5="Ja",SUMIFS(Kit_BOM!$F$2:$F$300,Kit_BOM!$E$2:$E$300,$A29,Kit_BOM!$A$2:$A$300,$A$7,Kit_BOM!$G$2:$G$300,"Optional")*$C$7,0)+IF($F$6="Ja",SUMIFS(Kit_BOM!$F$2:$F$300,Kit_BOM!$E$2:$E$300,$A29,Kit_BOM!$A$2:$A$300,$A$7,Kit_BOM!$G$2:$G$300,"DNP")*$C$7,0)+SUMIFS(Kit_BOM!$F$2:$F$300,Kit_BOM!$E$2:$E$300,$A29,Kit_BOM!$A$2:$A$300,$A$8,Kit_BOM!$G$2:$G$300,"Bestücken")*$C$8+SUMIFS(Kit_BOM!$F$2:$F$300,Kit_BOM!$E$2:$E$300,$A29,Kit_BOM!$A$2:$A$300,$A$8,Kit_BOM!$G$2:$G$300,"Mechanical")*$C$8+IF($F$5="Ja",SUMIFS(Kit_BOM!$F$2:$F$300,Kit_BOM!$E$2:$E$300,$A29,Kit_BOM!$A$2:$A$300,$A$8,Kit_BOM!$G$2:$G$300,"Optional")*$C$8,0)+IF($F$6="Ja",SUMIFS(Kit_BOM!$F$2:$F$300,Kit_BOM!$E$2:$E$300,$A29,Kit_BOM!$A$2:$A$300,$A$8,Kit_BOM!$G$2:$G$300,"DNP")*$C$8,0)+SUMIFS(Kit_BOM!$F$2:$F$300,Kit_BOM!$E$2:$E$300,$A29,Kit_BOM!$A$2:$A$300,$A$9,Kit_BOM!$G$2:$G$300,"Bestücken")*$C$9+SUMIFS(Kit_BOM!$F$2:$F$300,Kit_BOM!$E$2:$E$300,$A29,Kit_BOM!$A$2:$A$300,$A$9,Kit_BOM!$G$2:$G$300,"Mechanical")*$C$9+IF($F$5="Ja",SUMIFS(Kit_BOM!$F$2:$F$300,Kit_BOM!$E$2:$E$300,$A29,Kit_BOM!$A$2:$A$300,$A$9,Kit_BOM!$G$2:$G$300,"Optional")*$C$9,0)+IF($F$6="Ja",SUMIFS(Kit_BOM!$F$2:$F$300,Kit_BOM!$E$2:$E$300,$A29,Kit_BOM!$A$2:$A$300,$A$9,Kit_BOM!$G$2:$G$300,"DNP")*$C$9,0)+SUMIFS(Kit_BOM!$F$2:$F$300,Kit_BOM!$E$2:$E$300,$A29,Kit_BOM!$A$2:$A$300,$A$10,Kit_BOM!$G$2:$G$300,"Bestücken")*$C$10+SUMIFS(Kit_BOM!$F$2:$F$300,Kit_BOM!$E$2:$E$300,$A29,Kit_BOM!$A$2:$A$300,$A$10,Kit_BOM!$G$2:$G$300,"Mechanical")*$C$10+IF($F$5="Ja",SUMIFS(Kit_BOM!$F$2:$F$300,Kit_BOM!$E$2:$E$300,$A29,Kit_BOM!$A$2:$A$300,$A$10,Kit_BOM!$G$2:$G$300,"Optional")*$C$10,0)+IF($F$6="Ja",SUMIFS(Kit_BOM!$F$2:$F$300,Kit_BOM!$E$2:$E$300,$A29,Kit_BOM!$A$2:$A$300,$A$10,Kit_BOM!$G$2:$G$300,"DNP")*$C$10,0)+SUMIFS(Kit_BOM!$F$2:$F$300,Kit_BOM!$E$2:$E$300,$A29,Kit_BOM!$A$2:$A$300,$A$11,Kit_BOM!$G$2:$G$300,"Bestücken")*$C$11+SUMIFS(Kit_BOM!$F$2:$F$300,Kit_BOM!$E$2:$E$300,$A29,Kit_BOM!$A$2:$A$300,$A$11,Kit_BOM!$G$2:$G$300,"Mechanical")*$C$11+IF($F$5="Ja",SUMIFS(Kit_BOM!$F$2:$F$300,Kit_BOM!$E$2:$E$300,$A29,Kit_BOM!$A$2:$A$300,$A$11,Kit_BOM!$G$2:$G$300,"Optional")*$C$11,0)+IF($F$6="Ja",SUMIFS(Kit_BOM!$F$2:$F$300,Kit_BOM!$E$2:$E$300,$A29,Kit_BOM!$A$2:$A$300,$A$11,Kit_BOM!$G$2:$G$300,"DNP")*$C$11,0)+SUMIFS(Kit_BOM!$F$2:$F$300,Kit_BOM!$E$2:$E$300,$A29,Kit_BOM!$A$2:$A$300,$A$12,Kit_BOM!$G$2:$G$300,"Bestücken")*$C$12+SUMIFS(Kit_BOM!$F$2:$F$300,Kit_BOM!$E$2:$E$300,$A29,Kit_BOM!$A$2:$A$300,$A$12,Kit_BOM!$G$2:$G$300,"Mechanical")*$C$12+IF($F$5="Ja",SUMIFS(Kit_BOM!$F$2:$F$300,Kit_BOM!$E$2:$E$300,$A29,Kit_BOM!$A$2:$A$300,$A$12,Kit_BOM!$G$2:$G$300,"Optional")*$C$12,0)+IF($F$6="Ja",SUMIFS(Kit_BOM!$F$2:$F$300,Kit_BOM!$E$2:$E$300,$A29,Kit_BOM!$A$2:$A$300,$A$12,Kit_BOM!$G$2:$G$300,"DNP")*$C$12,0)+SUMIFS(Kit_BOM!$F$2:$F$300,Kit_BOM!$E$2:$E$300,$A29,Kit_BOM!$A$2:$A$300,$H$5,Kit_BOM!$G$2:$G$300,"Bestücken")*$J$5+SUMIFS(Kit_BOM!$F$2:$F$300,Kit_BOM!$E$2:$E$300,$A29,Kit_BOM!$A$2:$A$300,$H$5,Kit_BOM!$G$2:$G$300,"Mechanical")*$J$5+IF($F$5="Ja",SUMIFS(Kit_BOM!$F$2:$F$300,Kit_BOM!$E$2:$E$300,$A29,Kit_BOM!$A$2:$A$300,$H$5,Kit_BOM!$G$2:$G$300,"Optional")*$J$5,0)+IF($F$6="Ja",SUMIFS(Kit_BOM!$F$2:$F$300,Kit_BOM!$E$2:$E$300,$A29,Kit_BOM!$A$2:$A$300,$H$5,Kit_BOM!$G$2:$G$300,"DNP")*$J$5,0)+SUMIFS(Kit_BOM!$F$2:$F$300,Kit_BOM!$E$2:$E$300,$A29,Kit_BOM!$A$2:$A$300,$H$6,Kit_BOM!$G$2:$G$300,"Bestücken")*$J$6+SUMIFS(Kit_BOM!$F$2:$F$300,Kit_BOM!$E$2:$E$300,$A29,Kit_BOM!$A$2:$A$300,$H$6,Kit_BOM!$G$2:$G$300,"Mechanical")*$J$6+IF($F$5="Ja",SUMIFS(Kit_BOM!$F$2:$F$300,Kit_BOM!$E$2:$E$300,$A29,Kit_BOM!$A$2:$A$300,$H$6,Kit_BOM!$G$2:$G$300,"Optional")*$J$6,0)+IF($F$6="Ja",SUMIFS(Kit_BOM!$F$2:$F$300,Kit_BOM!$E$2:$E$300,$A29,Kit_BOM!$A$2:$A$300,$H$6,Kit_BOM!$G$2:$G$300,"DNP")*$J$6,0)</f>
        <v>7</v>
      </c>
      <c r="F29" s="27" t="str">
        <f>IFERROR(IF(_xlfn.XLOOKUP($A29&amp;"|Ja",Part_Suppliers!$L$2:$L$300,Part_Suppliers!$G$2:$G$300,"",0)=0,"",_xlfn.XLOOKUP($A29&amp;"|Ja",Part_Suppliers!$L$2:$L$300,Part_Suppliers!$G$2:$G$300,"",0)),"")</f>
        <v/>
      </c>
      <c r="G29" s="27">
        <f t="shared" si="6"/>
        <v>7</v>
      </c>
      <c r="H29" s="46">
        <f>IFERROR(IF(_xlfn.XLOOKUP($A29&amp;"|Ja",Part_Suppliers!$L$2:$L$300,Part_Suppliers!$E$2:$E$300,"",0)=0,"",_xlfn.XLOOKUP($A29&amp;"|Ja",Part_Suppliers!$L$2:$L$300,Part_Suppliers!$E$2:$E$300,"",0)),"")</f>
        <v>0.75</v>
      </c>
      <c r="I29" s="46">
        <f t="shared" si="7"/>
        <v>5.25</v>
      </c>
      <c r="J29" t="str">
        <f t="shared" si="8"/>
        <v>Gedeckt</v>
      </c>
      <c r="K29" s="26" t="str">
        <f>IFERROR(IF(_xlfn.XLOOKUP($A29&amp;"|Ja",Part_Suppliers!$L$2:$L$300,Part_Suppliers!$D$2:$D$300,"",0)=0,"",_xlfn.XLOOKUP($A29&amp;"|Ja",Part_Suppliers!$L$2:$L$300,Part_Suppliers!$D$2:$D$300,"",0)),"")</f>
        <v>https://www.reichelt.de/de/de/shop/produkt/smd-widerstand_1206_10_kohm_250_mw_0_1_-238080</v>
      </c>
      <c r="L29" s="47">
        <f>IFERROR(VLOOKUP($A29,Stock!$A$5:$K$200,10,FALSE()),0)</f>
        <v>8</v>
      </c>
      <c r="M29" s="47">
        <f>IFERROR(VLOOKUP($A29,Stock!$A$5:$K$200,11,FALSE()),0)</f>
        <v>0</v>
      </c>
      <c r="N29" s="47">
        <f t="shared" si="9"/>
        <v>1</v>
      </c>
      <c r="O29" s="47">
        <f t="shared" si="10"/>
        <v>0</v>
      </c>
      <c r="P29" s="48">
        <v>0</v>
      </c>
      <c r="Q29" s="49">
        <f t="shared" si="11"/>
        <v>0</v>
      </c>
      <c r="R29" s="82">
        <f>SUMIFS(Part_Alternatives!$H$2:$H$200,Part_Alternatives!$A$2:$A$200,$A29,Part_Alternatives!$E$2:$E$200,"Ja")</f>
        <v>0</v>
      </c>
      <c r="S29" s="82">
        <f>SUMIFS(Part_Alternatives!$I$2:$I$200,Part_Alternatives!$A$2:$A$200,$A29,Part_Alternatives!$E$2:$E$200,"Ja")</f>
        <v>0</v>
      </c>
      <c r="T29" s="80" t="str">
        <f>IFERROR(VLOOKUP($A29,Part_Alternatives!$A$2:$K$200,10,FALSE()),"")</f>
        <v/>
      </c>
    </row>
    <row r="30" spans="1:20" ht="14" hidden="1" customHeight="1" x14ac:dyDescent="0.2">
      <c r="A30" s="26" t="s">
        <v>110</v>
      </c>
      <c r="B30" s="45" t="str">
        <f>IFERROR(VLOOKUP($A30,Parts!$A$2:$M$191,3,FALSE()),"")</f>
        <v>Stiftleiste, 8-polig, Raster 2,54mm</v>
      </c>
      <c r="C30" s="26" t="str">
        <f>IFERROR(IF(_xlfn.XLOOKUP($A30&amp;"|Ja",Part_Suppliers!$L$2:$L$300,Part_Suppliers!$B$2:$B$300,"",0)=0,"",_xlfn.XLOOKUP($A30&amp;"|Ja",Part_Suppliers!$L$2:$L$300,Part_Suppliers!$B$2:$B$300,"",0)),"")</f>
        <v>Reichelt</v>
      </c>
      <c r="D30" s="26" t="str">
        <f>IFERROR(IF(_xlfn.XLOOKUP($A30&amp;"|Ja",Part_Suppliers!$L$2:$L$300,Part_Suppliers!$C$2:$C$300,"",0)=0,"",_xlfn.XLOOKUP($A30&amp;"|Ja",Part_Suppliers!$L$2:$L$300,Part_Suppliers!$C$2:$C$300,"",0)),"")</f>
        <v>BKL 10120505</v>
      </c>
      <c r="E30" s="27">
        <f>SUMIFS(Kit_BOM!$F$2:$F$300,Kit_BOM!$E$2:$E$300,$A30,Kit_BOM!$A$2:$A$300,$A$5,Kit_BOM!$G$2:$G$300,"Bestücken")*$C$5+SUMIFS(Kit_BOM!$F$2:$F$300,Kit_BOM!$E$2:$E$300,$A30,Kit_BOM!$A$2:$A$300,$A$5,Kit_BOM!$G$2:$G$300,"Mechanical")*$C$5+IF($F$5="Ja",SUMIFS(Kit_BOM!$F$2:$F$300,Kit_BOM!$E$2:$E$300,$A30,Kit_BOM!$A$2:$A$300,$A$5,Kit_BOM!$G$2:$G$300,"Optional")*$C$5,0)+IF($F$6="Ja",SUMIFS(Kit_BOM!$F$2:$F$300,Kit_BOM!$E$2:$E$300,$A30,Kit_BOM!$A$2:$A$300,$A$5,Kit_BOM!$G$2:$G$300,"DNP")*$C$5,0)+SUMIFS(Kit_BOM!$F$2:$F$300,Kit_BOM!$E$2:$E$300,$A30,Kit_BOM!$A$2:$A$300,$A$6,Kit_BOM!$G$2:$G$300,"Bestücken")*$C$6+SUMIFS(Kit_BOM!$F$2:$F$300,Kit_BOM!$E$2:$E$300,$A30,Kit_BOM!$A$2:$A$300,$A$6,Kit_BOM!$G$2:$G$300,"Mechanical")*$C$6+IF($F$5="Ja",SUMIFS(Kit_BOM!$F$2:$F$300,Kit_BOM!$E$2:$E$300,$A30,Kit_BOM!$A$2:$A$300,$A$6,Kit_BOM!$G$2:$G$300,"Optional")*$C$6,0)+IF($F$6="Ja",SUMIFS(Kit_BOM!$F$2:$F$300,Kit_BOM!$E$2:$E$300,$A30,Kit_BOM!$A$2:$A$300,$A$6,Kit_BOM!$G$2:$G$300,"DNP")*$C$6,0)+SUMIFS(Kit_BOM!$F$2:$F$300,Kit_BOM!$E$2:$E$300,$A30,Kit_BOM!$A$2:$A$300,$A$7,Kit_BOM!$G$2:$G$300,"Bestücken")*$C$7+SUMIFS(Kit_BOM!$F$2:$F$300,Kit_BOM!$E$2:$E$300,$A30,Kit_BOM!$A$2:$A$300,$A$7,Kit_BOM!$G$2:$G$300,"Mechanical")*$C$7+IF($F$5="Ja",SUMIFS(Kit_BOM!$F$2:$F$300,Kit_BOM!$E$2:$E$300,$A30,Kit_BOM!$A$2:$A$300,$A$7,Kit_BOM!$G$2:$G$300,"Optional")*$C$7,0)+IF($F$6="Ja",SUMIFS(Kit_BOM!$F$2:$F$300,Kit_BOM!$E$2:$E$300,$A30,Kit_BOM!$A$2:$A$300,$A$7,Kit_BOM!$G$2:$G$300,"DNP")*$C$7,0)+SUMIFS(Kit_BOM!$F$2:$F$300,Kit_BOM!$E$2:$E$300,$A30,Kit_BOM!$A$2:$A$300,$A$8,Kit_BOM!$G$2:$G$300,"Bestücken")*$C$8+SUMIFS(Kit_BOM!$F$2:$F$300,Kit_BOM!$E$2:$E$300,$A30,Kit_BOM!$A$2:$A$300,$A$8,Kit_BOM!$G$2:$G$300,"Mechanical")*$C$8+IF($F$5="Ja",SUMIFS(Kit_BOM!$F$2:$F$300,Kit_BOM!$E$2:$E$300,$A30,Kit_BOM!$A$2:$A$300,$A$8,Kit_BOM!$G$2:$G$300,"Optional")*$C$8,0)+IF($F$6="Ja",SUMIFS(Kit_BOM!$F$2:$F$300,Kit_BOM!$E$2:$E$300,$A30,Kit_BOM!$A$2:$A$300,$A$8,Kit_BOM!$G$2:$G$300,"DNP")*$C$8,0)+SUMIFS(Kit_BOM!$F$2:$F$300,Kit_BOM!$E$2:$E$300,$A30,Kit_BOM!$A$2:$A$300,$A$9,Kit_BOM!$G$2:$G$300,"Bestücken")*$C$9+SUMIFS(Kit_BOM!$F$2:$F$300,Kit_BOM!$E$2:$E$300,$A30,Kit_BOM!$A$2:$A$300,$A$9,Kit_BOM!$G$2:$G$300,"Mechanical")*$C$9+IF($F$5="Ja",SUMIFS(Kit_BOM!$F$2:$F$300,Kit_BOM!$E$2:$E$300,$A30,Kit_BOM!$A$2:$A$300,$A$9,Kit_BOM!$G$2:$G$300,"Optional")*$C$9,0)+IF($F$6="Ja",SUMIFS(Kit_BOM!$F$2:$F$300,Kit_BOM!$E$2:$E$300,$A30,Kit_BOM!$A$2:$A$300,$A$9,Kit_BOM!$G$2:$G$300,"DNP")*$C$9,0)+SUMIFS(Kit_BOM!$F$2:$F$300,Kit_BOM!$E$2:$E$300,$A30,Kit_BOM!$A$2:$A$300,$A$10,Kit_BOM!$G$2:$G$300,"Bestücken")*$C$10+SUMIFS(Kit_BOM!$F$2:$F$300,Kit_BOM!$E$2:$E$300,$A30,Kit_BOM!$A$2:$A$300,$A$10,Kit_BOM!$G$2:$G$300,"Mechanical")*$C$10+IF($F$5="Ja",SUMIFS(Kit_BOM!$F$2:$F$300,Kit_BOM!$E$2:$E$300,$A30,Kit_BOM!$A$2:$A$300,$A$10,Kit_BOM!$G$2:$G$300,"Optional")*$C$10,0)+IF($F$6="Ja",SUMIFS(Kit_BOM!$F$2:$F$300,Kit_BOM!$E$2:$E$300,$A30,Kit_BOM!$A$2:$A$300,$A$10,Kit_BOM!$G$2:$G$300,"DNP")*$C$10,0)+SUMIFS(Kit_BOM!$F$2:$F$300,Kit_BOM!$E$2:$E$300,$A30,Kit_BOM!$A$2:$A$300,$A$11,Kit_BOM!$G$2:$G$300,"Bestücken")*$C$11+SUMIFS(Kit_BOM!$F$2:$F$300,Kit_BOM!$E$2:$E$300,$A30,Kit_BOM!$A$2:$A$300,$A$11,Kit_BOM!$G$2:$G$300,"Mechanical")*$C$11+IF($F$5="Ja",SUMIFS(Kit_BOM!$F$2:$F$300,Kit_BOM!$E$2:$E$300,$A30,Kit_BOM!$A$2:$A$300,$A$11,Kit_BOM!$G$2:$G$300,"Optional")*$C$11,0)+IF($F$6="Ja",SUMIFS(Kit_BOM!$F$2:$F$300,Kit_BOM!$E$2:$E$300,$A30,Kit_BOM!$A$2:$A$300,$A$11,Kit_BOM!$G$2:$G$300,"DNP")*$C$11,0)+SUMIFS(Kit_BOM!$F$2:$F$300,Kit_BOM!$E$2:$E$300,$A30,Kit_BOM!$A$2:$A$300,$A$12,Kit_BOM!$G$2:$G$300,"Bestücken")*$C$12+SUMIFS(Kit_BOM!$F$2:$F$300,Kit_BOM!$E$2:$E$300,$A30,Kit_BOM!$A$2:$A$300,$A$12,Kit_BOM!$G$2:$G$300,"Mechanical")*$C$12+IF($F$5="Ja",SUMIFS(Kit_BOM!$F$2:$F$300,Kit_BOM!$E$2:$E$300,$A30,Kit_BOM!$A$2:$A$300,$A$12,Kit_BOM!$G$2:$G$300,"Optional")*$C$12,0)+IF($F$6="Ja",SUMIFS(Kit_BOM!$F$2:$F$300,Kit_BOM!$E$2:$E$300,$A30,Kit_BOM!$A$2:$A$300,$A$12,Kit_BOM!$G$2:$G$300,"DNP")*$C$12,0)+SUMIFS(Kit_BOM!$F$2:$F$300,Kit_BOM!$E$2:$E$300,$A30,Kit_BOM!$A$2:$A$300,$H$5,Kit_BOM!$G$2:$G$300,"Bestücken")*$J$5+SUMIFS(Kit_BOM!$F$2:$F$300,Kit_BOM!$E$2:$E$300,$A30,Kit_BOM!$A$2:$A$300,$H$5,Kit_BOM!$G$2:$G$300,"Mechanical")*$J$5+IF($F$5="Ja",SUMIFS(Kit_BOM!$F$2:$F$300,Kit_BOM!$E$2:$E$300,$A30,Kit_BOM!$A$2:$A$300,$H$5,Kit_BOM!$G$2:$G$300,"Optional")*$J$5,0)+IF($F$6="Ja",SUMIFS(Kit_BOM!$F$2:$F$300,Kit_BOM!$E$2:$E$300,$A30,Kit_BOM!$A$2:$A$300,$H$5,Kit_BOM!$G$2:$G$300,"DNP")*$J$5,0)+SUMIFS(Kit_BOM!$F$2:$F$300,Kit_BOM!$E$2:$E$300,$A30,Kit_BOM!$A$2:$A$300,$H$6,Kit_BOM!$G$2:$G$300,"Bestücken")*$J$6+SUMIFS(Kit_BOM!$F$2:$F$300,Kit_BOM!$E$2:$E$300,$A30,Kit_BOM!$A$2:$A$300,$H$6,Kit_BOM!$G$2:$G$300,"Mechanical")*$J$6+IF($F$5="Ja",SUMIFS(Kit_BOM!$F$2:$F$300,Kit_BOM!$E$2:$E$300,$A30,Kit_BOM!$A$2:$A$300,$H$6,Kit_BOM!$G$2:$G$300,"Optional")*$J$6,0)+IF($F$6="Ja",SUMIFS(Kit_BOM!$F$2:$F$300,Kit_BOM!$E$2:$E$300,$A30,Kit_BOM!$A$2:$A$300,$H$6,Kit_BOM!$G$2:$G$300,"DNP")*$J$6,0)</f>
        <v>0</v>
      </c>
      <c r="F30" s="27" t="str">
        <f>IFERROR(IF(_xlfn.XLOOKUP($A30&amp;"|Ja",Part_Suppliers!$L$2:$L$300,Part_Suppliers!$G$2:$G$300,"",0)=0,"",_xlfn.XLOOKUP($A30&amp;"|Ja",Part_Suppliers!$L$2:$L$300,Part_Suppliers!$G$2:$G$300,"",0)),"")</f>
        <v/>
      </c>
      <c r="G30" s="27">
        <f t="shared" si="6"/>
        <v>0</v>
      </c>
      <c r="H30" s="46">
        <f>IFERROR(IF(_xlfn.XLOOKUP($A30&amp;"|Ja",Part_Suppliers!$L$2:$L$300,Part_Suppliers!$E$2:$E$300,"",0)=0,"",_xlfn.XLOOKUP($A30&amp;"|Ja",Part_Suppliers!$L$2:$L$300,Part_Suppliers!$E$2:$E$300,"",0)),"")</f>
        <v>0.31</v>
      </c>
      <c r="I30" s="46">
        <f t="shared" si="7"/>
        <v>0</v>
      </c>
      <c r="J30" t="str">
        <f t="shared" si="8"/>
        <v>Nicht benötigt</v>
      </c>
      <c r="K30" s="26" t="str">
        <f>IFERROR(IF(_xlfn.XLOOKUP($A30&amp;"|Ja",Part_Suppliers!$L$2:$L$300,Part_Suppliers!$D$2:$D$300,"",0)=0,"",_xlfn.XLOOKUP($A30&amp;"|Ja",Part_Suppliers!$L$2:$L$300,Part_Suppliers!$D$2:$D$300,"",0)),"")</f>
        <v>https://www.reichelt.de/de/de/shop/produkt/stiftleiste_8-polig_raster_2_54mm-235656</v>
      </c>
      <c r="L30" s="47">
        <f>IFERROR(VLOOKUP($A30,Stock!$A$5:$K$200,10,FALSE()),0)</f>
        <v>0</v>
      </c>
      <c r="M30" s="47">
        <f>IFERROR(VLOOKUP($A30,Stock!$A$5:$K$200,11,FALSE()),0)</f>
        <v>0</v>
      </c>
      <c r="N30" s="47">
        <f t="shared" si="9"/>
        <v>0</v>
      </c>
      <c r="O30" s="47">
        <f t="shared" si="10"/>
        <v>0</v>
      </c>
      <c r="P30" s="48">
        <v>0</v>
      </c>
      <c r="Q30" s="49">
        <f t="shared" si="11"/>
        <v>0</v>
      </c>
      <c r="R30" s="82">
        <f>SUMIFS(Part_Alternatives!$H$2:$H$200,Part_Alternatives!$A$2:$A$200,$A30,Part_Alternatives!$E$2:$E$200,"Ja")</f>
        <v>0</v>
      </c>
      <c r="S30" s="82">
        <f>SUMIFS(Part_Alternatives!$I$2:$I$200,Part_Alternatives!$A$2:$A$200,$A30,Part_Alternatives!$E$2:$E$200,"Ja")</f>
        <v>0</v>
      </c>
      <c r="T30" s="80" t="str">
        <f>IFERROR(VLOOKUP($A30,Part_Alternatives!$A$2:$K$200,10,FALSE()),"")</f>
        <v/>
      </c>
    </row>
    <row r="31" spans="1:20" ht="14" customHeight="1" x14ac:dyDescent="0.15">
      <c r="A31" t="s">
        <v>138</v>
      </c>
      <c r="B31" t="str">
        <f>IFERROR(VLOOKUP($A31,Parts!$A$2:$M$191,3,FALSE()),"")</f>
        <v>Temperatursensor TMP100</v>
      </c>
      <c r="C31" t="str">
        <f>IFERROR(IF(_xlfn.XLOOKUP($A31&amp;"|Ja",Part_Suppliers!$L$2:$L$300,Part_Suppliers!$B$2:$B$300,"",0)=0,"",_xlfn.XLOOKUP($A31&amp;"|Ja",Part_Suppliers!$L$2:$L$300,Part_Suppliers!$B$2:$B$300,"",0)),"")</f>
        <v>DigiKey</v>
      </c>
      <c r="D31" t="str">
        <f>IFERROR(IF(_xlfn.XLOOKUP($A31&amp;"|Ja",Part_Suppliers!$L$2:$L$300,Part_Suppliers!$C$2:$C$300,"",0)=0,"",_xlfn.XLOOKUP($A31&amp;"|Ja",Part_Suppliers!$L$2:$L$300,Part_Suppliers!$C$2:$C$300,"",0)),"")</f>
        <v>296-26833-1-ND</v>
      </c>
      <c r="E31">
        <f>SUMIFS(Kit_BOM!$F$2:$F$300,Kit_BOM!$E$2:$E$300,$A31,Kit_BOM!$A$2:$A$300,$A$5,Kit_BOM!$G$2:$G$300,"Bestücken")*$C$5+SUMIFS(Kit_BOM!$F$2:$F$300,Kit_BOM!$E$2:$E$300,$A31,Kit_BOM!$A$2:$A$300,$A$5,Kit_BOM!$G$2:$G$300,"Mechanical")*$C$5+IF($F$5="Ja",SUMIFS(Kit_BOM!$F$2:$F$300,Kit_BOM!$E$2:$E$300,$A31,Kit_BOM!$A$2:$A$300,$A$5,Kit_BOM!$G$2:$G$300,"Optional")*$C$5,0)+IF($F$6="Ja",SUMIFS(Kit_BOM!$F$2:$F$300,Kit_BOM!$E$2:$E$300,$A31,Kit_BOM!$A$2:$A$300,$A$5,Kit_BOM!$G$2:$G$300,"DNP")*$C$5,0)+SUMIFS(Kit_BOM!$F$2:$F$300,Kit_BOM!$E$2:$E$300,$A31,Kit_BOM!$A$2:$A$300,$A$6,Kit_BOM!$G$2:$G$300,"Bestücken")*$C$6+SUMIFS(Kit_BOM!$F$2:$F$300,Kit_BOM!$E$2:$E$300,$A31,Kit_BOM!$A$2:$A$300,$A$6,Kit_BOM!$G$2:$G$300,"Mechanical")*$C$6+IF($F$5="Ja",SUMIFS(Kit_BOM!$F$2:$F$300,Kit_BOM!$E$2:$E$300,$A31,Kit_BOM!$A$2:$A$300,$A$6,Kit_BOM!$G$2:$G$300,"Optional")*$C$6,0)+IF($F$6="Ja",SUMIFS(Kit_BOM!$F$2:$F$300,Kit_BOM!$E$2:$E$300,$A31,Kit_BOM!$A$2:$A$300,$A$6,Kit_BOM!$G$2:$G$300,"DNP")*$C$6,0)+SUMIFS(Kit_BOM!$F$2:$F$300,Kit_BOM!$E$2:$E$300,$A31,Kit_BOM!$A$2:$A$300,$A$7,Kit_BOM!$G$2:$G$300,"Bestücken")*$C$7+SUMIFS(Kit_BOM!$F$2:$F$300,Kit_BOM!$E$2:$E$300,$A31,Kit_BOM!$A$2:$A$300,$A$7,Kit_BOM!$G$2:$G$300,"Mechanical")*$C$7+IF($F$5="Ja",SUMIFS(Kit_BOM!$F$2:$F$300,Kit_BOM!$E$2:$E$300,$A31,Kit_BOM!$A$2:$A$300,$A$7,Kit_BOM!$G$2:$G$300,"Optional")*$C$7,0)+IF($F$6="Ja",SUMIFS(Kit_BOM!$F$2:$F$300,Kit_BOM!$E$2:$E$300,$A31,Kit_BOM!$A$2:$A$300,$A$7,Kit_BOM!$G$2:$G$300,"DNP")*$C$7,0)+SUMIFS(Kit_BOM!$F$2:$F$300,Kit_BOM!$E$2:$E$300,$A31,Kit_BOM!$A$2:$A$300,$A$8,Kit_BOM!$G$2:$G$300,"Bestücken")*$C$8+SUMIFS(Kit_BOM!$F$2:$F$300,Kit_BOM!$E$2:$E$300,$A31,Kit_BOM!$A$2:$A$300,$A$8,Kit_BOM!$G$2:$G$300,"Mechanical")*$C$8+IF($F$5="Ja",SUMIFS(Kit_BOM!$F$2:$F$300,Kit_BOM!$E$2:$E$300,$A31,Kit_BOM!$A$2:$A$300,$A$8,Kit_BOM!$G$2:$G$300,"Optional")*$C$8,0)+IF($F$6="Ja",SUMIFS(Kit_BOM!$F$2:$F$300,Kit_BOM!$E$2:$E$300,$A31,Kit_BOM!$A$2:$A$300,$A$8,Kit_BOM!$G$2:$G$300,"DNP")*$C$8,0)+SUMIFS(Kit_BOM!$F$2:$F$300,Kit_BOM!$E$2:$E$300,$A31,Kit_BOM!$A$2:$A$300,$A$9,Kit_BOM!$G$2:$G$300,"Bestücken")*$C$9+SUMIFS(Kit_BOM!$F$2:$F$300,Kit_BOM!$E$2:$E$300,$A31,Kit_BOM!$A$2:$A$300,$A$9,Kit_BOM!$G$2:$G$300,"Mechanical")*$C$9+IF($F$5="Ja",SUMIFS(Kit_BOM!$F$2:$F$300,Kit_BOM!$E$2:$E$300,$A31,Kit_BOM!$A$2:$A$300,$A$9,Kit_BOM!$G$2:$G$300,"Optional")*$C$9,0)+IF($F$6="Ja",SUMIFS(Kit_BOM!$F$2:$F$300,Kit_BOM!$E$2:$E$300,$A31,Kit_BOM!$A$2:$A$300,$A$9,Kit_BOM!$G$2:$G$300,"DNP")*$C$9,0)+SUMIFS(Kit_BOM!$F$2:$F$300,Kit_BOM!$E$2:$E$300,$A31,Kit_BOM!$A$2:$A$300,$A$10,Kit_BOM!$G$2:$G$300,"Bestücken")*$C$10+SUMIFS(Kit_BOM!$F$2:$F$300,Kit_BOM!$E$2:$E$300,$A31,Kit_BOM!$A$2:$A$300,$A$10,Kit_BOM!$G$2:$G$300,"Mechanical")*$C$10+IF($F$5="Ja",SUMIFS(Kit_BOM!$F$2:$F$300,Kit_BOM!$E$2:$E$300,$A31,Kit_BOM!$A$2:$A$300,$A$10,Kit_BOM!$G$2:$G$300,"Optional")*$C$10,0)+IF($F$6="Ja",SUMIFS(Kit_BOM!$F$2:$F$300,Kit_BOM!$E$2:$E$300,$A31,Kit_BOM!$A$2:$A$300,$A$10,Kit_BOM!$G$2:$G$300,"DNP")*$C$10,0)+SUMIFS(Kit_BOM!$F$2:$F$300,Kit_BOM!$E$2:$E$300,$A31,Kit_BOM!$A$2:$A$300,$A$11,Kit_BOM!$G$2:$G$300,"Bestücken")*$C$11+SUMIFS(Kit_BOM!$F$2:$F$300,Kit_BOM!$E$2:$E$300,$A31,Kit_BOM!$A$2:$A$300,$A$11,Kit_BOM!$G$2:$G$300,"Mechanical")*$C$11+IF($F$5="Ja",SUMIFS(Kit_BOM!$F$2:$F$300,Kit_BOM!$E$2:$E$300,$A31,Kit_BOM!$A$2:$A$300,$A$11,Kit_BOM!$G$2:$G$300,"Optional")*$C$11,0)+IF($F$6="Ja",SUMIFS(Kit_BOM!$F$2:$F$300,Kit_BOM!$E$2:$E$300,$A31,Kit_BOM!$A$2:$A$300,$A$11,Kit_BOM!$G$2:$G$300,"DNP")*$C$11,0)+SUMIFS(Kit_BOM!$F$2:$F$300,Kit_BOM!$E$2:$E$300,$A31,Kit_BOM!$A$2:$A$300,$A$12,Kit_BOM!$G$2:$G$300,"Bestücken")*$C$12+SUMIFS(Kit_BOM!$F$2:$F$300,Kit_BOM!$E$2:$E$300,$A31,Kit_BOM!$A$2:$A$300,$A$12,Kit_BOM!$G$2:$G$300,"Mechanical")*$C$12+IF($F$5="Ja",SUMIFS(Kit_BOM!$F$2:$F$300,Kit_BOM!$E$2:$E$300,$A31,Kit_BOM!$A$2:$A$300,$A$12,Kit_BOM!$G$2:$G$300,"Optional")*$C$12,0)+IF($F$6="Ja",SUMIFS(Kit_BOM!$F$2:$F$300,Kit_BOM!$E$2:$E$300,$A31,Kit_BOM!$A$2:$A$300,$A$12,Kit_BOM!$G$2:$G$300,"DNP")*$C$12,0)+SUMIFS(Kit_BOM!$F$2:$F$300,Kit_BOM!$E$2:$E$300,$A31,Kit_BOM!$A$2:$A$300,$H$5,Kit_BOM!$G$2:$G$300,"Bestücken")*$J$5+SUMIFS(Kit_BOM!$F$2:$F$300,Kit_BOM!$E$2:$E$300,$A31,Kit_BOM!$A$2:$A$300,$H$5,Kit_BOM!$G$2:$G$300,"Mechanical")*$J$5+IF($F$5="Ja",SUMIFS(Kit_BOM!$F$2:$F$300,Kit_BOM!$E$2:$E$300,$A31,Kit_BOM!$A$2:$A$300,$H$5,Kit_BOM!$G$2:$G$300,"Optional")*$J$5,0)+IF($F$6="Ja",SUMIFS(Kit_BOM!$F$2:$F$300,Kit_BOM!$E$2:$E$300,$A31,Kit_BOM!$A$2:$A$300,$H$5,Kit_BOM!$G$2:$G$300,"DNP")*$J$5,0)+SUMIFS(Kit_BOM!$F$2:$F$300,Kit_BOM!$E$2:$E$300,$A31,Kit_BOM!$A$2:$A$300,$H$6,Kit_BOM!$G$2:$G$300,"Bestücken")*$J$6+SUMIFS(Kit_BOM!$F$2:$F$300,Kit_BOM!$E$2:$E$300,$A31,Kit_BOM!$A$2:$A$300,$H$6,Kit_BOM!$G$2:$G$300,"Mechanical")*$J$6+IF($F$5="Ja",SUMIFS(Kit_BOM!$F$2:$F$300,Kit_BOM!$E$2:$E$300,$A31,Kit_BOM!$A$2:$A$300,$H$6,Kit_BOM!$G$2:$G$300,"Optional")*$J$6,0)+IF($F$6="Ja",SUMIFS(Kit_BOM!$F$2:$F$300,Kit_BOM!$E$2:$E$300,$A31,Kit_BOM!$A$2:$A$300,$H$6,Kit_BOM!$G$2:$G$300,"DNP")*$J$6,0)</f>
        <v>2</v>
      </c>
      <c r="F31">
        <f>IFERROR(IF(_xlfn.XLOOKUP($A31&amp;"|Ja",Part_Suppliers!$L$2:$L$300,Part_Suppliers!$G$2:$G$300,"",0)=0,"",_xlfn.XLOOKUP($A31&amp;"|Ja",Part_Suppliers!$L$2:$L$300,Part_Suppliers!$G$2:$G$300,"",0)),"")</f>
        <v>1</v>
      </c>
      <c r="G31">
        <f t="shared" si="6"/>
        <v>2</v>
      </c>
      <c r="H31">
        <f>IFERROR(IF(_xlfn.XLOOKUP($A31&amp;"|Ja",Part_Suppliers!$L$2:$L$300,Part_Suppliers!$E$2:$E$300,"",0)=0,"",_xlfn.XLOOKUP($A31&amp;"|Ja",Part_Suppliers!$L$2:$L$300,Part_Suppliers!$E$2:$E$300,"",0)),"")</f>
        <v>1.25</v>
      </c>
      <c r="I31">
        <f t="shared" si="7"/>
        <v>2.5</v>
      </c>
      <c r="J31" t="str">
        <f t="shared" si="8"/>
        <v>Bestellvorschlag prüfen</v>
      </c>
      <c r="K31" t="str">
        <f>IFERROR(IF(_xlfn.XLOOKUP($A31&amp;"|Ja",Part_Suppliers!$L$2:$L$300,Part_Suppliers!$D$2:$D$300,"",0)=0,"",_xlfn.XLOOKUP($A31&amp;"|Ja",Part_Suppliers!$L$2:$L$300,Part_Suppliers!$D$2:$D$300,"",0)),"")</f>
        <v>https://www.digikey.de/de/products/detail/texas-instruments/TMP100NA-3K/1670027</v>
      </c>
      <c r="L31">
        <f>IFERROR(VLOOKUP($A31,Stock!$A$5:$K$200,10,FALSE()),0)</f>
        <v>0</v>
      </c>
      <c r="M31">
        <f>IFERROR(VLOOKUP($A31,Stock!$A$5:$K$200,11,FALSE()),0)</f>
        <v>0</v>
      </c>
      <c r="N31">
        <f t="shared" si="9"/>
        <v>-2</v>
      </c>
      <c r="O31">
        <f t="shared" si="10"/>
        <v>2</v>
      </c>
      <c r="P31">
        <v>0</v>
      </c>
      <c r="Q31">
        <f t="shared" si="11"/>
        <v>0</v>
      </c>
      <c r="R31">
        <f>SUMIFS(Part_Alternatives!$H$2:$H$200,Part_Alternatives!$A$2:$A$200,$A31,Part_Alternatives!$E$2:$E$200,"Ja")</f>
        <v>0</v>
      </c>
      <c r="S31">
        <f>SUMIFS(Part_Alternatives!$I$2:$I$200,Part_Alternatives!$A$2:$A$200,$A31,Part_Alternatives!$E$2:$E$200,"Ja")</f>
        <v>0</v>
      </c>
      <c r="T31" t="str">
        <f>IFERROR(VLOOKUP($A31,Part_Alternatives!$A$2:$K$200,10,FALSE()),"")</f>
        <v/>
      </c>
    </row>
    <row r="32" spans="1:20" ht="14" hidden="1" customHeight="1" x14ac:dyDescent="0.2">
      <c r="A32" s="26" t="s">
        <v>114</v>
      </c>
      <c r="B32" s="45" t="str">
        <f>IFERROR(VLOOKUP($A32,Parts!$A$2:$M$191,3,FALSE()),"")</f>
        <v>Steck-Printrelais, 1 CO, 6 A, 5 V DC sensitiv</v>
      </c>
      <c r="C32" s="26" t="str">
        <f>IFERROR(IF(_xlfn.XLOOKUP($A32&amp;"|Ja",Part_Suppliers!$L$2:$L$300,Part_Suppliers!$B$2:$B$300,"",0)=0,"",_xlfn.XLOOKUP($A32&amp;"|Ja",Part_Suppliers!$L$2:$L$300,Part_Suppliers!$B$2:$B$300,"",0)),"")</f>
        <v>Reichelt</v>
      </c>
      <c r="D32" s="26" t="str">
        <f>IFERROR(IF(_xlfn.XLOOKUP($A32&amp;"|Ja",Part_Suppliers!$L$2:$L$300,Part_Suppliers!$C$2:$C$300,"",0)=0,"",_xlfn.XLOOKUP($A32&amp;"|Ja",Part_Suppliers!$L$2:$L$300,Part_Suppliers!$C$2:$C$300,"",0)),"")</f>
        <v>FIN 34.51.7 5V</v>
      </c>
      <c r="E32" s="27">
        <f>SUMIFS(Kit_BOM!$F$2:$F$300,Kit_BOM!$E$2:$E$300,$A32,Kit_BOM!$A$2:$A$300,$A$5,Kit_BOM!$G$2:$G$300,"Bestücken")*$C$5+SUMIFS(Kit_BOM!$F$2:$F$300,Kit_BOM!$E$2:$E$300,$A32,Kit_BOM!$A$2:$A$300,$A$5,Kit_BOM!$G$2:$G$300,"Mechanical")*$C$5+IF($F$5="Ja",SUMIFS(Kit_BOM!$F$2:$F$300,Kit_BOM!$E$2:$E$300,$A32,Kit_BOM!$A$2:$A$300,$A$5,Kit_BOM!$G$2:$G$300,"Optional")*$C$5,0)+IF($F$6="Ja",SUMIFS(Kit_BOM!$F$2:$F$300,Kit_BOM!$E$2:$E$300,$A32,Kit_BOM!$A$2:$A$300,$A$5,Kit_BOM!$G$2:$G$300,"DNP")*$C$5,0)+SUMIFS(Kit_BOM!$F$2:$F$300,Kit_BOM!$E$2:$E$300,$A32,Kit_BOM!$A$2:$A$300,$A$6,Kit_BOM!$G$2:$G$300,"Bestücken")*$C$6+SUMIFS(Kit_BOM!$F$2:$F$300,Kit_BOM!$E$2:$E$300,$A32,Kit_BOM!$A$2:$A$300,$A$6,Kit_BOM!$G$2:$G$300,"Mechanical")*$C$6+IF($F$5="Ja",SUMIFS(Kit_BOM!$F$2:$F$300,Kit_BOM!$E$2:$E$300,$A32,Kit_BOM!$A$2:$A$300,$A$6,Kit_BOM!$G$2:$G$300,"Optional")*$C$6,0)+IF($F$6="Ja",SUMIFS(Kit_BOM!$F$2:$F$300,Kit_BOM!$E$2:$E$300,$A32,Kit_BOM!$A$2:$A$300,$A$6,Kit_BOM!$G$2:$G$300,"DNP")*$C$6,0)+SUMIFS(Kit_BOM!$F$2:$F$300,Kit_BOM!$E$2:$E$300,$A32,Kit_BOM!$A$2:$A$300,$A$7,Kit_BOM!$G$2:$G$300,"Bestücken")*$C$7+SUMIFS(Kit_BOM!$F$2:$F$300,Kit_BOM!$E$2:$E$300,$A32,Kit_BOM!$A$2:$A$300,$A$7,Kit_BOM!$G$2:$G$300,"Mechanical")*$C$7+IF($F$5="Ja",SUMIFS(Kit_BOM!$F$2:$F$300,Kit_BOM!$E$2:$E$300,$A32,Kit_BOM!$A$2:$A$300,$A$7,Kit_BOM!$G$2:$G$300,"Optional")*$C$7,0)+IF($F$6="Ja",SUMIFS(Kit_BOM!$F$2:$F$300,Kit_BOM!$E$2:$E$300,$A32,Kit_BOM!$A$2:$A$300,$A$7,Kit_BOM!$G$2:$G$300,"DNP")*$C$7,0)+SUMIFS(Kit_BOM!$F$2:$F$300,Kit_BOM!$E$2:$E$300,$A32,Kit_BOM!$A$2:$A$300,$A$8,Kit_BOM!$G$2:$G$300,"Bestücken")*$C$8+SUMIFS(Kit_BOM!$F$2:$F$300,Kit_BOM!$E$2:$E$300,$A32,Kit_BOM!$A$2:$A$300,$A$8,Kit_BOM!$G$2:$G$300,"Mechanical")*$C$8+IF($F$5="Ja",SUMIFS(Kit_BOM!$F$2:$F$300,Kit_BOM!$E$2:$E$300,$A32,Kit_BOM!$A$2:$A$300,$A$8,Kit_BOM!$G$2:$G$300,"Optional")*$C$8,0)+IF($F$6="Ja",SUMIFS(Kit_BOM!$F$2:$F$300,Kit_BOM!$E$2:$E$300,$A32,Kit_BOM!$A$2:$A$300,$A$8,Kit_BOM!$G$2:$G$300,"DNP")*$C$8,0)+SUMIFS(Kit_BOM!$F$2:$F$300,Kit_BOM!$E$2:$E$300,$A32,Kit_BOM!$A$2:$A$300,$A$9,Kit_BOM!$G$2:$G$300,"Bestücken")*$C$9+SUMIFS(Kit_BOM!$F$2:$F$300,Kit_BOM!$E$2:$E$300,$A32,Kit_BOM!$A$2:$A$300,$A$9,Kit_BOM!$G$2:$G$300,"Mechanical")*$C$9+IF($F$5="Ja",SUMIFS(Kit_BOM!$F$2:$F$300,Kit_BOM!$E$2:$E$300,$A32,Kit_BOM!$A$2:$A$300,$A$9,Kit_BOM!$G$2:$G$300,"Optional")*$C$9,0)+IF($F$6="Ja",SUMIFS(Kit_BOM!$F$2:$F$300,Kit_BOM!$E$2:$E$300,$A32,Kit_BOM!$A$2:$A$300,$A$9,Kit_BOM!$G$2:$G$300,"DNP")*$C$9,0)+SUMIFS(Kit_BOM!$F$2:$F$300,Kit_BOM!$E$2:$E$300,$A32,Kit_BOM!$A$2:$A$300,$A$10,Kit_BOM!$G$2:$G$300,"Bestücken")*$C$10+SUMIFS(Kit_BOM!$F$2:$F$300,Kit_BOM!$E$2:$E$300,$A32,Kit_BOM!$A$2:$A$300,$A$10,Kit_BOM!$G$2:$G$300,"Mechanical")*$C$10+IF($F$5="Ja",SUMIFS(Kit_BOM!$F$2:$F$300,Kit_BOM!$E$2:$E$300,$A32,Kit_BOM!$A$2:$A$300,$A$10,Kit_BOM!$G$2:$G$300,"Optional")*$C$10,0)+IF($F$6="Ja",SUMIFS(Kit_BOM!$F$2:$F$300,Kit_BOM!$E$2:$E$300,$A32,Kit_BOM!$A$2:$A$300,$A$10,Kit_BOM!$G$2:$G$300,"DNP")*$C$10,0)+SUMIFS(Kit_BOM!$F$2:$F$300,Kit_BOM!$E$2:$E$300,$A32,Kit_BOM!$A$2:$A$300,$A$11,Kit_BOM!$G$2:$G$300,"Bestücken")*$C$11+SUMIFS(Kit_BOM!$F$2:$F$300,Kit_BOM!$E$2:$E$300,$A32,Kit_BOM!$A$2:$A$300,$A$11,Kit_BOM!$G$2:$G$300,"Mechanical")*$C$11+IF($F$5="Ja",SUMIFS(Kit_BOM!$F$2:$F$300,Kit_BOM!$E$2:$E$300,$A32,Kit_BOM!$A$2:$A$300,$A$11,Kit_BOM!$G$2:$G$300,"Optional")*$C$11,0)+IF($F$6="Ja",SUMIFS(Kit_BOM!$F$2:$F$300,Kit_BOM!$E$2:$E$300,$A32,Kit_BOM!$A$2:$A$300,$A$11,Kit_BOM!$G$2:$G$300,"DNP")*$C$11,0)+SUMIFS(Kit_BOM!$F$2:$F$300,Kit_BOM!$E$2:$E$300,$A32,Kit_BOM!$A$2:$A$300,$A$12,Kit_BOM!$G$2:$G$300,"Bestücken")*$C$12+SUMIFS(Kit_BOM!$F$2:$F$300,Kit_BOM!$E$2:$E$300,$A32,Kit_BOM!$A$2:$A$300,$A$12,Kit_BOM!$G$2:$G$300,"Mechanical")*$C$12+IF($F$5="Ja",SUMIFS(Kit_BOM!$F$2:$F$300,Kit_BOM!$E$2:$E$300,$A32,Kit_BOM!$A$2:$A$300,$A$12,Kit_BOM!$G$2:$G$300,"Optional")*$C$12,0)+IF($F$6="Ja",SUMIFS(Kit_BOM!$F$2:$F$300,Kit_BOM!$E$2:$E$300,$A32,Kit_BOM!$A$2:$A$300,$A$12,Kit_BOM!$G$2:$G$300,"DNP")*$C$12,0)+SUMIFS(Kit_BOM!$F$2:$F$300,Kit_BOM!$E$2:$E$300,$A32,Kit_BOM!$A$2:$A$300,$H$5,Kit_BOM!$G$2:$G$300,"Bestücken")*$J$5+SUMIFS(Kit_BOM!$F$2:$F$300,Kit_BOM!$E$2:$E$300,$A32,Kit_BOM!$A$2:$A$300,$H$5,Kit_BOM!$G$2:$G$300,"Mechanical")*$J$5+IF($F$5="Ja",SUMIFS(Kit_BOM!$F$2:$F$300,Kit_BOM!$E$2:$E$300,$A32,Kit_BOM!$A$2:$A$300,$H$5,Kit_BOM!$G$2:$G$300,"Optional")*$J$5,0)+IF($F$6="Ja",SUMIFS(Kit_BOM!$F$2:$F$300,Kit_BOM!$E$2:$E$300,$A32,Kit_BOM!$A$2:$A$300,$H$5,Kit_BOM!$G$2:$G$300,"DNP")*$J$5,0)+SUMIFS(Kit_BOM!$F$2:$F$300,Kit_BOM!$E$2:$E$300,$A32,Kit_BOM!$A$2:$A$300,$H$6,Kit_BOM!$G$2:$G$300,"Bestücken")*$J$6+SUMIFS(Kit_BOM!$F$2:$F$300,Kit_BOM!$E$2:$E$300,$A32,Kit_BOM!$A$2:$A$300,$H$6,Kit_BOM!$G$2:$G$300,"Mechanical")*$J$6+IF($F$5="Ja",SUMIFS(Kit_BOM!$F$2:$F$300,Kit_BOM!$E$2:$E$300,$A32,Kit_BOM!$A$2:$A$300,$H$6,Kit_BOM!$G$2:$G$300,"Optional")*$J$6,0)+IF($F$6="Ja",SUMIFS(Kit_BOM!$F$2:$F$300,Kit_BOM!$E$2:$E$300,$A32,Kit_BOM!$A$2:$A$300,$H$6,Kit_BOM!$G$2:$G$300,"DNP")*$J$6,0)</f>
        <v>0</v>
      </c>
      <c r="F32" s="27" t="str">
        <f>IFERROR(IF(_xlfn.XLOOKUP($A32&amp;"|Ja",Part_Suppliers!$L$2:$L$300,Part_Suppliers!$G$2:$G$300,"",0)=0,"",_xlfn.XLOOKUP($A32&amp;"|Ja",Part_Suppliers!$L$2:$L$300,Part_Suppliers!$G$2:$G$300,"",0)),"")</f>
        <v/>
      </c>
      <c r="G32" s="27">
        <f t="shared" si="6"/>
        <v>0</v>
      </c>
      <c r="H32" s="46">
        <f>IFERROR(IF(_xlfn.XLOOKUP($A32&amp;"|Ja",Part_Suppliers!$L$2:$L$300,Part_Suppliers!$E$2:$E$300,"",0)=0,"",_xlfn.XLOOKUP($A32&amp;"|Ja",Part_Suppliers!$L$2:$L$300,Part_Suppliers!$E$2:$E$300,"",0)),"")</f>
        <v>5.8</v>
      </c>
      <c r="I32" s="46">
        <f t="shared" si="7"/>
        <v>0</v>
      </c>
      <c r="J32" t="str">
        <f t="shared" si="8"/>
        <v>Nicht benötigt</v>
      </c>
      <c r="K32" s="26" t="str">
        <f>IFERROR(IF(_xlfn.XLOOKUP($A32&amp;"|Ja",Part_Suppliers!$L$2:$L$300,Part_Suppliers!$D$2:$D$300,"",0)=0,"",_xlfn.XLOOKUP($A32&amp;"|Ja",Part_Suppliers!$L$2:$L$300,Part_Suppliers!$D$2:$D$300,"",0)),"")</f>
        <v>https://www.reichelt.de/de/de/shop/produkt/steck-printrelais_1_co_6_a_5_v_dc_sensitiv-259179?PROVID=2788&amp;gad_source=1&amp;gad_campaignid=21154720511&amp;gbraid=0AAAAADwnxtb50MtqKwtKae8MAeGQARqWX&amp;gclid=CjwKCAjw7p_UBhBlEiwAhpIs72D6cK8XQyuxcrvb0uftoYY3618BT3lTyYSWWSou1J99G9udBcpsbhoCJbcQAvD_BwE</v>
      </c>
      <c r="L32" s="47">
        <f>IFERROR(VLOOKUP($A32,Stock!$A$5:$K$200,10,FALSE()),0)</f>
        <v>2</v>
      </c>
      <c r="M32" s="47">
        <f>IFERROR(VLOOKUP($A32,Stock!$A$5:$K$200,11,FALSE()),0)</f>
        <v>0</v>
      </c>
      <c r="N32" s="47">
        <f t="shared" si="9"/>
        <v>2</v>
      </c>
      <c r="O32" s="47">
        <f t="shared" si="10"/>
        <v>0</v>
      </c>
      <c r="P32" s="48">
        <v>0</v>
      </c>
      <c r="Q32" s="49">
        <f t="shared" si="11"/>
        <v>0</v>
      </c>
      <c r="R32" s="82">
        <f>SUMIFS(Part_Alternatives!$H$2:$H$200,Part_Alternatives!$A$2:$A$200,$A32,Part_Alternatives!$E$2:$E$200,"Ja")</f>
        <v>0</v>
      </c>
      <c r="S32" s="82">
        <f>SUMIFS(Part_Alternatives!$I$2:$I$200,Part_Alternatives!$A$2:$A$200,$A32,Part_Alternatives!$E$2:$E$200,"Ja")</f>
        <v>0</v>
      </c>
      <c r="T32" s="80" t="str">
        <f>IFERROR(VLOOKUP($A32,Part_Alternatives!$A$2:$K$200,10,FALSE()),"")</f>
        <v/>
      </c>
    </row>
    <row r="33" spans="1:20" ht="26.25" hidden="1" customHeight="1" x14ac:dyDescent="0.2">
      <c r="A33" s="26" t="s">
        <v>195</v>
      </c>
      <c r="B33" s="45" t="str">
        <f>IFERROR(VLOOKUP($A33,Parts!$A$2:$M$191,3,FALSE()),"")</f>
        <v>I²C-EEPROM 32 Kbit, SOIC-8</v>
      </c>
      <c r="C33" s="26" t="str">
        <f>IFERROR(IF(_xlfn.XLOOKUP($A33&amp;"|Ja",Part_Suppliers!$L$2:$L$300,Part_Suppliers!$B$2:$B$300,"",0)=0,"",_xlfn.XLOOKUP($A33&amp;"|Ja",Part_Suppliers!$L$2:$L$300,Part_Suppliers!$B$2:$B$300,"",0)),"")</f>
        <v>Reichelt</v>
      </c>
      <c r="D33" s="26" t="str">
        <f>IFERROR(IF(_xlfn.XLOOKUP($A33&amp;"|Ja",Part_Suppliers!$L$2:$L$300,Part_Suppliers!$C$2:$C$300,"",0)=0,"",_xlfn.XLOOKUP($A33&amp;"|Ja",Part_Suppliers!$L$2:$L$300,Part_Suppliers!$C$2:$C$300,"",0)),"")</f>
        <v>24LC32A-I/SN</v>
      </c>
      <c r="E33" s="27">
        <f>SUMIFS(Kit_BOM!$F$2:$F$300,Kit_BOM!$E$2:$E$300,$A33,Kit_BOM!$A$2:$A$300,$A$5,Kit_BOM!$G$2:$G$300,"Bestücken")*$C$5+SUMIFS(Kit_BOM!$F$2:$F$300,Kit_BOM!$E$2:$E$300,$A33,Kit_BOM!$A$2:$A$300,$A$5,Kit_BOM!$G$2:$G$300,"Mechanical")*$C$5+IF($F$5="Ja",SUMIFS(Kit_BOM!$F$2:$F$300,Kit_BOM!$E$2:$E$300,$A33,Kit_BOM!$A$2:$A$300,$A$5,Kit_BOM!$G$2:$G$300,"Optional")*$C$5,0)+IF($F$6="Ja",SUMIFS(Kit_BOM!$F$2:$F$300,Kit_BOM!$E$2:$E$300,$A33,Kit_BOM!$A$2:$A$300,$A$5,Kit_BOM!$G$2:$G$300,"DNP")*$C$5,0)+SUMIFS(Kit_BOM!$F$2:$F$300,Kit_BOM!$E$2:$E$300,$A33,Kit_BOM!$A$2:$A$300,$A$6,Kit_BOM!$G$2:$G$300,"Bestücken")*$C$6+SUMIFS(Kit_BOM!$F$2:$F$300,Kit_BOM!$E$2:$E$300,$A33,Kit_BOM!$A$2:$A$300,$A$6,Kit_BOM!$G$2:$G$300,"Mechanical")*$C$6+IF($F$5="Ja",SUMIFS(Kit_BOM!$F$2:$F$300,Kit_BOM!$E$2:$E$300,$A33,Kit_BOM!$A$2:$A$300,$A$6,Kit_BOM!$G$2:$G$300,"Optional")*$C$6,0)+IF($F$6="Ja",SUMIFS(Kit_BOM!$F$2:$F$300,Kit_BOM!$E$2:$E$300,$A33,Kit_BOM!$A$2:$A$300,$A$6,Kit_BOM!$G$2:$G$300,"DNP")*$C$6,0)+SUMIFS(Kit_BOM!$F$2:$F$300,Kit_BOM!$E$2:$E$300,$A33,Kit_BOM!$A$2:$A$300,$A$7,Kit_BOM!$G$2:$G$300,"Bestücken")*$C$7+SUMIFS(Kit_BOM!$F$2:$F$300,Kit_BOM!$E$2:$E$300,$A33,Kit_BOM!$A$2:$A$300,$A$7,Kit_BOM!$G$2:$G$300,"Mechanical")*$C$7+IF($F$5="Ja",SUMIFS(Kit_BOM!$F$2:$F$300,Kit_BOM!$E$2:$E$300,$A33,Kit_BOM!$A$2:$A$300,$A$7,Kit_BOM!$G$2:$G$300,"Optional")*$C$7,0)+IF($F$6="Ja",SUMIFS(Kit_BOM!$F$2:$F$300,Kit_BOM!$E$2:$E$300,$A33,Kit_BOM!$A$2:$A$300,$A$7,Kit_BOM!$G$2:$G$300,"DNP")*$C$7,0)+SUMIFS(Kit_BOM!$F$2:$F$300,Kit_BOM!$E$2:$E$300,$A33,Kit_BOM!$A$2:$A$300,$A$8,Kit_BOM!$G$2:$G$300,"Bestücken")*$C$8+SUMIFS(Kit_BOM!$F$2:$F$300,Kit_BOM!$E$2:$E$300,$A33,Kit_BOM!$A$2:$A$300,$A$8,Kit_BOM!$G$2:$G$300,"Mechanical")*$C$8+IF($F$5="Ja",SUMIFS(Kit_BOM!$F$2:$F$300,Kit_BOM!$E$2:$E$300,$A33,Kit_BOM!$A$2:$A$300,$A$8,Kit_BOM!$G$2:$G$300,"Optional")*$C$8,0)+IF($F$6="Ja",SUMIFS(Kit_BOM!$F$2:$F$300,Kit_BOM!$E$2:$E$300,$A33,Kit_BOM!$A$2:$A$300,$A$8,Kit_BOM!$G$2:$G$300,"DNP")*$C$8,0)+SUMIFS(Kit_BOM!$F$2:$F$300,Kit_BOM!$E$2:$E$300,$A33,Kit_BOM!$A$2:$A$300,$A$9,Kit_BOM!$G$2:$G$300,"Bestücken")*$C$9+SUMIFS(Kit_BOM!$F$2:$F$300,Kit_BOM!$E$2:$E$300,$A33,Kit_BOM!$A$2:$A$300,$A$9,Kit_BOM!$G$2:$G$300,"Mechanical")*$C$9+IF($F$5="Ja",SUMIFS(Kit_BOM!$F$2:$F$300,Kit_BOM!$E$2:$E$300,$A33,Kit_BOM!$A$2:$A$300,$A$9,Kit_BOM!$G$2:$G$300,"Optional")*$C$9,0)+IF($F$6="Ja",SUMIFS(Kit_BOM!$F$2:$F$300,Kit_BOM!$E$2:$E$300,$A33,Kit_BOM!$A$2:$A$300,$A$9,Kit_BOM!$G$2:$G$300,"DNP")*$C$9,0)+SUMIFS(Kit_BOM!$F$2:$F$300,Kit_BOM!$E$2:$E$300,$A33,Kit_BOM!$A$2:$A$300,$A$10,Kit_BOM!$G$2:$G$300,"Bestücken")*$C$10+SUMIFS(Kit_BOM!$F$2:$F$300,Kit_BOM!$E$2:$E$300,$A33,Kit_BOM!$A$2:$A$300,$A$10,Kit_BOM!$G$2:$G$300,"Mechanical")*$C$10+IF($F$5="Ja",SUMIFS(Kit_BOM!$F$2:$F$300,Kit_BOM!$E$2:$E$300,$A33,Kit_BOM!$A$2:$A$300,$A$10,Kit_BOM!$G$2:$G$300,"Optional")*$C$10,0)+IF($F$6="Ja",SUMIFS(Kit_BOM!$F$2:$F$300,Kit_BOM!$E$2:$E$300,$A33,Kit_BOM!$A$2:$A$300,$A$10,Kit_BOM!$G$2:$G$300,"DNP")*$C$10,0)+SUMIFS(Kit_BOM!$F$2:$F$300,Kit_BOM!$E$2:$E$300,$A33,Kit_BOM!$A$2:$A$300,$A$11,Kit_BOM!$G$2:$G$300,"Bestücken")*$C$11+SUMIFS(Kit_BOM!$F$2:$F$300,Kit_BOM!$E$2:$E$300,$A33,Kit_BOM!$A$2:$A$300,$A$11,Kit_BOM!$G$2:$G$300,"Mechanical")*$C$11+IF($F$5="Ja",SUMIFS(Kit_BOM!$F$2:$F$300,Kit_BOM!$E$2:$E$300,$A33,Kit_BOM!$A$2:$A$300,$A$11,Kit_BOM!$G$2:$G$300,"Optional")*$C$11,0)+IF($F$6="Ja",SUMIFS(Kit_BOM!$F$2:$F$300,Kit_BOM!$E$2:$E$300,$A33,Kit_BOM!$A$2:$A$300,$A$11,Kit_BOM!$G$2:$G$300,"DNP")*$C$11,0)+SUMIFS(Kit_BOM!$F$2:$F$300,Kit_BOM!$E$2:$E$300,$A33,Kit_BOM!$A$2:$A$300,$A$12,Kit_BOM!$G$2:$G$300,"Bestücken")*$C$12+SUMIFS(Kit_BOM!$F$2:$F$300,Kit_BOM!$E$2:$E$300,$A33,Kit_BOM!$A$2:$A$300,$A$12,Kit_BOM!$G$2:$G$300,"Mechanical")*$C$12+IF($F$5="Ja",SUMIFS(Kit_BOM!$F$2:$F$300,Kit_BOM!$E$2:$E$300,$A33,Kit_BOM!$A$2:$A$300,$A$12,Kit_BOM!$G$2:$G$300,"Optional")*$C$12,0)+IF($F$6="Ja",SUMIFS(Kit_BOM!$F$2:$F$300,Kit_BOM!$E$2:$E$300,$A33,Kit_BOM!$A$2:$A$300,$A$12,Kit_BOM!$G$2:$G$300,"DNP")*$C$12,0)+SUMIFS(Kit_BOM!$F$2:$F$300,Kit_BOM!$E$2:$E$300,$A33,Kit_BOM!$A$2:$A$300,$H$5,Kit_BOM!$G$2:$G$300,"Bestücken")*$J$5+SUMIFS(Kit_BOM!$F$2:$F$300,Kit_BOM!$E$2:$E$300,$A33,Kit_BOM!$A$2:$A$300,$H$5,Kit_BOM!$G$2:$G$300,"Mechanical")*$J$5+IF($F$5="Ja",SUMIFS(Kit_BOM!$F$2:$F$300,Kit_BOM!$E$2:$E$300,$A33,Kit_BOM!$A$2:$A$300,$H$5,Kit_BOM!$G$2:$G$300,"Optional")*$J$5,0)+IF($F$6="Ja",SUMIFS(Kit_BOM!$F$2:$F$300,Kit_BOM!$E$2:$E$300,$A33,Kit_BOM!$A$2:$A$300,$H$5,Kit_BOM!$G$2:$G$300,"DNP")*$J$5,0)+SUMIFS(Kit_BOM!$F$2:$F$300,Kit_BOM!$E$2:$E$300,$A33,Kit_BOM!$A$2:$A$300,$H$6,Kit_BOM!$G$2:$G$300,"Bestücken")*$J$6+SUMIFS(Kit_BOM!$F$2:$F$300,Kit_BOM!$E$2:$E$300,$A33,Kit_BOM!$A$2:$A$300,$H$6,Kit_BOM!$G$2:$G$300,"Mechanical")*$J$6+IF($F$5="Ja",SUMIFS(Kit_BOM!$F$2:$F$300,Kit_BOM!$E$2:$E$300,$A33,Kit_BOM!$A$2:$A$300,$H$6,Kit_BOM!$G$2:$G$300,"Optional")*$J$6,0)+IF($F$6="Ja",SUMIFS(Kit_BOM!$F$2:$F$300,Kit_BOM!$E$2:$E$300,$A33,Kit_BOM!$A$2:$A$300,$H$6,Kit_BOM!$G$2:$G$300,"DNP")*$J$6,0)</f>
        <v>4</v>
      </c>
      <c r="F33" s="27" t="str">
        <f>IFERROR(IF(_xlfn.XLOOKUP($A33&amp;"|Ja",Part_Suppliers!$L$2:$L$300,Part_Suppliers!$G$2:$G$300,"",0)=0,"",_xlfn.XLOOKUP($A33&amp;"|Ja",Part_Suppliers!$L$2:$L$300,Part_Suppliers!$G$2:$G$300,"",0)),"")</f>
        <v/>
      </c>
      <c r="G33" s="27">
        <f t="shared" si="6"/>
        <v>4</v>
      </c>
      <c r="H33" s="46">
        <f>IFERROR(IF(_xlfn.XLOOKUP($A33&amp;"|Ja",Part_Suppliers!$L$2:$L$300,Part_Suppliers!$E$2:$E$300,"",0)=0,"",_xlfn.XLOOKUP($A33&amp;"|Ja",Part_Suppliers!$L$2:$L$300,Part_Suppliers!$E$2:$E$300,"",0)),"")</f>
        <v>0.39</v>
      </c>
      <c r="I33" s="46">
        <f t="shared" si="7"/>
        <v>1.56</v>
      </c>
      <c r="J33" t="str">
        <f t="shared" si="8"/>
        <v>Gedeckt</v>
      </c>
      <c r="K33" s="26" t="str">
        <f>IFERROR(IF(_xlfn.XLOOKUP($A33&amp;"|Ja",Part_Suppliers!$L$2:$L$300,Part_Suppliers!$D$2:$D$300,"",0)=0,"",_xlfn.XLOOKUP($A33&amp;"|Ja",Part_Suppliers!$L$2:$L$300,Part_Suppliers!$D$2:$D$300,"",0)),"")</f>
        <v>https://www.reichelt.com/de/en/eeprom-serial-32kb-so-8-24lc32a-i-sn-p96551.html</v>
      </c>
      <c r="L33" s="47">
        <f>IFERROR(VLOOKUP($A33,Stock!$A$5:$K$200,10,FALSE()),0)</f>
        <v>6</v>
      </c>
      <c r="M33" s="47">
        <f>IFERROR(VLOOKUP($A33,Stock!$A$5:$K$200,11,FALSE()),0)</f>
        <v>0</v>
      </c>
      <c r="N33" s="47">
        <f t="shared" si="9"/>
        <v>2</v>
      </c>
      <c r="O33" s="47">
        <f t="shared" si="10"/>
        <v>0</v>
      </c>
      <c r="P33" s="48">
        <v>0</v>
      </c>
      <c r="Q33" s="49">
        <f t="shared" si="11"/>
        <v>0</v>
      </c>
      <c r="R33" s="82">
        <f>SUMIFS(Part_Alternatives!$H$2:$H$200,Part_Alternatives!$A$2:$A$200,$A33,Part_Alternatives!$E$2:$E$200,"Ja")</f>
        <v>0</v>
      </c>
      <c r="S33" s="82">
        <f>SUMIFS(Part_Alternatives!$I$2:$I$200,Part_Alternatives!$A$2:$A$200,$A33,Part_Alternatives!$E$2:$E$200,"Ja")</f>
        <v>0</v>
      </c>
      <c r="T33" s="80" t="str">
        <f>IFERROR(VLOOKUP($A33,Part_Alternatives!$A$2:$K$200,10,FALSE()),"")</f>
        <v/>
      </c>
    </row>
    <row r="34" spans="1:20" ht="14" hidden="1" customHeight="1" x14ac:dyDescent="0.2">
      <c r="A34" s="26" t="s">
        <v>117</v>
      </c>
      <c r="B34" s="45" t="str">
        <f>IFERROR(VLOOKUP($A34,Parts!$A$2:$M$191,3,FALSE()),"")</f>
        <v>JST-SH Stiftleiste, 4-polig, horizontal</v>
      </c>
      <c r="C34" s="26" t="str">
        <f>IFERROR(IF(_xlfn.XLOOKUP($A34&amp;"|Ja",Part_Suppliers!$L$2:$L$300,Part_Suppliers!$B$2:$B$300,"",0)=0,"",_xlfn.XLOOKUP($A34&amp;"|Ja",Part_Suppliers!$L$2:$L$300,Part_Suppliers!$B$2:$B$300,"",0)),"")</f>
        <v>DigiKey</v>
      </c>
      <c r="D34" s="26" t="str">
        <f>IFERROR(IF(_xlfn.XLOOKUP($A34&amp;"|Ja",Part_Suppliers!$L$2:$L$300,Part_Suppliers!$C$2:$C$300,"",0)=0,"",_xlfn.XLOOKUP($A34&amp;"|Ja",Part_Suppliers!$L$2:$L$300,Part_Suppliers!$C$2:$C$300,"",0)),"")</f>
        <v>455-SM04B-SRSS-TBCT-ND</v>
      </c>
      <c r="E34" s="27">
        <f>SUMIFS(Kit_BOM!$F$2:$F$300,Kit_BOM!$E$2:$E$300,$A34,Kit_BOM!$A$2:$A$300,$A$5,Kit_BOM!$G$2:$G$300,"Bestücken")*$C$5+SUMIFS(Kit_BOM!$F$2:$F$300,Kit_BOM!$E$2:$E$300,$A34,Kit_BOM!$A$2:$A$300,$A$5,Kit_BOM!$G$2:$G$300,"Mechanical")*$C$5+IF($F$5="Ja",SUMIFS(Kit_BOM!$F$2:$F$300,Kit_BOM!$E$2:$E$300,$A34,Kit_BOM!$A$2:$A$300,$A$5,Kit_BOM!$G$2:$G$300,"Optional")*$C$5,0)+IF($F$6="Ja",SUMIFS(Kit_BOM!$F$2:$F$300,Kit_BOM!$E$2:$E$300,$A34,Kit_BOM!$A$2:$A$300,$A$5,Kit_BOM!$G$2:$G$300,"DNP")*$C$5,0)+SUMIFS(Kit_BOM!$F$2:$F$300,Kit_BOM!$E$2:$E$300,$A34,Kit_BOM!$A$2:$A$300,$A$6,Kit_BOM!$G$2:$G$300,"Bestücken")*$C$6+SUMIFS(Kit_BOM!$F$2:$F$300,Kit_BOM!$E$2:$E$300,$A34,Kit_BOM!$A$2:$A$300,$A$6,Kit_BOM!$G$2:$G$300,"Mechanical")*$C$6+IF($F$5="Ja",SUMIFS(Kit_BOM!$F$2:$F$300,Kit_BOM!$E$2:$E$300,$A34,Kit_BOM!$A$2:$A$300,$A$6,Kit_BOM!$G$2:$G$300,"Optional")*$C$6,0)+IF($F$6="Ja",SUMIFS(Kit_BOM!$F$2:$F$300,Kit_BOM!$E$2:$E$300,$A34,Kit_BOM!$A$2:$A$300,$A$6,Kit_BOM!$G$2:$G$300,"DNP")*$C$6,0)+SUMIFS(Kit_BOM!$F$2:$F$300,Kit_BOM!$E$2:$E$300,$A34,Kit_BOM!$A$2:$A$300,$A$7,Kit_BOM!$G$2:$G$300,"Bestücken")*$C$7+SUMIFS(Kit_BOM!$F$2:$F$300,Kit_BOM!$E$2:$E$300,$A34,Kit_BOM!$A$2:$A$300,$A$7,Kit_BOM!$G$2:$G$300,"Mechanical")*$C$7+IF($F$5="Ja",SUMIFS(Kit_BOM!$F$2:$F$300,Kit_BOM!$E$2:$E$300,$A34,Kit_BOM!$A$2:$A$300,$A$7,Kit_BOM!$G$2:$G$300,"Optional")*$C$7,0)+IF($F$6="Ja",SUMIFS(Kit_BOM!$F$2:$F$300,Kit_BOM!$E$2:$E$300,$A34,Kit_BOM!$A$2:$A$300,$A$7,Kit_BOM!$G$2:$G$300,"DNP")*$C$7,0)+SUMIFS(Kit_BOM!$F$2:$F$300,Kit_BOM!$E$2:$E$300,$A34,Kit_BOM!$A$2:$A$300,$A$8,Kit_BOM!$G$2:$G$300,"Bestücken")*$C$8+SUMIFS(Kit_BOM!$F$2:$F$300,Kit_BOM!$E$2:$E$300,$A34,Kit_BOM!$A$2:$A$300,$A$8,Kit_BOM!$G$2:$G$300,"Mechanical")*$C$8+IF($F$5="Ja",SUMIFS(Kit_BOM!$F$2:$F$300,Kit_BOM!$E$2:$E$300,$A34,Kit_BOM!$A$2:$A$300,$A$8,Kit_BOM!$G$2:$G$300,"Optional")*$C$8,0)+IF($F$6="Ja",SUMIFS(Kit_BOM!$F$2:$F$300,Kit_BOM!$E$2:$E$300,$A34,Kit_BOM!$A$2:$A$300,$A$8,Kit_BOM!$G$2:$G$300,"DNP")*$C$8,0)+SUMIFS(Kit_BOM!$F$2:$F$300,Kit_BOM!$E$2:$E$300,$A34,Kit_BOM!$A$2:$A$300,$A$9,Kit_BOM!$G$2:$G$300,"Bestücken")*$C$9+SUMIFS(Kit_BOM!$F$2:$F$300,Kit_BOM!$E$2:$E$300,$A34,Kit_BOM!$A$2:$A$300,$A$9,Kit_BOM!$G$2:$G$300,"Mechanical")*$C$9+IF($F$5="Ja",SUMIFS(Kit_BOM!$F$2:$F$300,Kit_BOM!$E$2:$E$300,$A34,Kit_BOM!$A$2:$A$300,$A$9,Kit_BOM!$G$2:$G$300,"Optional")*$C$9,0)+IF($F$6="Ja",SUMIFS(Kit_BOM!$F$2:$F$300,Kit_BOM!$E$2:$E$300,$A34,Kit_BOM!$A$2:$A$300,$A$9,Kit_BOM!$G$2:$G$300,"DNP")*$C$9,0)+SUMIFS(Kit_BOM!$F$2:$F$300,Kit_BOM!$E$2:$E$300,$A34,Kit_BOM!$A$2:$A$300,$A$10,Kit_BOM!$G$2:$G$300,"Bestücken")*$C$10+SUMIFS(Kit_BOM!$F$2:$F$300,Kit_BOM!$E$2:$E$300,$A34,Kit_BOM!$A$2:$A$300,$A$10,Kit_BOM!$G$2:$G$300,"Mechanical")*$C$10+IF($F$5="Ja",SUMIFS(Kit_BOM!$F$2:$F$300,Kit_BOM!$E$2:$E$300,$A34,Kit_BOM!$A$2:$A$300,$A$10,Kit_BOM!$G$2:$G$300,"Optional")*$C$10,0)+IF($F$6="Ja",SUMIFS(Kit_BOM!$F$2:$F$300,Kit_BOM!$E$2:$E$300,$A34,Kit_BOM!$A$2:$A$300,$A$10,Kit_BOM!$G$2:$G$300,"DNP")*$C$10,0)+SUMIFS(Kit_BOM!$F$2:$F$300,Kit_BOM!$E$2:$E$300,$A34,Kit_BOM!$A$2:$A$300,$A$11,Kit_BOM!$G$2:$G$300,"Bestücken")*$C$11+SUMIFS(Kit_BOM!$F$2:$F$300,Kit_BOM!$E$2:$E$300,$A34,Kit_BOM!$A$2:$A$300,$A$11,Kit_BOM!$G$2:$G$300,"Mechanical")*$C$11+IF($F$5="Ja",SUMIFS(Kit_BOM!$F$2:$F$300,Kit_BOM!$E$2:$E$300,$A34,Kit_BOM!$A$2:$A$300,$A$11,Kit_BOM!$G$2:$G$300,"Optional")*$C$11,0)+IF($F$6="Ja",SUMIFS(Kit_BOM!$F$2:$F$300,Kit_BOM!$E$2:$E$300,$A34,Kit_BOM!$A$2:$A$300,$A$11,Kit_BOM!$G$2:$G$300,"DNP")*$C$11,0)+SUMIFS(Kit_BOM!$F$2:$F$300,Kit_BOM!$E$2:$E$300,$A34,Kit_BOM!$A$2:$A$300,$A$12,Kit_BOM!$G$2:$G$300,"Bestücken")*$C$12+SUMIFS(Kit_BOM!$F$2:$F$300,Kit_BOM!$E$2:$E$300,$A34,Kit_BOM!$A$2:$A$300,$A$12,Kit_BOM!$G$2:$G$300,"Mechanical")*$C$12+IF($F$5="Ja",SUMIFS(Kit_BOM!$F$2:$F$300,Kit_BOM!$E$2:$E$300,$A34,Kit_BOM!$A$2:$A$300,$A$12,Kit_BOM!$G$2:$G$300,"Optional")*$C$12,0)+IF($F$6="Ja",SUMIFS(Kit_BOM!$F$2:$F$300,Kit_BOM!$E$2:$E$300,$A34,Kit_BOM!$A$2:$A$300,$A$12,Kit_BOM!$G$2:$G$300,"DNP")*$C$12,0)+SUMIFS(Kit_BOM!$F$2:$F$300,Kit_BOM!$E$2:$E$300,$A34,Kit_BOM!$A$2:$A$300,$H$5,Kit_BOM!$G$2:$G$300,"Bestücken")*$J$5+SUMIFS(Kit_BOM!$F$2:$F$300,Kit_BOM!$E$2:$E$300,$A34,Kit_BOM!$A$2:$A$300,$H$5,Kit_BOM!$G$2:$G$300,"Mechanical")*$J$5+IF($F$5="Ja",SUMIFS(Kit_BOM!$F$2:$F$300,Kit_BOM!$E$2:$E$300,$A34,Kit_BOM!$A$2:$A$300,$H$5,Kit_BOM!$G$2:$G$300,"Optional")*$J$5,0)+IF($F$6="Ja",SUMIFS(Kit_BOM!$F$2:$F$300,Kit_BOM!$E$2:$E$300,$A34,Kit_BOM!$A$2:$A$300,$H$5,Kit_BOM!$G$2:$G$300,"DNP")*$J$5,0)+SUMIFS(Kit_BOM!$F$2:$F$300,Kit_BOM!$E$2:$E$300,$A34,Kit_BOM!$A$2:$A$300,$H$6,Kit_BOM!$G$2:$G$300,"Bestücken")*$J$6+SUMIFS(Kit_BOM!$F$2:$F$300,Kit_BOM!$E$2:$E$300,$A34,Kit_BOM!$A$2:$A$300,$H$6,Kit_BOM!$G$2:$G$300,"Mechanical")*$J$6+IF($F$5="Ja",SUMIFS(Kit_BOM!$F$2:$F$300,Kit_BOM!$E$2:$E$300,$A34,Kit_BOM!$A$2:$A$300,$H$6,Kit_BOM!$G$2:$G$300,"Optional")*$J$6,0)+IF($F$6="Ja",SUMIFS(Kit_BOM!$F$2:$F$300,Kit_BOM!$E$2:$E$300,$A34,Kit_BOM!$A$2:$A$300,$H$6,Kit_BOM!$G$2:$G$300,"DNP")*$J$6,0)</f>
        <v>2</v>
      </c>
      <c r="F34" s="27" t="str">
        <f>IFERROR(IF(_xlfn.XLOOKUP($A34&amp;"|Ja",Part_Suppliers!$L$2:$L$300,Part_Suppliers!$G$2:$G$300,"",0)=0,"",_xlfn.XLOOKUP($A34&amp;"|Ja",Part_Suppliers!$L$2:$L$300,Part_Suppliers!$G$2:$G$300,"",0)),"")</f>
        <v/>
      </c>
      <c r="G34" s="27">
        <f t="shared" si="6"/>
        <v>2</v>
      </c>
      <c r="H34" s="46">
        <f>IFERROR(IF(_xlfn.XLOOKUP($A34&amp;"|Ja",Part_Suppliers!$L$2:$L$300,Part_Suppliers!$E$2:$E$300,"",0)=0,"",_xlfn.XLOOKUP($A34&amp;"|Ja",Part_Suppliers!$L$2:$L$300,Part_Suppliers!$E$2:$E$300,"",0)),"")</f>
        <v>0.45</v>
      </c>
      <c r="I34" s="46">
        <f t="shared" si="7"/>
        <v>0.9</v>
      </c>
      <c r="J34" t="str">
        <f t="shared" si="8"/>
        <v>Gedeckt</v>
      </c>
      <c r="K34" s="26" t="str">
        <f>IFERROR(IF(_xlfn.XLOOKUP($A34&amp;"|Ja",Part_Suppliers!$L$2:$L$300,Part_Suppliers!$D$2:$D$300,"",0)=0,"",_xlfn.XLOOKUP($A34&amp;"|Ja",Part_Suppliers!$L$2:$L$300,Part_Suppliers!$D$2:$D$300,"",0)),"")</f>
        <v>https://www.digikey.de/de/products/detail/jst-sales-america-inc/SM04B-SRSS-TB/926710</v>
      </c>
      <c r="L34" s="47">
        <f>IFERROR(VLOOKUP($A34,Stock!$A$5:$K$200,10,FALSE()),0)</f>
        <v>10</v>
      </c>
      <c r="M34" s="47">
        <f>IFERROR(VLOOKUP($A34,Stock!$A$5:$K$200,11,FALSE()),0)</f>
        <v>0</v>
      </c>
      <c r="N34" s="47">
        <f t="shared" si="9"/>
        <v>8</v>
      </c>
      <c r="O34" s="47">
        <f t="shared" si="10"/>
        <v>0</v>
      </c>
      <c r="P34" s="48">
        <v>0</v>
      </c>
      <c r="Q34" s="49">
        <f t="shared" si="11"/>
        <v>0</v>
      </c>
      <c r="R34" s="82">
        <f>SUMIFS(Part_Alternatives!$H$2:$H$200,Part_Alternatives!$A$2:$A$200,$A34,Part_Alternatives!$E$2:$E$200,"Ja")</f>
        <v>0</v>
      </c>
      <c r="S34" s="82">
        <f>SUMIFS(Part_Alternatives!$I$2:$I$200,Part_Alternatives!$A$2:$A$200,$A34,Part_Alternatives!$E$2:$E$200,"Ja")</f>
        <v>0</v>
      </c>
      <c r="T34" s="80" t="str">
        <f>IFERROR(VLOOKUP($A34,Part_Alternatives!$A$2:$K$200,10,FALSE()),"")</f>
        <v/>
      </c>
    </row>
    <row r="35" spans="1:20" ht="14" customHeight="1" x14ac:dyDescent="0.15">
      <c r="A35" t="s">
        <v>212</v>
      </c>
      <c r="B35" s="86" t="str">
        <f>IFERROR(VLOOKUP($A35,Parts!$A$2:$M$191,3,FALSE()),"")</f>
        <v>JST-PH Stiftleiste, 2-polig, vertikal, SMD</v>
      </c>
      <c r="C35" s="87" t="str">
        <f>IFERROR(IF(_xlfn.XLOOKUP($A35&amp;"|Ja",Part_Suppliers!$L$2:$L$300,Part_Suppliers!$B$2:$B$300,"",0)=0,"",_xlfn.XLOOKUP($A35&amp;"|Ja",Part_Suppliers!$L$2:$L$300,Part_Suppliers!$B$2:$B$300,"",0)),"")</f>
        <v>DigiKey</v>
      </c>
      <c r="D35" s="87" t="str">
        <f>IFERROR(IF(_xlfn.XLOOKUP($A35&amp;"|Ja",Part_Suppliers!$L$2:$L$300,Part_Suppliers!$C$2:$C$300,"",0)=0,"",_xlfn.XLOOKUP($A35&amp;"|Ja",Part_Suppliers!$L$2:$L$300,Part_Suppliers!$C$2:$C$300,"",0)),"")</f>
        <v>455-B2B-PH-SM4-TBTCT-ND</v>
      </c>
      <c r="E35" s="88">
        <f>SUMIFS(Kit_BOM!$F$2:$F$300,Kit_BOM!$E$2:$E$300,$A35,Kit_BOM!$A$2:$A$300,$A$5,Kit_BOM!$G$2:$G$300,"Bestücken")*$C$5+SUMIFS(Kit_BOM!$F$2:$F$300,Kit_BOM!$E$2:$E$300,$A35,Kit_BOM!$A$2:$A$300,$A$5,Kit_BOM!$G$2:$G$300,"Mechanical")*$C$5+IF($F$5="Ja",SUMIFS(Kit_BOM!$F$2:$F$300,Kit_BOM!$E$2:$E$300,$A35,Kit_BOM!$A$2:$A$300,$A$5,Kit_BOM!$G$2:$G$300,"Optional")*$C$5,0)+IF($F$6="Ja",SUMIFS(Kit_BOM!$F$2:$F$300,Kit_BOM!$E$2:$E$300,$A35,Kit_BOM!$A$2:$A$300,$A$5,Kit_BOM!$G$2:$G$300,"DNP")*$C$5,0)+SUMIFS(Kit_BOM!$F$2:$F$300,Kit_BOM!$E$2:$E$300,$A35,Kit_BOM!$A$2:$A$300,$A$6,Kit_BOM!$G$2:$G$300,"Bestücken")*$C$6+SUMIFS(Kit_BOM!$F$2:$F$300,Kit_BOM!$E$2:$E$300,$A35,Kit_BOM!$A$2:$A$300,$A$6,Kit_BOM!$G$2:$G$300,"Mechanical")*$C$6+IF($F$5="Ja",SUMIFS(Kit_BOM!$F$2:$F$300,Kit_BOM!$E$2:$E$300,$A35,Kit_BOM!$A$2:$A$300,$A$6,Kit_BOM!$G$2:$G$300,"Optional")*$C$6,0)+IF($F$6="Ja",SUMIFS(Kit_BOM!$F$2:$F$300,Kit_BOM!$E$2:$E$300,$A35,Kit_BOM!$A$2:$A$300,$A$6,Kit_BOM!$G$2:$G$300,"DNP")*$C$6,0)+SUMIFS(Kit_BOM!$F$2:$F$300,Kit_BOM!$E$2:$E$300,$A35,Kit_BOM!$A$2:$A$300,$A$7,Kit_BOM!$G$2:$G$300,"Bestücken")*$C$7+SUMIFS(Kit_BOM!$F$2:$F$300,Kit_BOM!$E$2:$E$300,$A35,Kit_BOM!$A$2:$A$300,$A$7,Kit_BOM!$G$2:$G$300,"Mechanical")*$C$7+IF($F$5="Ja",SUMIFS(Kit_BOM!$F$2:$F$300,Kit_BOM!$E$2:$E$300,$A35,Kit_BOM!$A$2:$A$300,$A$7,Kit_BOM!$G$2:$G$300,"Optional")*$C$7,0)+IF($F$6="Ja",SUMIFS(Kit_BOM!$F$2:$F$300,Kit_BOM!$E$2:$E$300,$A35,Kit_BOM!$A$2:$A$300,$A$7,Kit_BOM!$G$2:$G$300,"DNP")*$C$7,0)+SUMIFS(Kit_BOM!$F$2:$F$300,Kit_BOM!$E$2:$E$300,$A35,Kit_BOM!$A$2:$A$300,$A$8,Kit_BOM!$G$2:$G$300,"Bestücken")*$C$8+SUMIFS(Kit_BOM!$F$2:$F$300,Kit_BOM!$E$2:$E$300,$A35,Kit_BOM!$A$2:$A$300,$A$8,Kit_BOM!$G$2:$G$300,"Mechanical")*$C$8+IF($F$5="Ja",SUMIFS(Kit_BOM!$F$2:$F$300,Kit_BOM!$E$2:$E$300,$A35,Kit_BOM!$A$2:$A$300,$A$8,Kit_BOM!$G$2:$G$300,"Optional")*$C$8,0)+IF($F$6="Ja",SUMIFS(Kit_BOM!$F$2:$F$300,Kit_BOM!$E$2:$E$300,$A35,Kit_BOM!$A$2:$A$300,$A$8,Kit_BOM!$G$2:$G$300,"DNP")*$C$8,0)+SUMIFS(Kit_BOM!$F$2:$F$300,Kit_BOM!$E$2:$E$300,$A35,Kit_BOM!$A$2:$A$300,$A$9,Kit_BOM!$G$2:$G$300,"Bestücken")*$C$9+SUMIFS(Kit_BOM!$F$2:$F$300,Kit_BOM!$E$2:$E$300,$A35,Kit_BOM!$A$2:$A$300,$A$9,Kit_BOM!$G$2:$G$300,"Mechanical")*$C$9+IF($F$5="Ja",SUMIFS(Kit_BOM!$F$2:$F$300,Kit_BOM!$E$2:$E$300,$A35,Kit_BOM!$A$2:$A$300,$A$9,Kit_BOM!$G$2:$G$300,"Optional")*$C$9,0)+IF($F$6="Ja",SUMIFS(Kit_BOM!$F$2:$F$300,Kit_BOM!$E$2:$E$300,$A35,Kit_BOM!$A$2:$A$300,$A$9,Kit_BOM!$G$2:$G$300,"DNP")*$C$9,0)+SUMIFS(Kit_BOM!$F$2:$F$300,Kit_BOM!$E$2:$E$300,$A35,Kit_BOM!$A$2:$A$300,$A$10,Kit_BOM!$G$2:$G$300,"Bestücken")*$C$10+SUMIFS(Kit_BOM!$F$2:$F$300,Kit_BOM!$E$2:$E$300,$A35,Kit_BOM!$A$2:$A$300,$A$10,Kit_BOM!$G$2:$G$300,"Mechanical")*$C$10+IF($F$5="Ja",SUMIFS(Kit_BOM!$F$2:$F$300,Kit_BOM!$E$2:$E$300,$A35,Kit_BOM!$A$2:$A$300,$A$10,Kit_BOM!$G$2:$G$300,"Optional")*$C$10,0)+IF($F$6="Ja",SUMIFS(Kit_BOM!$F$2:$F$300,Kit_BOM!$E$2:$E$300,$A35,Kit_BOM!$A$2:$A$300,$A$10,Kit_BOM!$G$2:$G$300,"DNP")*$C$10,0)+SUMIFS(Kit_BOM!$F$2:$F$300,Kit_BOM!$E$2:$E$300,$A35,Kit_BOM!$A$2:$A$300,$A$11,Kit_BOM!$G$2:$G$300,"Bestücken")*$C$11+SUMIFS(Kit_BOM!$F$2:$F$300,Kit_BOM!$E$2:$E$300,$A35,Kit_BOM!$A$2:$A$300,$A$11,Kit_BOM!$G$2:$G$300,"Mechanical")*$C$11+IF($F$5="Ja",SUMIFS(Kit_BOM!$F$2:$F$300,Kit_BOM!$E$2:$E$300,$A35,Kit_BOM!$A$2:$A$300,$A$11,Kit_BOM!$G$2:$G$300,"Optional")*$C$11,0)+IF($F$6="Ja",SUMIFS(Kit_BOM!$F$2:$F$300,Kit_BOM!$E$2:$E$300,$A35,Kit_BOM!$A$2:$A$300,$A$11,Kit_BOM!$G$2:$G$300,"DNP")*$C$11,0)+SUMIFS(Kit_BOM!$F$2:$F$300,Kit_BOM!$E$2:$E$300,$A35,Kit_BOM!$A$2:$A$300,$A$12,Kit_BOM!$G$2:$G$300,"Bestücken")*$C$12+SUMIFS(Kit_BOM!$F$2:$F$300,Kit_BOM!$E$2:$E$300,$A35,Kit_BOM!$A$2:$A$300,$A$12,Kit_BOM!$G$2:$G$300,"Mechanical")*$C$12+IF($F$5="Ja",SUMIFS(Kit_BOM!$F$2:$F$300,Kit_BOM!$E$2:$E$300,$A35,Kit_BOM!$A$2:$A$300,$A$12,Kit_BOM!$G$2:$G$300,"Optional")*$C$12,0)+IF($F$6="Ja",SUMIFS(Kit_BOM!$F$2:$F$300,Kit_BOM!$E$2:$E$300,$A35,Kit_BOM!$A$2:$A$300,$A$12,Kit_BOM!$G$2:$G$300,"DNP")*$C$12,0)+SUMIFS(Kit_BOM!$F$2:$F$300,Kit_BOM!$E$2:$E$300,$A35,Kit_BOM!$A$2:$A$300,$H$5,Kit_BOM!$G$2:$G$300,"Bestücken")*$J$5+SUMIFS(Kit_BOM!$F$2:$F$300,Kit_BOM!$E$2:$E$300,$A35,Kit_BOM!$A$2:$A$300,$H$5,Kit_BOM!$G$2:$G$300,"Mechanical")*$J$5+IF($F$5="Ja",SUMIFS(Kit_BOM!$F$2:$F$300,Kit_BOM!$E$2:$E$300,$A35,Kit_BOM!$A$2:$A$300,$H$5,Kit_BOM!$G$2:$G$300,"Optional")*$J$5,0)+IF($F$6="Ja",SUMIFS(Kit_BOM!$F$2:$F$300,Kit_BOM!$E$2:$E$300,$A35,Kit_BOM!$A$2:$A$300,$H$5,Kit_BOM!$G$2:$G$300,"DNP")*$J$5,0)+SUMIFS(Kit_BOM!$F$2:$F$300,Kit_BOM!$E$2:$E$300,$A35,Kit_BOM!$A$2:$A$300,$H$6,Kit_BOM!$G$2:$G$300,"Bestücken")*$J$6+SUMIFS(Kit_BOM!$F$2:$F$300,Kit_BOM!$E$2:$E$300,$A35,Kit_BOM!$A$2:$A$300,$H$6,Kit_BOM!$G$2:$G$300,"Mechanical")*$J$6+IF($F$5="Ja",SUMIFS(Kit_BOM!$F$2:$F$300,Kit_BOM!$E$2:$E$300,$A35,Kit_BOM!$A$2:$A$300,$H$6,Kit_BOM!$G$2:$G$300,"Optional")*$J$6,0)+IF($F$6="Ja",SUMIFS(Kit_BOM!$F$2:$F$300,Kit_BOM!$E$2:$E$300,$A35,Kit_BOM!$A$2:$A$300,$H$6,Kit_BOM!$G$2:$G$300,"DNP")*$J$6,0)</f>
        <v>5</v>
      </c>
      <c r="F35" s="88">
        <f>IFERROR(IF(_xlfn.XLOOKUP($A35&amp;"|Ja",Part_Suppliers!$L$2:$L$300,Part_Suppliers!$G$2:$G$300,"",0)=0,"",_xlfn.XLOOKUP($A35&amp;"|Ja",Part_Suppliers!$L$2:$L$300,Part_Suppliers!$G$2:$G$300,"",0)),"")</f>
        <v>1</v>
      </c>
      <c r="G35" s="88">
        <f t="shared" si="6"/>
        <v>5</v>
      </c>
      <c r="H35" s="89">
        <f>IFERROR(IF(_xlfn.XLOOKUP($A35&amp;"|Ja",Part_Suppliers!$L$2:$L$300,Part_Suppliers!$E$2:$E$300,"",0)=0,"",_xlfn.XLOOKUP($A35&amp;"|Ja",Part_Suppliers!$L$2:$L$300,Part_Suppliers!$E$2:$E$300,"",0)),"")</f>
        <v>0.59</v>
      </c>
      <c r="I35" s="89">
        <f t="shared" si="7"/>
        <v>2.9499999999999997</v>
      </c>
      <c r="J35" s="85" t="str">
        <f t="shared" si="8"/>
        <v>Gedeckt</v>
      </c>
      <c r="K35" s="87" t="str">
        <f>IFERROR(IF(_xlfn.XLOOKUP($A35&amp;"|Ja",Part_Suppliers!$L$2:$L$300,Part_Suppliers!$D$2:$D$300,"",0)=0,"",_xlfn.XLOOKUP($A35&amp;"|Ja",Part_Suppliers!$L$2:$L$300,Part_Suppliers!$D$2:$D$300,"",0)),"")</f>
        <v>https://www.digikey.de/de/products/detail/jst-sales-america-inc/B2B-PH-SM4-TBT/2137328</v>
      </c>
      <c r="L35" s="90">
        <f>IFERROR(VLOOKUP($A35,Stock!$A$5:$K$200,10,FALSE()),0)</f>
        <v>9</v>
      </c>
      <c r="M35" s="90">
        <f>IFERROR(VLOOKUP($A35,Stock!$A$5:$K$200,11,FALSE()),0)</f>
        <v>0</v>
      </c>
      <c r="N35" s="90">
        <f t="shared" si="9"/>
        <v>4</v>
      </c>
      <c r="O35" s="90">
        <f t="shared" si="10"/>
        <v>0</v>
      </c>
      <c r="P35" s="91">
        <v>0</v>
      </c>
      <c r="Q35" s="92">
        <f t="shared" si="11"/>
        <v>0</v>
      </c>
      <c r="R35" s="93">
        <f>SUMIFS(Part_Alternatives!$H$2:$H$200,Part_Alternatives!$A$2:$A$200,$A35,Part_Alternatives!$E$2:$E$200,"Ja")</f>
        <v>0</v>
      </c>
      <c r="S35" s="93">
        <f>SUMIFS(Part_Alternatives!$I$2:$I$200,Part_Alternatives!$A$2:$A$200,$A35,Part_Alternatives!$E$2:$E$200,"Ja")</f>
        <v>0</v>
      </c>
      <c r="T35" s="85" t="str">
        <f>IFERROR(VLOOKUP($A35,Part_Alternatives!$A$2:$K$200,10,FALSE()),"")</f>
        <v/>
      </c>
    </row>
    <row r="36" spans="1:20" ht="14" hidden="1" customHeight="1" x14ac:dyDescent="0.2">
      <c r="A36" s="26" t="s">
        <v>119</v>
      </c>
      <c r="B36" s="45" t="str">
        <f>IFERROR(VLOOKUP($A36,Parts!$A$2:$M$191,3,FALSE()),"")</f>
        <v>Keramikkondensator 1 µF SMD</v>
      </c>
      <c r="C36" s="26" t="str">
        <f>IFERROR(IF(_xlfn.XLOOKUP($A36&amp;"|Ja",Part_Suppliers!$L$2:$L$300,Part_Suppliers!$B$2:$B$300,"",0)=0,"",_xlfn.XLOOKUP($A36&amp;"|Ja",Part_Suppliers!$L$2:$L$300,Part_Suppliers!$B$2:$B$300,"",0)),"")</f>
        <v>Reichelt</v>
      </c>
      <c r="D36" s="26" t="str">
        <f>IFERROR(IF(_xlfn.XLOOKUP($A36&amp;"|Ja",Part_Suppliers!$L$2:$L$300,Part_Suppliers!$C$2:$C$300,"",0)=0,"",_xlfn.XLOOKUP($A36&amp;"|Ja",Part_Suppliers!$L$2:$L$300,Part_Suppliers!$C$2:$C$300,"",0)),"")</f>
        <v>12065C105JAT2A</v>
      </c>
      <c r="E36" s="27">
        <f>SUMIFS(Kit_BOM!$F$2:$F$300,Kit_BOM!$E$2:$E$300,$A36,Kit_BOM!$A$2:$A$300,$A$5,Kit_BOM!$G$2:$G$300,"Bestücken")*$C$5+SUMIFS(Kit_BOM!$F$2:$F$300,Kit_BOM!$E$2:$E$300,$A36,Kit_BOM!$A$2:$A$300,$A$5,Kit_BOM!$G$2:$G$300,"Mechanical")*$C$5+IF($F$5="Ja",SUMIFS(Kit_BOM!$F$2:$F$300,Kit_BOM!$E$2:$E$300,$A36,Kit_BOM!$A$2:$A$300,$A$5,Kit_BOM!$G$2:$G$300,"Optional")*$C$5,0)+IF($F$6="Ja",SUMIFS(Kit_BOM!$F$2:$F$300,Kit_BOM!$E$2:$E$300,$A36,Kit_BOM!$A$2:$A$300,$A$5,Kit_BOM!$G$2:$G$300,"DNP")*$C$5,0)+SUMIFS(Kit_BOM!$F$2:$F$300,Kit_BOM!$E$2:$E$300,$A36,Kit_BOM!$A$2:$A$300,$A$6,Kit_BOM!$G$2:$G$300,"Bestücken")*$C$6+SUMIFS(Kit_BOM!$F$2:$F$300,Kit_BOM!$E$2:$E$300,$A36,Kit_BOM!$A$2:$A$300,$A$6,Kit_BOM!$G$2:$G$300,"Mechanical")*$C$6+IF($F$5="Ja",SUMIFS(Kit_BOM!$F$2:$F$300,Kit_BOM!$E$2:$E$300,$A36,Kit_BOM!$A$2:$A$300,$A$6,Kit_BOM!$G$2:$G$300,"Optional")*$C$6,0)+IF($F$6="Ja",SUMIFS(Kit_BOM!$F$2:$F$300,Kit_BOM!$E$2:$E$300,$A36,Kit_BOM!$A$2:$A$300,$A$6,Kit_BOM!$G$2:$G$300,"DNP")*$C$6,0)+SUMIFS(Kit_BOM!$F$2:$F$300,Kit_BOM!$E$2:$E$300,$A36,Kit_BOM!$A$2:$A$300,$A$7,Kit_BOM!$G$2:$G$300,"Bestücken")*$C$7+SUMIFS(Kit_BOM!$F$2:$F$300,Kit_BOM!$E$2:$E$300,$A36,Kit_BOM!$A$2:$A$300,$A$7,Kit_BOM!$G$2:$G$300,"Mechanical")*$C$7+IF($F$5="Ja",SUMIFS(Kit_BOM!$F$2:$F$300,Kit_BOM!$E$2:$E$300,$A36,Kit_BOM!$A$2:$A$300,$A$7,Kit_BOM!$G$2:$G$300,"Optional")*$C$7,0)+IF($F$6="Ja",SUMIFS(Kit_BOM!$F$2:$F$300,Kit_BOM!$E$2:$E$300,$A36,Kit_BOM!$A$2:$A$300,$A$7,Kit_BOM!$G$2:$G$300,"DNP")*$C$7,0)+SUMIFS(Kit_BOM!$F$2:$F$300,Kit_BOM!$E$2:$E$300,$A36,Kit_BOM!$A$2:$A$300,$A$8,Kit_BOM!$G$2:$G$300,"Bestücken")*$C$8+SUMIFS(Kit_BOM!$F$2:$F$300,Kit_BOM!$E$2:$E$300,$A36,Kit_BOM!$A$2:$A$300,$A$8,Kit_BOM!$G$2:$G$300,"Mechanical")*$C$8+IF($F$5="Ja",SUMIFS(Kit_BOM!$F$2:$F$300,Kit_BOM!$E$2:$E$300,$A36,Kit_BOM!$A$2:$A$300,$A$8,Kit_BOM!$G$2:$G$300,"Optional")*$C$8,0)+IF($F$6="Ja",SUMIFS(Kit_BOM!$F$2:$F$300,Kit_BOM!$E$2:$E$300,$A36,Kit_BOM!$A$2:$A$300,$A$8,Kit_BOM!$G$2:$G$300,"DNP")*$C$8,0)+SUMIFS(Kit_BOM!$F$2:$F$300,Kit_BOM!$E$2:$E$300,$A36,Kit_BOM!$A$2:$A$300,$A$9,Kit_BOM!$G$2:$G$300,"Bestücken")*$C$9+SUMIFS(Kit_BOM!$F$2:$F$300,Kit_BOM!$E$2:$E$300,$A36,Kit_BOM!$A$2:$A$300,$A$9,Kit_BOM!$G$2:$G$300,"Mechanical")*$C$9+IF($F$5="Ja",SUMIFS(Kit_BOM!$F$2:$F$300,Kit_BOM!$E$2:$E$300,$A36,Kit_BOM!$A$2:$A$300,$A$9,Kit_BOM!$G$2:$G$300,"Optional")*$C$9,0)+IF($F$6="Ja",SUMIFS(Kit_BOM!$F$2:$F$300,Kit_BOM!$E$2:$E$300,$A36,Kit_BOM!$A$2:$A$300,$A$9,Kit_BOM!$G$2:$G$300,"DNP")*$C$9,0)+SUMIFS(Kit_BOM!$F$2:$F$300,Kit_BOM!$E$2:$E$300,$A36,Kit_BOM!$A$2:$A$300,$A$10,Kit_BOM!$G$2:$G$300,"Bestücken")*$C$10+SUMIFS(Kit_BOM!$F$2:$F$300,Kit_BOM!$E$2:$E$300,$A36,Kit_BOM!$A$2:$A$300,$A$10,Kit_BOM!$G$2:$G$300,"Mechanical")*$C$10+IF($F$5="Ja",SUMIFS(Kit_BOM!$F$2:$F$300,Kit_BOM!$E$2:$E$300,$A36,Kit_BOM!$A$2:$A$300,$A$10,Kit_BOM!$G$2:$G$300,"Optional")*$C$10,0)+IF($F$6="Ja",SUMIFS(Kit_BOM!$F$2:$F$300,Kit_BOM!$E$2:$E$300,$A36,Kit_BOM!$A$2:$A$300,$A$10,Kit_BOM!$G$2:$G$300,"DNP")*$C$10,0)+SUMIFS(Kit_BOM!$F$2:$F$300,Kit_BOM!$E$2:$E$300,$A36,Kit_BOM!$A$2:$A$300,$A$11,Kit_BOM!$G$2:$G$300,"Bestücken")*$C$11+SUMIFS(Kit_BOM!$F$2:$F$300,Kit_BOM!$E$2:$E$300,$A36,Kit_BOM!$A$2:$A$300,$A$11,Kit_BOM!$G$2:$G$300,"Mechanical")*$C$11+IF($F$5="Ja",SUMIFS(Kit_BOM!$F$2:$F$300,Kit_BOM!$E$2:$E$300,$A36,Kit_BOM!$A$2:$A$300,$A$11,Kit_BOM!$G$2:$G$300,"Optional")*$C$11,0)+IF($F$6="Ja",SUMIFS(Kit_BOM!$F$2:$F$300,Kit_BOM!$E$2:$E$300,$A36,Kit_BOM!$A$2:$A$300,$A$11,Kit_BOM!$G$2:$G$300,"DNP")*$C$11,0)+SUMIFS(Kit_BOM!$F$2:$F$300,Kit_BOM!$E$2:$E$300,$A36,Kit_BOM!$A$2:$A$300,$A$12,Kit_BOM!$G$2:$G$300,"Bestücken")*$C$12+SUMIFS(Kit_BOM!$F$2:$F$300,Kit_BOM!$E$2:$E$300,$A36,Kit_BOM!$A$2:$A$300,$A$12,Kit_BOM!$G$2:$G$300,"Mechanical")*$C$12+IF($F$5="Ja",SUMIFS(Kit_BOM!$F$2:$F$300,Kit_BOM!$E$2:$E$300,$A36,Kit_BOM!$A$2:$A$300,$A$12,Kit_BOM!$G$2:$G$300,"Optional")*$C$12,0)+IF($F$6="Ja",SUMIFS(Kit_BOM!$F$2:$F$300,Kit_BOM!$E$2:$E$300,$A36,Kit_BOM!$A$2:$A$300,$A$12,Kit_BOM!$G$2:$G$300,"DNP")*$C$12,0)+SUMIFS(Kit_BOM!$F$2:$F$300,Kit_BOM!$E$2:$E$300,$A36,Kit_BOM!$A$2:$A$300,$H$5,Kit_BOM!$G$2:$G$300,"Bestücken")*$J$5+SUMIFS(Kit_BOM!$F$2:$F$300,Kit_BOM!$E$2:$E$300,$A36,Kit_BOM!$A$2:$A$300,$H$5,Kit_BOM!$G$2:$G$300,"Mechanical")*$J$5+IF($F$5="Ja",SUMIFS(Kit_BOM!$F$2:$F$300,Kit_BOM!$E$2:$E$300,$A36,Kit_BOM!$A$2:$A$300,$H$5,Kit_BOM!$G$2:$G$300,"Optional")*$J$5,0)+IF($F$6="Ja",SUMIFS(Kit_BOM!$F$2:$F$300,Kit_BOM!$E$2:$E$300,$A36,Kit_BOM!$A$2:$A$300,$H$5,Kit_BOM!$G$2:$G$300,"DNP")*$J$5,0)+SUMIFS(Kit_BOM!$F$2:$F$300,Kit_BOM!$E$2:$E$300,$A36,Kit_BOM!$A$2:$A$300,$H$6,Kit_BOM!$G$2:$G$300,"Bestücken")*$J$6+SUMIFS(Kit_BOM!$F$2:$F$300,Kit_BOM!$E$2:$E$300,$A36,Kit_BOM!$A$2:$A$300,$H$6,Kit_BOM!$G$2:$G$300,"Mechanical")*$J$6+IF($F$5="Ja",SUMIFS(Kit_BOM!$F$2:$F$300,Kit_BOM!$E$2:$E$300,$A36,Kit_BOM!$A$2:$A$300,$H$6,Kit_BOM!$G$2:$G$300,"Optional")*$J$6,0)+IF($F$6="Ja",SUMIFS(Kit_BOM!$F$2:$F$300,Kit_BOM!$E$2:$E$300,$A36,Kit_BOM!$A$2:$A$300,$H$6,Kit_BOM!$G$2:$G$300,"DNP")*$J$6,0)</f>
        <v>4</v>
      </c>
      <c r="F36" s="27" t="str">
        <f>IFERROR(IF(_xlfn.XLOOKUP($A36&amp;"|Ja",Part_Suppliers!$L$2:$L$300,Part_Suppliers!$G$2:$G$300,"",0)=0,"",_xlfn.XLOOKUP($A36&amp;"|Ja",Part_Suppliers!$L$2:$L$300,Part_Suppliers!$G$2:$G$300,"",0)),"")</f>
        <v/>
      </c>
      <c r="G36" s="27">
        <f t="shared" si="6"/>
        <v>4</v>
      </c>
      <c r="H36" s="46">
        <f>IFERROR(IF(_xlfn.XLOOKUP($A36&amp;"|Ja",Part_Suppliers!$L$2:$L$300,Part_Suppliers!$E$2:$E$300,"",0)=0,"",_xlfn.XLOOKUP($A36&amp;"|Ja",Part_Suppliers!$L$2:$L$300,Part_Suppliers!$E$2:$E$300,"",0)),"")</f>
        <v>0.16</v>
      </c>
      <c r="I36" s="46">
        <f t="shared" si="7"/>
        <v>0.64</v>
      </c>
      <c r="J36" t="str">
        <f t="shared" si="8"/>
        <v>Gedeckt</v>
      </c>
      <c r="K36" s="26" t="str">
        <f>IFERROR(IF(_xlfn.XLOOKUP($A36&amp;"|Ja",Part_Suppliers!$L$2:$L$300,Part_Suppliers!$D$2:$D$300,"",0)=0,"",_xlfn.XLOOKUP($A36&amp;"|Ja",Part_Suppliers!$L$2:$L$300,Part_Suppliers!$D$2:$D$300,"",0)),"")</f>
        <v>https://www.reichelt.de/de/de/shop/produkt/mlcc_1206_1_f_50_v_-5_x7r-409277</v>
      </c>
      <c r="L36" s="47">
        <f>IFERROR(VLOOKUP($A36,Stock!$A$5:$K$200,10,FALSE()),0)</f>
        <v>20</v>
      </c>
      <c r="M36" s="47">
        <f>IFERROR(VLOOKUP($A36,Stock!$A$5:$K$200,11,FALSE()),0)</f>
        <v>0</v>
      </c>
      <c r="N36" s="47">
        <f t="shared" si="9"/>
        <v>16</v>
      </c>
      <c r="O36" s="47">
        <f t="shared" si="10"/>
        <v>0</v>
      </c>
      <c r="P36" s="48">
        <v>0</v>
      </c>
      <c r="Q36" s="49">
        <f t="shared" si="11"/>
        <v>0</v>
      </c>
      <c r="R36" s="82">
        <f>SUMIFS(Part_Alternatives!$H$2:$H$200,Part_Alternatives!$A$2:$A$200,$A36,Part_Alternatives!$E$2:$E$200,"Ja")</f>
        <v>0</v>
      </c>
      <c r="S36" s="82">
        <f>SUMIFS(Part_Alternatives!$I$2:$I$200,Part_Alternatives!$A$2:$A$200,$A36,Part_Alternatives!$E$2:$E$200,"Ja")</f>
        <v>0</v>
      </c>
      <c r="T36" s="80" t="str">
        <f>IFERROR(VLOOKUP($A36,Part_Alternatives!$A$2:$K$200,10,FALSE()),"")</f>
        <v/>
      </c>
    </row>
    <row r="37" spans="1:20" ht="14" hidden="1" customHeight="1" x14ac:dyDescent="0.2">
      <c r="A37" s="26" t="s">
        <v>120</v>
      </c>
      <c r="B37" s="45" t="str">
        <f>IFERROR(VLOOKUP($A37,Parts!$A$2:$M$191,3,FALSE()),"")</f>
        <v>Dual-Schottky-Diode BAT54S</v>
      </c>
      <c r="C37" s="26" t="str">
        <f>IFERROR(IF(_xlfn.XLOOKUP($A37&amp;"|Ja",Part_Suppliers!$L$2:$L$300,Part_Suppliers!$B$2:$B$300,"",0)=0,"",_xlfn.XLOOKUP($A37&amp;"|Ja",Part_Suppliers!$L$2:$L$300,Part_Suppliers!$B$2:$B$300,"",0)),"")</f>
        <v>Reichelt</v>
      </c>
      <c r="D37" s="26" t="str">
        <f>IFERROR(IF(_xlfn.XLOOKUP($A37&amp;"|Ja",Part_Suppliers!$L$2:$L$300,Part_Suppliers!$C$2:$C$300,"",0)=0,"",_xlfn.XLOOKUP($A37&amp;"|Ja",Part_Suppliers!$L$2:$L$300,Part_Suppliers!$C$2:$C$300,"",0)),"")</f>
        <v>BAT 54S DIO</v>
      </c>
      <c r="E37" s="27">
        <f>SUMIFS(Kit_BOM!$F$2:$F$300,Kit_BOM!$E$2:$E$300,$A37,Kit_BOM!$A$2:$A$300,$A$5,Kit_BOM!$G$2:$G$300,"Bestücken")*$C$5+SUMIFS(Kit_BOM!$F$2:$F$300,Kit_BOM!$E$2:$E$300,$A37,Kit_BOM!$A$2:$A$300,$A$5,Kit_BOM!$G$2:$G$300,"Mechanical")*$C$5+IF($F$5="Ja",SUMIFS(Kit_BOM!$F$2:$F$300,Kit_BOM!$E$2:$E$300,$A37,Kit_BOM!$A$2:$A$300,$A$5,Kit_BOM!$G$2:$G$300,"Optional")*$C$5,0)+IF($F$6="Ja",SUMIFS(Kit_BOM!$F$2:$F$300,Kit_BOM!$E$2:$E$300,$A37,Kit_BOM!$A$2:$A$300,$A$5,Kit_BOM!$G$2:$G$300,"DNP")*$C$5,0)+SUMIFS(Kit_BOM!$F$2:$F$300,Kit_BOM!$E$2:$E$300,$A37,Kit_BOM!$A$2:$A$300,$A$6,Kit_BOM!$G$2:$G$300,"Bestücken")*$C$6+SUMIFS(Kit_BOM!$F$2:$F$300,Kit_BOM!$E$2:$E$300,$A37,Kit_BOM!$A$2:$A$300,$A$6,Kit_BOM!$G$2:$G$300,"Mechanical")*$C$6+IF($F$5="Ja",SUMIFS(Kit_BOM!$F$2:$F$300,Kit_BOM!$E$2:$E$300,$A37,Kit_BOM!$A$2:$A$300,$A$6,Kit_BOM!$G$2:$G$300,"Optional")*$C$6,0)+IF($F$6="Ja",SUMIFS(Kit_BOM!$F$2:$F$300,Kit_BOM!$E$2:$E$300,$A37,Kit_BOM!$A$2:$A$300,$A$6,Kit_BOM!$G$2:$G$300,"DNP")*$C$6,0)+SUMIFS(Kit_BOM!$F$2:$F$300,Kit_BOM!$E$2:$E$300,$A37,Kit_BOM!$A$2:$A$300,$A$7,Kit_BOM!$G$2:$G$300,"Bestücken")*$C$7+SUMIFS(Kit_BOM!$F$2:$F$300,Kit_BOM!$E$2:$E$300,$A37,Kit_BOM!$A$2:$A$300,$A$7,Kit_BOM!$G$2:$G$300,"Mechanical")*$C$7+IF($F$5="Ja",SUMIFS(Kit_BOM!$F$2:$F$300,Kit_BOM!$E$2:$E$300,$A37,Kit_BOM!$A$2:$A$300,$A$7,Kit_BOM!$G$2:$G$300,"Optional")*$C$7,0)+IF($F$6="Ja",SUMIFS(Kit_BOM!$F$2:$F$300,Kit_BOM!$E$2:$E$300,$A37,Kit_BOM!$A$2:$A$300,$A$7,Kit_BOM!$G$2:$G$300,"DNP")*$C$7,0)+SUMIFS(Kit_BOM!$F$2:$F$300,Kit_BOM!$E$2:$E$300,$A37,Kit_BOM!$A$2:$A$300,$A$8,Kit_BOM!$G$2:$G$300,"Bestücken")*$C$8+SUMIFS(Kit_BOM!$F$2:$F$300,Kit_BOM!$E$2:$E$300,$A37,Kit_BOM!$A$2:$A$300,$A$8,Kit_BOM!$G$2:$G$300,"Mechanical")*$C$8+IF($F$5="Ja",SUMIFS(Kit_BOM!$F$2:$F$300,Kit_BOM!$E$2:$E$300,$A37,Kit_BOM!$A$2:$A$300,$A$8,Kit_BOM!$G$2:$G$300,"Optional")*$C$8,0)+IF($F$6="Ja",SUMIFS(Kit_BOM!$F$2:$F$300,Kit_BOM!$E$2:$E$300,$A37,Kit_BOM!$A$2:$A$300,$A$8,Kit_BOM!$G$2:$G$300,"DNP")*$C$8,0)+SUMIFS(Kit_BOM!$F$2:$F$300,Kit_BOM!$E$2:$E$300,$A37,Kit_BOM!$A$2:$A$300,$A$9,Kit_BOM!$G$2:$G$300,"Bestücken")*$C$9+SUMIFS(Kit_BOM!$F$2:$F$300,Kit_BOM!$E$2:$E$300,$A37,Kit_BOM!$A$2:$A$300,$A$9,Kit_BOM!$G$2:$G$300,"Mechanical")*$C$9+IF($F$5="Ja",SUMIFS(Kit_BOM!$F$2:$F$300,Kit_BOM!$E$2:$E$300,$A37,Kit_BOM!$A$2:$A$300,$A$9,Kit_BOM!$G$2:$G$300,"Optional")*$C$9,0)+IF($F$6="Ja",SUMIFS(Kit_BOM!$F$2:$F$300,Kit_BOM!$E$2:$E$300,$A37,Kit_BOM!$A$2:$A$300,$A$9,Kit_BOM!$G$2:$G$300,"DNP")*$C$9,0)+SUMIFS(Kit_BOM!$F$2:$F$300,Kit_BOM!$E$2:$E$300,$A37,Kit_BOM!$A$2:$A$300,$A$10,Kit_BOM!$G$2:$G$300,"Bestücken")*$C$10+SUMIFS(Kit_BOM!$F$2:$F$300,Kit_BOM!$E$2:$E$300,$A37,Kit_BOM!$A$2:$A$300,$A$10,Kit_BOM!$G$2:$G$300,"Mechanical")*$C$10+IF($F$5="Ja",SUMIFS(Kit_BOM!$F$2:$F$300,Kit_BOM!$E$2:$E$300,$A37,Kit_BOM!$A$2:$A$300,$A$10,Kit_BOM!$G$2:$G$300,"Optional")*$C$10,0)+IF($F$6="Ja",SUMIFS(Kit_BOM!$F$2:$F$300,Kit_BOM!$E$2:$E$300,$A37,Kit_BOM!$A$2:$A$300,$A$10,Kit_BOM!$G$2:$G$300,"DNP")*$C$10,0)+SUMIFS(Kit_BOM!$F$2:$F$300,Kit_BOM!$E$2:$E$300,$A37,Kit_BOM!$A$2:$A$300,$A$11,Kit_BOM!$G$2:$G$300,"Bestücken")*$C$11+SUMIFS(Kit_BOM!$F$2:$F$300,Kit_BOM!$E$2:$E$300,$A37,Kit_BOM!$A$2:$A$300,$A$11,Kit_BOM!$G$2:$G$300,"Mechanical")*$C$11+IF($F$5="Ja",SUMIFS(Kit_BOM!$F$2:$F$300,Kit_BOM!$E$2:$E$300,$A37,Kit_BOM!$A$2:$A$300,$A$11,Kit_BOM!$G$2:$G$300,"Optional")*$C$11,0)+IF($F$6="Ja",SUMIFS(Kit_BOM!$F$2:$F$300,Kit_BOM!$E$2:$E$300,$A37,Kit_BOM!$A$2:$A$300,$A$11,Kit_BOM!$G$2:$G$300,"DNP")*$C$11,0)+SUMIFS(Kit_BOM!$F$2:$F$300,Kit_BOM!$E$2:$E$300,$A37,Kit_BOM!$A$2:$A$300,$A$12,Kit_BOM!$G$2:$G$300,"Bestücken")*$C$12+SUMIFS(Kit_BOM!$F$2:$F$300,Kit_BOM!$E$2:$E$300,$A37,Kit_BOM!$A$2:$A$300,$A$12,Kit_BOM!$G$2:$G$300,"Mechanical")*$C$12+IF($F$5="Ja",SUMIFS(Kit_BOM!$F$2:$F$300,Kit_BOM!$E$2:$E$300,$A37,Kit_BOM!$A$2:$A$300,$A$12,Kit_BOM!$G$2:$G$300,"Optional")*$C$12,0)+IF($F$6="Ja",SUMIFS(Kit_BOM!$F$2:$F$300,Kit_BOM!$E$2:$E$300,$A37,Kit_BOM!$A$2:$A$300,$A$12,Kit_BOM!$G$2:$G$300,"DNP")*$C$12,0)+SUMIFS(Kit_BOM!$F$2:$F$300,Kit_BOM!$E$2:$E$300,$A37,Kit_BOM!$A$2:$A$300,$H$5,Kit_BOM!$G$2:$G$300,"Bestücken")*$J$5+SUMIFS(Kit_BOM!$F$2:$F$300,Kit_BOM!$E$2:$E$300,$A37,Kit_BOM!$A$2:$A$300,$H$5,Kit_BOM!$G$2:$G$300,"Mechanical")*$J$5+IF($F$5="Ja",SUMIFS(Kit_BOM!$F$2:$F$300,Kit_BOM!$E$2:$E$300,$A37,Kit_BOM!$A$2:$A$300,$H$5,Kit_BOM!$G$2:$G$300,"Optional")*$J$5,0)+IF($F$6="Ja",SUMIFS(Kit_BOM!$F$2:$F$300,Kit_BOM!$E$2:$E$300,$A37,Kit_BOM!$A$2:$A$300,$H$5,Kit_BOM!$G$2:$G$300,"DNP")*$J$5,0)+SUMIFS(Kit_BOM!$F$2:$F$300,Kit_BOM!$E$2:$E$300,$A37,Kit_BOM!$A$2:$A$300,$H$6,Kit_BOM!$G$2:$G$300,"Bestücken")*$J$6+SUMIFS(Kit_BOM!$F$2:$F$300,Kit_BOM!$E$2:$E$300,$A37,Kit_BOM!$A$2:$A$300,$H$6,Kit_BOM!$G$2:$G$300,"Mechanical")*$J$6+IF($F$5="Ja",SUMIFS(Kit_BOM!$F$2:$F$300,Kit_BOM!$E$2:$E$300,$A37,Kit_BOM!$A$2:$A$300,$H$6,Kit_BOM!$G$2:$G$300,"Optional")*$J$6,0)+IF($F$6="Ja",SUMIFS(Kit_BOM!$F$2:$F$300,Kit_BOM!$E$2:$E$300,$A37,Kit_BOM!$A$2:$A$300,$H$6,Kit_BOM!$G$2:$G$300,"DNP")*$J$6,0)</f>
        <v>2</v>
      </c>
      <c r="F37" s="27" t="str">
        <f>IFERROR(IF(_xlfn.XLOOKUP($A37&amp;"|Ja",Part_Suppliers!$L$2:$L$300,Part_Suppliers!$G$2:$G$300,"",0)=0,"",_xlfn.XLOOKUP($A37&amp;"|Ja",Part_Suppliers!$L$2:$L$300,Part_Suppliers!$G$2:$G$300,"",0)),"")</f>
        <v/>
      </c>
      <c r="G37" s="27">
        <f t="shared" si="6"/>
        <v>2</v>
      </c>
      <c r="H37" s="46">
        <f>IFERROR(IF(_xlfn.XLOOKUP($A37&amp;"|Ja",Part_Suppliers!$L$2:$L$300,Part_Suppliers!$E$2:$E$300,"",0)=0,"",_xlfn.XLOOKUP($A37&amp;"|Ja",Part_Suppliers!$L$2:$L$300,Part_Suppliers!$E$2:$E$300,"",0)),"")</f>
        <v>0.04</v>
      </c>
      <c r="I37" s="46">
        <f t="shared" si="7"/>
        <v>0.08</v>
      </c>
      <c r="J37" t="str">
        <f t="shared" si="8"/>
        <v>Gedeckt</v>
      </c>
      <c r="K37" s="26" t="str">
        <f>IFERROR(IF(_xlfn.XLOOKUP($A37&amp;"|Ja",Part_Suppliers!$L$2:$L$300,Part_Suppliers!$D$2:$D$300,"",0)=0,"",_xlfn.XLOOKUP($A37&amp;"|Ja",Part_Suppliers!$L$2:$L$300,Part_Suppliers!$D$2:$D$300,"",0)),"")</f>
        <v>https://www.reichelt.de/de/de/shop/produkt/schottkydiode_30_v_0_2_a_sot-23-219176</v>
      </c>
      <c r="L37" s="47">
        <f>IFERROR(VLOOKUP($A37,Stock!$A$5:$K$200,10,FALSE()),0)</f>
        <v>20</v>
      </c>
      <c r="M37" s="47">
        <f>IFERROR(VLOOKUP($A37,Stock!$A$5:$K$200,11,FALSE()),0)</f>
        <v>0</v>
      </c>
      <c r="N37" s="47">
        <f t="shared" si="9"/>
        <v>18</v>
      </c>
      <c r="O37" s="47">
        <f t="shared" si="10"/>
        <v>0</v>
      </c>
      <c r="P37" s="48">
        <v>0</v>
      </c>
      <c r="Q37" s="49">
        <f t="shared" si="11"/>
        <v>0</v>
      </c>
      <c r="R37" s="82">
        <f>SUMIFS(Part_Alternatives!$H$2:$H$200,Part_Alternatives!$A$2:$A$200,$A37,Part_Alternatives!$E$2:$E$200,"Ja")</f>
        <v>0</v>
      </c>
      <c r="S37" s="82">
        <f>SUMIFS(Part_Alternatives!$I$2:$I$200,Part_Alternatives!$A$2:$A$200,$A37,Part_Alternatives!$E$2:$E$200,"Ja")</f>
        <v>0</v>
      </c>
      <c r="T37" s="80" t="str">
        <f>IFERROR(VLOOKUP($A37,Part_Alternatives!$A$2:$K$200,10,FALSE()),"")</f>
        <v/>
      </c>
    </row>
    <row r="38" spans="1:20" ht="14" hidden="1" customHeight="1" x14ac:dyDescent="0.2">
      <c r="A38" s="26" t="s">
        <v>122</v>
      </c>
      <c r="B38" s="45" t="str">
        <f>IFERROR(VLOOKUP($A38,Parts!$A$2:$M$191,3,FALSE()),"")</f>
        <v>Buchsenleiste 1x2, vertikal</v>
      </c>
      <c r="C38" s="26" t="str">
        <f>IFERROR(IF(_xlfn.XLOOKUP($A38&amp;"|Ja",Part_Suppliers!$L$2:$L$300,Part_Suppliers!$B$2:$B$300,"",0)=0,"",_xlfn.XLOOKUP($A38&amp;"|Ja",Part_Suppliers!$L$2:$L$300,Part_Suppliers!$B$2:$B$300,"",0)),"")</f>
        <v>Reichelt</v>
      </c>
      <c r="D38" s="26">
        <f>IFERROR(IF(_xlfn.XLOOKUP($A38&amp;"|Ja",Part_Suppliers!$L$2:$L$300,Part_Suppliers!$C$2:$C$300,"",0)=0,"",_xlfn.XLOOKUP($A38&amp;"|Ja",Part_Suppliers!$L$2:$L$300,Part_Suppliers!$C$2:$C$300,"",0)),"")</f>
        <v>31101103</v>
      </c>
      <c r="E38" s="27">
        <f>SUMIFS(Kit_BOM!$F$2:$F$300,Kit_BOM!$E$2:$E$300,$A38,Kit_BOM!$A$2:$A$300,$A$5,Kit_BOM!$G$2:$G$300,"Bestücken")*$C$5+SUMIFS(Kit_BOM!$F$2:$F$300,Kit_BOM!$E$2:$E$300,$A38,Kit_BOM!$A$2:$A$300,$A$5,Kit_BOM!$G$2:$G$300,"Mechanical")*$C$5+IF($F$5="Ja",SUMIFS(Kit_BOM!$F$2:$F$300,Kit_BOM!$E$2:$E$300,$A38,Kit_BOM!$A$2:$A$300,$A$5,Kit_BOM!$G$2:$G$300,"Optional")*$C$5,0)+IF($F$6="Ja",SUMIFS(Kit_BOM!$F$2:$F$300,Kit_BOM!$E$2:$E$300,$A38,Kit_BOM!$A$2:$A$300,$A$5,Kit_BOM!$G$2:$G$300,"DNP")*$C$5,0)+SUMIFS(Kit_BOM!$F$2:$F$300,Kit_BOM!$E$2:$E$300,$A38,Kit_BOM!$A$2:$A$300,$A$6,Kit_BOM!$G$2:$G$300,"Bestücken")*$C$6+SUMIFS(Kit_BOM!$F$2:$F$300,Kit_BOM!$E$2:$E$300,$A38,Kit_BOM!$A$2:$A$300,$A$6,Kit_BOM!$G$2:$G$300,"Mechanical")*$C$6+IF($F$5="Ja",SUMIFS(Kit_BOM!$F$2:$F$300,Kit_BOM!$E$2:$E$300,$A38,Kit_BOM!$A$2:$A$300,$A$6,Kit_BOM!$G$2:$G$300,"Optional")*$C$6,0)+IF($F$6="Ja",SUMIFS(Kit_BOM!$F$2:$F$300,Kit_BOM!$E$2:$E$300,$A38,Kit_BOM!$A$2:$A$300,$A$6,Kit_BOM!$G$2:$G$300,"DNP")*$C$6,0)+SUMIFS(Kit_BOM!$F$2:$F$300,Kit_BOM!$E$2:$E$300,$A38,Kit_BOM!$A$2:$A$300,$A$7,Kit_BOM!$G$2:$G$300,"Bestücken")*$C$7+SUMIFS(Kit_BOM!$F$2:$F$300,Kit_BOM!$E$2:$E$300,$A38,Kit_BOM!$A$2:$A$300,$A$7,Kit_BOM!$G$2:$G$300,"Mechanical")*$C$7+IF($F$5="Ja",SUMIFS(Kit_BOM!$F$2:$F$300,Kit_BOM!$E$2:$E$300,$A38,Kit_BOM!$A$2:$A$300,$A$7,Kit_BOM!$G$2:$G$300,"Optional")*$C$7,0)+IF($F$6="Ja",SUMIFS(Kit_BOM!$F$2:$F$300,Kit_BOM!$E$2:$E$300,$A38,Kit_BOM!$A$2:$A$300,$A$7,Kit_BOM!$G$2:$G$300,"DNP")*$C$7,0)+SUMIFS(Kit_BOM!$F$2:$F$300,Kit_BOM!$E$2:$E$300,$A38,Kit_BOM!$A$2:$A$300,$A$8,Kit_BOM!$G$2:$G$300,"Bestücken")*$C$8+SUMIFS(Kit_BOM!$F$2:$F$300,Kit_BOM!$E$2:$E$300,$A38,Kit_BOM!$A$2:$A$300,$A$8,Kit_BOM!$G$2:$G$300,"Mechanical")*$C$8+IF($F$5="Ja",SUMIFS(Kit_BOM!$F$2:$F$300,Kit_BOM!$E$2:$E$300,$A38,Kit_BOM!$A$2:$A$300,$A$8,Kit_BOM!$G$2:$G$300,"Optional")*$C$8,0)+IF($F$6="Ja",SUMIFS(Kit_BOM!$F$2:$F$300,Kit_BOM!$E$2:$E$300,$A38,Kit_BOM!$A$2:$A$300,$A$8,Kit_BOM!$G$2:$G$300,"DNP")*$C$8,0)+SUMIFS(Kit_BOM!$F$2:$F$300,Kit_BOM!$E$2:$E$300,$A38,Kit_BOM!$A$2:$A$300,$A$9,Kit_BOM!$G$2:$G$300,"Bestücken")*$C$9+SUMIFS(Kit_BOM!$F$2:$F$300,Kit_BOM!$E$2:$E$300,$A38,Kit_BOM!$A$2:$A$300,$A$9,Kit_BOM!$G$2:$G$300,"Mechanical")*$C$9+IF($F$5="Ja",SUMIFS(Kit_BOM!$F$2:$F$300,Kit_BOM!$E$2:$E$300,$A38,Kit_BOM!$A$2:$A$300,$A$9,Kit_BOM!$G$2:$G$300,"Optional")*$C$9,0)+IF($F$6="Ja",SUMIFS(Kit_BOM!$F$2:$F$300,Kit_BOM!$E$2:$E$300,$A38,Kit_BOM!$A$2:$A$300,$A$9,Kit_BOM!$G$2:$G$300,"DNP")*$C$9,0)+SUMIFS(Kit_BOM!$F$2:$F$300,Kit_BOM!$E$2:$E$300,$A38,Kit_BOM!$A$2:$A$300,$A$10,Kit_BOM!$G$2:$G$300,"Bestücken")*$C$10+SUMIFS(Kit_BOM!$F$2:$F$300,Kit_BOM!$E$2:$E$300,$A38,Kit_BOM!$A$2:$A$300,$A$10,Kit_BOM!$G$2:$G$300,"Mechanical")*$C$10+IF($F$5="Ja",SUMIFS(Kit_BOM!$F$2:$F$300,Kit_BOM!$E$2:$E$300,$A38,Kit_BOM!$A$2:$A$300,$A$10,Kit_BOM!$G$2:$G$300,"Optional")*$C$10,0)+IF($F$6="Ja",SUMIFS(Kit_BOM!$F$2:$F$300,Kit_BOM!$E$2:$E$300,$A38,Kit_BOM!$A$2:$A$300,$A$10,Kit_BOM!$G$2:$G$300,"DNP")*$C$10,0)+SUMIFS(Kit_BOM!$F$2:$F$300,Kit_BOM!$E$2:$E$300,$A38,Kit_BOM!$A$2:$A$300,$A$11,Kit_BOM!$G$2:$G$300,"Bestücken")*$C$11+SUMIFS(Kit_BOM!$F$2:$F$300,Kit_BOM!$E$2:$E$300,$A38,Kit_BOM!$A$2:$A$300,$A$11,Kit_BOM!$G$2:$G$300,"Mechanical")*$C$11+IF($F$5="Ja",SUMIFS(Kit_BOM!$F$2:$F$300,Kit_BOM!$E$2:$E$300,$A38,Kit_BOM!$A$2:$A$300,$A$11,Kit_BOM!$G$2:$G$300,"Optional")*$C$11,0)+IF($F$6="Ja",SUMIFS(Kit_BOM!$F$2:$F$300,Kit_BOM!$E$2:$E$300,$A38,Kit_BOM!$A$2:$A$300,$A$11,Kit_BOM!$G$2:$G$300,"DNP")*$C$11,0)+SUMIFS(Kit_BOM!$F$2:$F$300,Kit_BOM!$E$2:$E$300,$A38,Kit_BOM!$A$2:$A$300,$A$12,Kit_BOM!$G$2:$G$300,"Bestücken")*$C$12+SUMIFS(Kit_BOM!$F$2:$F$300,Kit_BOM!$E$2:$E$300,$A38,Kit_BOM!$A$2:$A$300,$A$12,Kit_BOM!$G$2:$G$300,"Mechanical")*$C$12+IF($F$5="Ja",SUMIFS(Kit_BOM!$F$2:$F$300,Kit_BOM!$E$2:$E$300,$A38,Kit_BOM!$A$2:$A$300,$A$12,Kit_BOM!$G$2:$G$300,"Optional")*$C$12,0)+IF($F$6="Ja",SUMIFS(Kit_BOM!$F$2:$F$300,Kit_BOM!$E$2:$E$300,$A38,Kit_BOM!$A$2:$A$300,$A$12,Kit_BOM!$G$2:$G$300,"DNP")*$C$12,0)+SUMIFS(Kit_BOM!$F$2:$F$300,Kit_BOM!$E$2:$E$300,$A38,Kit_BOM!$A$2:$A$300,$H$5,Kit_BOM!$G$2:$G$300,"Bestücken")*$J$5+SUMIFS(Kit_BOM!$F$2:$F$300,Kit_BOM!$E$2:$E$300,$A38,Kit_BOM!$A$2:$A$300,$H$5,Kit_BOM!$G$2:$G$300,"Mechanical")*$J$5+IF($F$5="Ja",SUMIFS(Kit_BOM!$F$2:$F$300,Kit_BOM!$E$2:$E$300,$A38,Kit_BOM!$A$2:$A$300,$H$5,Kit_BOM!$G$2:$G$300,"Optional")*$J$5,0)+IF($F$6="Ja",SUMIFS(Kit_BOM!$F$2:$F$300,Kit_BOM!$E$2:$E$300,$A38,Kit_BOM!$A$2:$A$300,$H$5,Kit_BOM!$G$2:$G$300,"DNP")*$J$5,0)+SUMIFS(Kit_BOM!$F$2:$F$300,Kit_BOM!$E$2:$E$300,$A38,Kit_BOM!$A$2:$A$300,$H$6,Kit_BOM!$G$2:$G$300,"Bestücken")*$J$6+SUMIFS(Kit_BOM!$F$2:$F$300,Kit_BOM!$E$2:$E$300,$A38,Kit_BOM!$A$2:$A$300,$H$6,Kit_BOM!$G$2:$G$300,"Mechanical")*$J$6+IF($F$5="Ja",SUMIFS(Kit_BOM!$F$2:$F$300,Kit_BOM!$E$2:$E$300,$A38,Kit_BOM!$A$2:$A$300,$H$6,Kit_BOM!$G$2:$G$300,"Optional")*$J$6,0)+IF($F$6="Ja",SUMIFS(Kit_BOM!$F$2:$F$300,Kit_BOM!$E$2:$E$300,$A38,Kit_BOM!$A$2:$A$300,$H$6,Kit_BOM!$G$2:$G$300,"DNP")*$J$6,0)</f>
        <v>0</v>
      </c>
      <c r="F38" s="27" t="str">
        <f>IFERROR(IF(_xlfn.XLOOKUP($A38&amp;"|Ja",Part_Suppliers!$L$2:$L$300,Part_Suppliers!$G$2:$G$300,"",0)=0,"",_xlfn.XLOOKUP($A38&amp;"|Ja",Part_Suppliers!$L$2:$L$300,Part_Suppliers!$G$2:$G$300,"",0)),"")</f>
        <v/>
      </c>
      <c r="G38" s="27">
        <f t="shared" si="6"/>
        <v>0</v>
      </c>
      <c r="H38" s="46">
        <f>IFERROR(IF(_xlfn.XLOOKUP($A38&amp;"|Ja",Part_Suppliers!$L$2:$L$300,Part_Suppliers!$E$2:$E$300,"",0)=0,"",_xlfn.XLOOKUP($A38&amp;"|Ja",Part_Suppliers!$L$2:$L$300,Part_Suppliers!$E$2:$E$300,"",0)),"")</f>
        <v>0.39</v>
      </c>
      <c r="I38" s="46">
        <f t="shared" si="7"/>
        <v>0</v>
      </c>
      <c r="J38" t="str">
        <f t="shared" si="8"/>
        <v>Nicht benötigt</v>
      </c>
      <c r="K38" s="26" t="str">
        <f>IFERROR(IF(_xlfn.XLOOKUP($A38&amp;"|Ja",Part_Suppliers!$L$2:$L$300,Part_Suppliers!$D$2:$D$300,"",0)=0,"",_xlfn.XLOOKUP($A38&amp;"|Ja",Part_Suppliers!$L$2:$L$300,Part_Suppliers!$D$2:$D$300,"",0)),"")</f>
        <v>https://www.reichelt.de/de/de/shop/produkt/anschlussklemme_3-pol_2_mm_rm_5_08-36606</v>
      </c>
      <c r="L38" s="47">
        <f>IFERROR(VLOOKUP($A38,Stock!$A$5:$K$200,10,FALSE()),0)</f>
        <v>0</v>
      </c>
      <c r="M38" s="47">
        <f>IFERROR(VLOOKUP($A38,Stock!$A$5:$K$200,11,FALSE()),0)</f>
        <v>0</v>
      </c>
      <c r="N38" s="47">
        <f t="shared" si="9"/>
        <v>0</v>
      </c>
      <c r="O38" s="47">
        <f t="shared" si="10"/>
        <v>0</v>
      </c>
      <c r="P38" s="48">
        <v>0</v>
      </c>
      <c r="Q38" s="49">
        <f t="shared" si="11"/>
        <v>0</v>
      </c>
      <c r="R38" s="82">
        <f>SUMIFS(Part_Alternatives!$H$2:$H$200,Part_Alternatives!$A$2:$A$200,$A38,Part_Alternatives!$E$2:$E$200,"Ja")</f>
        <v>0</v>
      </c>
      <c r="S38" s="82">
        <f>SUMIFS(Part_Alternatives!$I$2:$I$200,Part_Alternatives!$A$2:$A$200,$A38,Part_Alternatives!$E$2:$E$200,"Ja")</f>
        <v>0</v>
      </c>
      <c r="T38" s="80" t="str">
        <f>IFERROR(VLOOKUP($A38,Part_Alternatives!$A$2:$K$200,10,FALSE()),"")</f>
        <v/>
      </c>
    </row>
    <row r="39" spans="1:20" ht="26.25" hidden="1" customHeight="1" x14ac:dyDescent="0.2">
      <c r="A39" s="26" t="s">
        <v>123</v>
      </c>
      <c r="B39" s="45" t="str">
        <f>IFERROR(VLOOKUP($A39,Parts!$A$2:$M$191,3,FALSE()),"")</f>
        <v>Widerstand, Metallschicht, 150 Ohm, 0207, 250 mW, 0,1%</v>
      </c>
      <c r="C39" s="26" t="str">
        <f>IFERROR(IF(_xlfn.XLOOKUP($A39&amp;"|Ja",Part_Suppliers!$L$2:$L$300,Part_Suppliers!$B$2:$B$300,"",0)=0,"",_xlfn.XLOOKUP($A39&amp;"|Ja",Part_Suppliers!$L$2:$L$300,Part_Suppliers!$B$2:$B$300,"",0)),"")</f>
        <v>DigiKey</v>
      </c>
      <c r="D39" s="26" t="str">
        <f>IFERROR(IF(_xlfn.XLOOKUP($A39&amp;"|Ja",Part_Suppliers!$L$2:$L$300,Part_Suppliers!$C$2:$C$300,"",0)=0,"",_xlfn.XLOOKUP($A39&amp;"|Ja",Part_Suppliers!$L$2:$L$300,Part_Suppliers!$C$2:$C$300,"",0)),"")</f>
        <v>1712-YR1B150RCCCT-ND</v>
      </c>
      <c r="E39" s="27">
        <f>SUMIFS(Kit_BOM!$F$2:$F$300,Kit_BOM!$E$2:$E$300,$A39,Kit_BOM!$A$2:$A$300,$A$5,Kit_BOM!$G$2:$G$300,"Bestücken")*$C$5+SUMIFS(Kit_BOM!$F$2:$F$300,Kit_BOM!$E$2:$E$300,$A39,Kit_BOM!$A$2:$A$300,$A$5,Kit_BOM!$G$2:$G$300,"Mechanical")*$C$5+IF($F$5="Ja",SUMIFS(Kit_BOM!$F$2:$F$300,Kit_BOM!$E$2:$E$300,$A39,Kit_BOM!$A$2:$A$300,$A$5,Kit_BOM!$G$2:$G$300,"Optional")*$C$5,0)+IF($F$6="Ja",SUMIFS(Kit_BOM!$F$2:$F$300,Kit_BOM!$E$2:$E$300,$A39,Kit_BOM!$A$2:$A$300,$A$5,Kit_BOM!$G$2:$G$300,"DNP")*$C$5,0)+SUMIFS(Kit_BOM!$F$2:$F$300,Kit_BOM!$E$2:$E$300,$A39,Kit_BOM!$A$2:$A$300,$A$6,Kit_BOM!$G$2:$G$300,"Bestücken")*$C$6+SUMIFS(Kit_BOM!$F$2:$F$300,Kit_BOM!$E$2:$E$300,$A39,Kit_BOM!$A$2:$A$300,$A$6,Kit_BOM!$G$2:$G$300,"Mechanical")*$C$6+IF($F$5="Ja",SUMIFS(Kit_BOM!$F$2:$F$300,Kit_BOM!$E$2:$E$300,$A39,Kit_BOM!$A$2:$A$300,$A$6,Kit_BOM!$G$2:$G$300,"Optional")*$C$6,0)+IF($F$6="Ja",SUMIFS(Kit_BOM!$F$2:$F$300,Kit_BOM!$E$2:$E$300,$A39,Kit_BOM!$A$2:$A$300,$A$6,Kit_BOM!$G$2:$G$300,"DNP")*$C$6,0)+SUMIFS(Kit_BOM!$F$2:$F$300,Kit_BOM!$E$2:$E$300,$A39,Kit_BOM!$A$2:$A$300,$A$7,Kit_BOM!$G$2:$G$300,"Bestücken")*$C$7+SUMIFS(Kit_BOM!$F$2:$F$300,Kit_BOM!$E$2:$E$300,$A39,Kit_BOM!$A$2:$A$300,$A$7,Kit_BOM!$G$2:$G$300,"Mechanical")*$C$7+IF($F$5="Ja",SUMIFS(Kit_BOM!$F$2:$F$300,Kit_BOM!$E$2:$E$300,$A39,Kit_BOM!$A$2:$A$300,$A$7,Kit_BOM!$G$2:$G$300,"Optional")*$C$7,0)+IF($F$6="Ja",SUMIFS(Kit_BOM!$F$2:$F$300,Kit_BOM!$E$2:$E$300,$A39,Kit_BOM!$A$2:$A$300,$A$7,Kit_BOM!$G$2:$G$300,"DNP")*$C$7,0)+SUMIFS(Kit_BOM!$F$2:$F$300,Kit_BOM!$E$2:$E$300,$A39,Kit_BOM!$A$2:$A$300,$A$8,Kit_BOM!$G$2:$G$300,"Bestücken")*$C$8+SUMIFS(Kit_BOM!$F$2:$F$300,Kit_BOM!$E$2:$E$300,$A39,Kit_BOM!$A$2:$A$300,$A$8,Kit_BOM!$G$2:$G$300,"Mechanical")*$C$8+IF($F$5="Ja",SUMIFS(Kit_BOM!$F$2:$F$300,Kit_BOM!$E$2:$E$300,$A39,Kit_BOM!$A$2:$A$300,$A$8,Kit_BOM!$G$2:$G$300,"Optional")*$C$8,0)+IF($F$6="Ja",SUMIFS(Kit_BOM!$F$2:$F$300,Kit_BOM!$E$2:$E$300,$A39,Kit_BOM!$A$2:$A$300,$A$8,Kit_BOM!$G$2:$G$300,"DNP")*$C$8,0)+SUMIFS(Kit_BOM!$F$2:$F$300,Kit_BOM!$E$2:$E$300,$A39,Kit_BOM!$A$2:$A$300,$A$9,Kit_BOM!$G$2:$G$300,"Bestücken")*$C$9+SUMIFS(Kit_BOM!$F$2:$F$300,Kit_BOM!$E$2:$E$300,$A39,Kit_BOM!$A$2:$A$300,$A$9,Kit_BOM!$G$2:$G$300,"Mechanical")*$C$9+IF($F$5="Ja",SUMIFS(Kit_BOM!$F$2:$F$300,Kit_BOM!$E$2:$E$300,$A39,Kit_BOM!$A$2:$A$300,$A$9,Kit_BOM!$G$2:$G$300,"Optional")*$C$9,0)+IF($F$6="Ja",SUMIFS(Kit_BOM!$F$2:$F$300,Kit_BOM!$E$2:$E$300,$A39,Kit_BOM!$A$2:$A$300,$A$9,Kit_BOM!$G$2:$G$300,"DNP")*$C$9,0)+SUMIFS(Kit_BOM!$F$2:$F$300,Kit_BOM!$E$2:$E$300,$A39,Kit_BOM!$A$2:$A$300,$A$10,Kit_BOM!$G$2:$G$300,"Bestücken")*$C$10+SUMIFS(Kit_BOM!$F$2:$F$300,Kit_BOM!$E$2:$E$300,$A39,Kit_BOM!$A$2:$A$300,$A$10,Kit_BOM!$G$2:$G$300,"Mechanical")*$C$10+IF($F$5="Ja",SUMIFS(Kit_BOM!$F$2:$F$300,Kit_BOM!$E$2:$E$300,$A39,Kit_BOM!$A$2:$A$300,$A$10,Kit_BOM!$G$2:$G$300,"Optional")*$C$10,0)+IF($F$6="Ja",SUMIFS(Kit_BOM!$F$2:$F$300,Kit_BOM!$E$2:$E$300,$A39,Kit_BOM!$A$2:$A$300,$A$10,Kit_BOM!$G$2:$G$300,"DNP")*$C$10,0)+SUMIFS(Kit_BOM!$F$2:$F$300,Kit_BOM!$E$2:$E$300,$A39,Kit_BOM!$A$2:$A$300,$A$11,Kit_BOM!$G$2:$G$300,"Bestücken")*$C$11+SUMIFS(Kit_BOM!$F$2:$F$300,Kit_BOM!$E$2:$E$300,$A39,Kit_BOM!$A$2:$A$300,$A$11,Kit_BOM!$G$2:$G$300,"Mechanical")*$C$11+IF($F$5="Ja",SUMIFS(Kit_BOM!$F$2:$F$300,Kit_BOM!$E$2:$E$300,$A39,Kit_BOM!$A$2:$A$300,$A$11,Kit_BOM!$G$2:$G$300,"Optional")*$C$11,0)+IF($F$6="Ja",SUMIFS(Kit_BOM!$F$2:$F$300,Kit_BOM!$E$2:$E$300,$A39,Kit_BOM!$A$2:$A$300,$A$11,Kit_BOM!$G$2:$G$300,"DNP")*$C$11,0)+SUMIFS(Kit_BOM!$F$2:$F$300,Kit_BOM!$E$2:$E$300,$A39,Kit_BOM!$A$2:$A$300,$A$12,Kit_BOM!$G$2:$G$300,"Bestücken")*$C$12+SUMIFS(Kit_BOM!$F$2:$F$300,Kit_BOM!$E$2:$E$300,$A39,Kit_BOM!$A$2:$A$300,$A$12,Kit_BOM!$G$2:$G$300,"Mechanical")*$C$12+IF($F$5="Ja",SUMIFS(Kit_BOM!$F$2:$F$300,Kit_BOM!$E$2:$E$300,$A39,Kit_BOM!$A$2:$A$300,$A$12,Kit_BOM!$G$2:$G$300,"Optional")*$C$12,0)+IF($F$6="Ja",SUMIFS(Kit_BOM!$F$2:$F$300,Kit_BOM!$E$2:$E$300,$A39,Kit_BOM!$A$2:$A$300,$A$12,Kit_BOM!$G$2:$G$300,"DNP")*$C$12,0)+SUMIFS(Kit_BOM!$F$2:$F$300,Kit_BOM!$E$2:$E$300,$A39,Kit_BOM!$A$2:$A$300,$H$5,Kit_BOM!$G$2:$G$300,"Bestücken")*$J$5+SUMIFS(Kit_BOM!$F$2:$F$300,Kit_BOM!$E$2:$E$300,$A39,Kit_BOM!$A$2:$A$300,$H$5,Kit_BOM!$G$2:$G$300,"Mechanical")*$J$5+IF($F$5="Ja",SUMIFS(Kit_BOM!$F$2:$F$300,Kit_BOM!$E$2:$E$300,$A39,Kit_BOM!$A$2:$A$300,$H$5,Kit_BOM!$G$2:$G$300,"Optional")*$J$5,0)+IF($F$6="Ja",SUMIFS(Kit_BOM!$F$2:$F$300,Kit_BOM!$E$2:$E$300,$A39,Kit_BOM!$A$2:$A$300,$H$5,Kit_BOM!$G$2:$G$300,"DNP")*$J$5,0)+SUMIFS(Kit_BOM!$F$2:$F$300,Kit_BOM!$E$2:$E$300,$A39,Kit_BOM!$A$2:$A$300,$H$6,Kit_BOM!$G$2:$G$300,"Bestücken")*$J$6+SUMIFS(Kit_BOM!$F$2:$F$300,Kit_BOM!$E$2:$E$300,$A39,Kit_BOM!$A$2:$A$300,$H$6,Kit_BOM!$G$2:$G$300,"Mechanical")*$J$6+IF($F$5="Ja",SUMIFS(Kit_BOM!$F$2:$F$300,Kit_BOM!$E$2:$E$300,$A39,Kit_BOM!$A$2:$A$300,$H$6,Kit_BOM!$G$2:$G$300,"Optional")*$J$6,0)+IF($F$6="Ja",SUMIFS(Kit_BOM!$F$2:$F$300,Kit_BOM!$E$2:$E$300,$A39,Kit_BOM!$A$2:$A$300,$H$6,Kit_BOM!$G$2:$G$300,"DNP")*$J$6,0)</f>
        <v>2</v>
      </c>
      <c r="F39" s="27" t="str">
        <f>IFERROR(IF(_xlfn.XLOOKUP($A39&amp;"|Ja",Part_Suppliers!$L$2:$L$300,Part_Suppliers!$G$2:$G$300,"",0)=0,"",_xlfn.XLOOKUP($A39&amp;"|Ja",Part_Suppliers!$L$2:$L$300,Part_Suppliers!$G$2:$G$300,"",0)),"")</f>
        <v/>
      </c>
      <c r="G39" s="27">
        <f t="shared" si="6"/>
        <v>2</v>
      </c>
      <c r="H39" s="46">
        <f>IFERROR(IF(_xlfn.XLOOKUP($A39&amp;"|Ja",Part_Suppliers!$L$2:$L$300,Part_Suppliers!$E$2:$E$300,"",0)=0,"",_xlfn.XLOOKUP($A39&amp;"|Ja",Part_Suppliers!$L$2:$L$300,Part_Suppliers!$E$2:$E$300,"",0)),"")</f>
        <v>0.88</v>
      </c>
      <c r="I39" s="46">
        <f t="shared" si="7"/>
        <v>1.76</v>
      </c>
      <c r="J39" t="str">
        <f t="shared" si="8"/>
        <v>Gedeckt</v>
      </c>
      <c r="K39" s="26" t="str">
        <f>IFERROR(IF(_xlfn.XLOOKUP($A39&amp;"|Ja",Part_Suppliers!$L$2:$L$300,Part_Suppliers!$D$2:$D$300,"",0)=0,"",_xlfn.XLOOKUP($A39&amp;"|Ja",Part_Suppliers!$L$2:$L$300,Part_Suppliers!$D$2:$D$300,"",0)),"")</f>
        <v>https://www.digikey.com/en/products/detail/te-connectivity-passive-product/YR1B150RCC/2390715</v>
      </c>
      <c r="L39" s="47">
        <f>IFERROR(VLOOKUP($A39,Stock!$A$5:$K$200,10,FALSE()),0)</f>
        <v>10</v>
      </c>
      <c r="M39" s="47">
        <f>IFERROR(VLOOKUP($A39,Stock!$A$5:$K$200,11,FALSE()),0)</f>
        <v>0</v>
      </c>
      <c r="N39" s="47">
        <f t="shared" si="9"/>
        <v>8</v>
      </c>
      <c r="O39" s="47">
        <f t="shared" si="10"/>
        <v>0</v>
      </c>
      <c r="P39" s="48">
        <v>0</v>
      </c>
      <c r="Q39" s="49">
        <f t="shared" si="11"/>
        <v>0</v>
      </c>
      <c r="R39" s="82">
        <f>SUMIFS(Part_Alternatives!$H$2:$H$200,Part_Alternatives!$A$2:$A$200,$A39,Part_Alternatives!$E$2:$E$200,"Ja")</f>
        <v>0</v>
      </c>
      <c r="S39" s="82">
        <f>SUMIFS(Part_Alternatives!$I$2:$I$200,Part_Alternatives!$A$2:$A$200,$A39,Part_Alternatives!$E$2:$E$200,"Ja")</f>
        <v>0</v>
      </c>
      <c r="T39" s="80" t="str">
        <f>IFERROR(VLOOKUP($A39,Part_Alternatives!$A$2:$K$200,10,FALSE()),"")</f>
        <v/>
      </c>
    </row>
    <row r="40" spans="1:20" ht="14" hidden="1" customHeight="1" x14ac:dyDescent="0.2">
      <c r="A40" s="26" t="s">
        <v>124</v>
      </c>
      <c r="B40" s="45" t="str">
        <f>IFERROR(VLOOKUP($A40,Parts!$A$2:$M$191,3,FALSE()),"")</f>
        <v>Schnelle Schaltdiode 1N4148W</v>
      </c>
      <c r="C40" s="26" t="str">
        <f>IFERROR(IF(_xlfn.XLOOKUP($A40&amp;"|Ja",Part_Suppliers!$L$2:$L$300,Part_Suppliers!$B$2:$B$300,"",0)=0,"",_xlfn.XLOOKUP($A40&amp;"|Ja",Part_Suppliers!$L$2:$L$300,Part_Suppliers!$B$2:$B$300,"",0)),"")</f>
        <v>Reichelt</v>
      </c>
      <c r="D40" s="26" t="str">
        <f>IFERROR(IF(_xlfn.XLOOKUP($A40&amp;"|Ja",Part_Suppliers!$L$2:$L$300,Part_Suppliers!$C$2:$C$300,"",0)=0,"",_xlfn.XLOOKUP($A40&amp;"|Ja",Part_Suppliers!$L$2:$L$300,Part_Suppliers!$C$2:$C$300,"",0)),"")</f>
        <v>1N 4148W DIO</v>
      </c>
      <c r="E40" s="27">
        <f>SUMIFS(Kit_BOM!$F$2:$F$300,Kit_BOM!$E$2:$E$300,$A40,Kit_BOM!$A$2:$A$300,$A$5,Kit_BOM!$G$2:$G$300,"Bestücken")*$C$5+SUMIFS(Kit_BOM!$F$2:$F$300,Kit_BOM!$E$2:$E$300,$A40,Kit_BOM!$A$2:$A$300,$A$5,Kit_BOM!$G$2:$G$300,"Mechanical")*$C$5+IF($F$5="Ja",SUMIFS(Kit_BOM!$F$2:$F$300,Kit_BOM!$E$2:$E$300,$A40,Kit_BOM!$A$2:$A$300,$A$5,Kit_BOM!$G$2:$G$300,"Optional")*$C$5,0)+IF($F$6="Ja",SUMIFS(Kit_BOM!$F$2:$F$300,Kit_BOM!$E$2:$E$300,$A40,Kit_BOM!$A$2:$A$300,$A$5,Kit_BOM!$G$2:$G$300,"DNP")*$C$5,0)+SUMIFS(Kit_BOM!$F$2:$F$300,Kit_BOM!$E$2:$E$300,$A40,Kit_BOM!$A$2:$A$300,$A$6,Kit_BOM!$G$2:$G$300,"Bestücken")*$C$6+SUMIFS(Kit_BOM!$F$2:$F$300,Kit_BOM!$E$2:$E$300,$A40,Kit_BOM!$A$2:$A$300,$A$6,Kit_BOM!$G$2:$G$300,"Mechanical")*$C$6+IF($F$5="Ja",SUMIFS(Kit_BOM!$F$2:$F$300,Kit_BOM!$E$2:$E$300,$A40,Kit_BOM!$A$2:$A$300,$A$6,Kit_BOM!$G$2:$G$300,"Optional")*$C$6,0)+IF($F$6="Ja",SUMIFS(Kit_BOM!$F$2:$F$300,Kit_BOM!$E$2:$E$300,$A40,Kit_BOM!$A$2:$A$300,$A$6,Kit_BOM!$G$2:$G$300,"DNP")*$C$6,0)+SUMIFS(Kit_BOM!$F$2:$F$300,Kit_BOM!$E$2:$E$300,$A40,Kit_BOM!$A$2:$A$300,$A$7,Kit_BOM!$G$2:$G$300,"Bestücken")*$C$7+SUMIFS(Kit_BOM!$F$2:$F$300,Kit_BOM!$E$2:$E$300,$A40,Kit_BOM!$A$2:$A$300,$A$7,Kit_BOM!$G$2:$G$300,"Mechanical")*$C$7+IF($F$5="Ja",SUMIFS(Kit_BOM!$F$2:$F$300,Kit_BOM!$E$2:$E$300,$A40,Kit_BOM!$A$2:$A$300,$A$7,Kit_BOM!$G$2:$G$300,"Optional")*$C$7,0)+IF($F$6="Ja",SUMIFS(Kit_BOM!$F$2:$F$300,Kit_BOM!$E$2:$E$300,$A40,Kit_BOM!$A$2:$A$300,$A$7,Kit_BOM!$G$2:$G$300,"DNP")*$C$7,0)+SUMIFS(Kit_BOM!$F$2:$F$300,Kit_BOM!$E$2:$E$300,$A40,Kit_BOM!$A$2:$A$300,$A$8,Kit_BOM!$G$2:$G$300,"Bestücken")*$C$8+SUMIFS(Kit_BOM!$F$2:$F$300,Kit_BOM!$E$2:$E$300,$A40,Kit_BOM!$A$2:$A$300,$A$8,Kit_BOM!$G$2:$G$300,"Mechanical")*$C$8+IF($F$5="Ja",SUMIFS(Kit_BOM!$F$2:$F$300,Kit_BOM!$E$2:$E$300,$A40,Kit_BOM!$A$2:$A$300,$A$8,Kit_BOM!$G$2:$G$300,"Optional")*$C$8,0)+IF($F$6="Ja",SUMIFS(Kit_BOM!$F$2:$F$300,Kit_BOM!$E$2:$E$300,$A40,Kit_BOM!$A$2:$A$300,$A$8,Kit_BOM!$G$2:$G$300,"DNP")*$C$8,0)+SUMIFS(Kit_BOM!$F$2:$F$300,Kit_BOM!$E$2:$E$300,$A40,Kit_BOM!$A$2:$A$300,$A$9,Kit_BOM!$G$2:$G$300,"Bestücken")*$C$9+SUMIFS(Kit_BOM!$F$2:$F$300,Kit_BOM!$E$2:$E$300,$A40,Kit_BOM!$A$2:$A$300,$A$9,Kit_BOM!$G$2:$G$300,"Mechanical")*$C$9+IF($F$5="Ja",SUMIFS(Kit_BOM!$F$2:$F$300,Kit_BOM!$E$2:$E$300,$A40,Kit_BOM!$A$2:$A$300,$A$9,Kit_BOM!$G$2:$G$300,"Optional")*$C$9,0)+IF($F$6="Ja",SUMIFS(Kit_BOM!$F$2:$F$300,Kit_BOM!$E$2:$E$300,$A40,Kit_BOM!$A$2:$A$300,$A$9,Kit_BOM!$G$2:$G$300,"DNP")*$C$9,0)+SUMIFS(Kit_BOM!$F$2:$F$300,Kit_BOM!$E$2:$E$300,$A40,Kit_BOM!$A$2:$A$300,$A$10,Kit_BOM!$G$2:$G$300,"Bestücken")*$C$10+SUMIFS(Kit_BOM!$F$2:$F$300,Kit_BOM!$E$2:$E$300,$A40,Kit_BOM!$A$2:$A$300,$A$10,Kit_BOM!$G$2:$G$300,"Mechanical")*$C$10+IF($F$5="Ja",SUMIFS(Kit_BOM!$F$2:$F$300,Kit_BOM!$E$2:$E$300,$A40,Kit_BOM!$A$2:$A$300,$A$10,Kit_BOM!$G$2:$G$300,"Optional")*$C$10,0)+IF($F$6="Ja",SUMIFS(Kit_BOM!$F$2:$F$300,Kit_BOM!$E$2:$E$300,$A40,Kit_BOM!$A$2:$A$300,$A$10,Kit_BOM!$G$2:$G$300,"DNP")*$C$10,0)+SUMIFS(Kit_BOM!$F$2:$F$300,Kit_BOM!$E$2:$E$300,$A40,Kit_BOM!$A$2:$A$300,$A$11,Kit_BOM!$G$2:$G$300,"Bestücken")*$C$11+SUMIFS(Kit_BOM!$F$2:$F$300,Kit_BOM!$E$2:$E$300,$A40,Kit_BOM!$A$2:$A$300,$A$11,Kit_BOM!$G$2:$G$300,"Mechanical")*$C$11+IF($F$5="Ja",SUMIFS(Kit_BOM!$F$2:$F$300,Kit_BOM!$E$2:$E$300,$A40,Kit_BOM!$A$2:$A$300,$A$11,Kit_BOM!$G$2:$G$300,"Optional")*$C$11,0)+IF($F$6="Ja",SUMIFS(Kit_BOM!$F$2:$F$300,Kit_BOM!$E$2:$E$300,$A40,Kit_BOM!$A$2:$A$300,$A$11,Kit_BOM!$G$2:$G$300,"DNP")*$C$11,0)+SUMIFS(Kit_BOM!$F$2:$F$300,Kit_BOM!$E$2:$E$300,$A40,Kit_BOM!$A$2:$A$300,$A$12,Kit_BOM!$G$2:$G$300,"Bestücken")*$C$12+SUMIFS(Kit_BOM!$F$2:$F$300,Kit_BOM!$E$2:$E$300,$A40,Kit_BOM!$A$2:$A$300,$A$12,Kit_BOM!$G$2:$G$300,"Mechanical")*$C$12+IF($F$5="Ja",SUMIFS(Kit_BOM!$F$2:$F$300,Kit_BOM!$E$2:$E$300,$A40,Kit_BOM!$A$2:$A$300,$A$12,Kit_BOM!$G$2:$G$300,"Optional")*$C$12,0)+IF($F$6="Ja",SUMIFS(Kit_BOM!$F$2:$F$300,Kit_BOM!$E$2:$E$300,$A40,Kit_BOM!$A$2:$A$300,$A$12,Kit_BOM!$G$2:$G$300,"DNP")*$C$12,0)+SUMIFS(Kit_BOM!$F$2:$F$300,Kit_BOM!$E$2:$E$300,$A40,Kit_BOM!$A$2:$A$300,$H$5,Kit_BOM!$G$2:$G$300,"Bestücken")*$J$5+SUMIFS(Kit_BOM!$F$2:$F$300,Kit_BOM!$E$2:$E$300,$A40,Kit_BOM!$A$2:$A$300,$H$5,Kit_BOM!$G$2:$G$300,"Mechanical")*$J$5+IF($F$5="Ja",SUMIFS(Kit_BOM!$F$2:$F$300,Kit_BOM!$E$2:$E$300,$A40,Kit_BOM!$A$2:$A$300,$H$5,Kit_BOM!$G$2:$G$300,"Optional")*$J$5,0)+IF($F$6="Ja",SUMIFS(Kit_BOM!$F$2:$F$300,Kit_BOM!$E$2:$E$300,$A40,Kit_BOM!$A$2:$A$300,$H$5,Kit_BOM!$G$2:$G$300,"DNP")*$J$5,0)+SUMIFS(Kit_BOM!$F$2:$F$300,Kit_BOM!$E$2:$E$300,$A40,Kit_BOM!$A$2:$A$300,$H$6,Kit_BOM!$G$2:$G$300,"Bestücken")*$J$6+SUMIFS(Kit_BOM!$F$2:$F$300,Kit_BOM!$E$2:$E$300,$A40,Kit_BOM!$A$2:$A$300,$H$6,Kit_BOM!$G$2:$G$300,"Mechanical")*$J$6+IF($F$5="Ja",SUMIFS(Kit_BOM!$F$2:$F$300,Kit_BOM!$E$2:$E$300,$A40,Kit_BOM!$A$2:$A$300,$H$6,Kit_BOM!$G$2:$G$300,"Optional")*$J$6,0)+IF($F$6="Ja",SUMIFS(Kit_BOM!$F$2:$F$300,Kit_BOM!$E$2:$E$300,$A40,Kit_BOM!$A$2:$A$300,$H$6,Kit_BOM!$G$2:$G$300,"DNP")*$J$6,0)</f>
        <v>0</v>
      </c>
      <c r="F40" s="27" t="str">
        <f>IFERROR(IF(_xlfn.XLOOKUP($A40&amp;"|Ja",Part_Suppliers!$L$2:$L$300,Part_Suppliers!$G$2:$G$300,"",0)=0,"",_xlfn.XLOOKUP($A40&amp;"|Ja",Part_Suppliers!$L$2:$L$300,Part_Suppliers!$G$2:$G$300,"",0)),"")</f>
        <v/>
      </c>
      <c r="G40" s="27">
        <f t="shared" si="6"/>
        <v>0</v>
      </c>
      <c r="H40" s="46">
        <f>IFERROR(IF(_xlfn.XLOOKUP($A40&amp;"|Ja",Part_Suppliers!$L$2:$L$300,Part_Suppliers!$E$2:$E$300,"",0)=0,"",_xlfn.XLOOKUP($A40&amp;"|Ja",Part_Suppliers!$L$2:$L$300,Part_Suppliers!$E$2:$E$300,"",0)),"")</f>
        <v>0.02</v>
      </c>
      <c r="I40" s="46">
        <f t="shared" si="7"/>
        <v>0</v>
      </c>
      <c r="J40" t="str">
        <f t="shared" si="8"/>
        <v>Nicht benötigt</v>
      </c>
      <c r="K40" s="26" t="str">
        <f>IFERROR(IF(_xlfn.XLOOKUP($A40&amp;"|Ja",Part_Suppliers!$L$2:$L$300,Part_Suppliers!$D$2:$D$300,"",0)=0,"",_xlfn.XLOOKUP($A40&amp;"|Ja",Part_Suppliers!$L$2:$L$300,Part_Suppliers!$D$2:$D$300,"",0)),"")</f>
        <v>https://www.reichelt.de/de/de/shop/produkt/kleinsignal-schalt-diode_100_v_150_ma_sod-123-219382</v>
      </c>
      <c r="L40" s="47">
        <f>IFERROR(VLOOKUP($A40,Stock!$A$5:$K$200,10,FALSE()),0)</f>
        <v>48</v>
      </c>
      <c r="M40" s="47">
        <f>IFERROR(VLOOKUP($A40,Stock!$A$5:$K$200,11,FALSE()),0)</f>
        <v>0</v>
      </c>
      <c r="N40" s="47">
        <f t="shared" si="9"/>
        <v>48</v>
      </c>
      <c r="O40" s="47">
        <f t="shared" si="10"/>
        <v>0</v>
      </c>
      <c r="P40" s="48">
        <v>0</v>
      </c>
      <c r="Q40" s="49">
        <f t="shared" si="11"/>
        <v>0</v>
      </c>
      <c r="R40" s="82">
        <f>SUMIFS(Part_Alternatives!$H$2:$H$200,Part_Alternatives!$A$2:$A$200,$A40,Part_Alternatives!$E$2:$E$200,"Ja")</f>
        <v>0</v>
      </c>
      <c r="S40" s="82">
        <f>SUMIFS(Part_Alternatives!$I$2:$I$200,Part_Alternatives!$A$2:$A$200,$A40,Part_Alternatives!$E$2:$E$200,"Ja")</f>
        <v>0</v>
      </c>
      <c r="T40" s="80" t="str">
        <f>IFERROR(VLOOKUP($A40,Part_Alternatives!$A$2:$K$200,10,FALSE()),"")</f>
        <v/>
      </c>
    </row>
    <row r="41" spans="1:20" ht="14" hidden="1" customHeight="1" x14ac:dyDescent="0.2">
      <c r="A41" s="26" t="s">
        <v>125</v>
      </c>
      <c r="B41" s="45" t="str">
        <f>IFERROR(VLOOKUP($A41,Parts!$A$2:$M$191,3,FALSE()),"")</f>
        <v>Schraubklemme 1x3, horizontal</v>
      </c>
      <c r="C41" s="26" t="str">
        <f>IFERROR(IF(_xlfn.XLOOKUP($A41&amp;"|Ja",Part_Suppliers!$L$2:$L$300,Part_Suppliers!$B$2:$B$300,"",0)=0,"",_xlfn.XLOOKUP($A41&amp;"|Ja",Part_Suppliers!$L$2:$L$300,Part_Suppliers!$B$2:$B$300,"",0)),"")</f>
        <v>Reichelt</v>
      </c>
      <c r="D41" s="26" t="str">
        <f>IFERROR(IF(_xlfn.XLOOKUP($A41&amp;"|Ja",Part_Suppliers!$L$2:$L$300,Part_Suppliers!$C$2:$C$300,"",0)=0,"",_xlfn.XLOOKUP($A41&amp;"|Ja",Part_Suppliers!$L$2:$L$300,Part_Suppliers!$C$2:$C$300,"",0)),"")</f>
        <v>AKL 101-03</v>
      </c>
      <c r="E41" s="27">
        <f>SUMIFS(Kit_BOM!$F$2:$F$300,Kit_BOM!$E$2:$E$300,$A41,Kit_BOM!$A$2:$A$300,$A$5,Kit_BOM!$G$2:$G$300,"Bestücken")*$C$5+SUMIFS(Kit_BOM!$F$2:$F$300,Kit_BOM!$E$2:$E$300,$A41,Kit_BOM!$A$2:$A$300,$A$5,Kit_BOM!$G$2:$G$300,"Mechanical")*$C$5+IF($F$5="Ja",SUMIFS(Kit_BOM!$F$2:$F$300,Kit_BOM!$E$2:$E$300,$A41,Kit_BOM!$A$2:$A$300,$A$5,Kit_BOM!$G$2:$G$300,"Optional")*$C$5,0)+IF($F$6="Ja",SUMIFS(Kit_BOM!$F$2:$F$300,Kit_BOM!$E$2:$E$300,$A41,Kit_BOM!$A$2:$A$300,$A$5,Kit_BOM!$G$2:$G$300,"DNP")*$C$5,0)+SUMIFS(Kit_BOM!$F$2:$F$300,Kit_BOM!$E$2:$E$300,$A41,Kit_BOM!$A$2:$A$300,$A$6,Kit_BOM!$G$2:$G$300,"Bestücken")*$C$6+SUMIFS(Kit_BOM!$F$2:$F$300,Kit_BOM!$E$2:$E$300,$A41,Kit_BOM!$A$2:$A$300,$A$6,Kit_BOM!$G$2:$G$300,"Mechanical")*$C$6+IF($F$5="Ja",SUMIFS(Kit_BOM!$F$2:$F$300,Kit_BOM!$E$2:$E$300,$A41,Kit_BOM!$A$2:$A$300,$A$6,Kit_BOM!$G$2:$G$300,"Optional")*$C$6,0)+IF($F$6="Ja",SUMIFS(Kit_BOM!$F$2:$F$300,Kit_BOM!$E$2:$E$300,$A41,Kit_BOM!$A$2:$A$300,$A$6,Kit_BOM!$G$2:$G$300,"DNP")*$C$6,0)+SUMIFS(Kit_BOM!$F$2:$F$300,Kit_BOM!$E$2:$E$300,$A41,Kit_BOM!$A$2:$A$300,$A$7,Kit_BOM!$G$2:$G$300,"Bestücken")*$C$7+SUMIFS(Kit_BOM!$F$2:$F$300,Kit_BOM!$E$2:$E$300,$A41,Kit_BOM!$A$2:$A$300,$A$7,Kit_BOM!$G$2:$G$300,"Mechanical")*$C$7+IF($F$5="Ja",SUMIFS(Kit_BOM!$F$2:$F$300,Kit_BOM!$E$2:$E$300,$A41,Kit_BOM!$A$2:$A$300,$A$7,Kit_BOM!$G$2:$G$300,"Optional")*$C$7,0)+IF($F$6="Ja",SUMIFS(Kit_BOM!$F$2:$F$300,Kit_BOM!$E$2:$E$300,$A41,Kit_BOM!$A$2:$A$300,$A$7,Kit_BOM!$G$2:$G$300,"DNP")*$C$7,0)+SUMIFS(Kit_BOM!$F$2:$F$300,Kit_BOM!$E$2:$E$300,$A41,Kit_BOM!$A$2:$A$300,$A$8,Kit_BOM!$G$2:$G$300,"Bestücken")*$C$8+SUMIFS(Kit_BOM!$F$2:$F$300,Kit_BOM!$E$2:$E$300,$A41,Kit_BOM!$A$2:$A$300,$A$8,Kit_BOM!$G$2:$G$300,"Mechanical")*$C$8+IF($F$5="Ja",SUMIFS(Kit_BOM!$F$2:$F$300,Kit_BOM!$E$2:$E$300,$A41,Kit_BOM!$A$2:$A$300,$A$8,Kit_BOM!$G$2:$G$300,"Optional")*$C$8,0)+IF($F$6="Ja",SUMIFS(Kit_BOM!$F$2:$F$300,Kit_BOM!$E$2:$E$300,$A41,Kit_BOM!$A$2:$A$300,$A$8,Kit_BOM!$G$2:$G$300,"DNP")*$C$8,0)+SUMIFS(Kit_BOM!$F$2:$F$300,Kit_BOM!$E$2:$E$300,$A41,Kit_BOM!$A$2:$A$300,$A$9,Kit_BOM!$G$2:$G$300,"Bestücken")*$C$9+SUMIFS(Kit_BOM!$F$2:$F$300,Kit_BOM!$E$2:$E$300,$A41,Kit_BOM!$A$2:$A$300,$A$9,Kit_BOM!$G$2:$G$300,"Mechanical")*$C$9+IF($F$5="Ja",SUMIFS(Kit_BOM!$F$2:$F$300,Kit_BOM!$E$2:$E$300,$A41,Kit_BOM!$A$2:$A$300,$A$9,Kit_BOM!$G$2:$G$300,"Optional")*$C$9,0)+IF($F$6="Ja",SUMIFS(Kit_BOM!$F$2:$F$300,Kit_BOM!$E$2:$E$300,$A41,Kit_BOM!$A$2:$A$300,$A$9,Kit_BOM!$G$2:$G$300,"DNP")*$C$9,0)+SUMIFS(Kit_BOM!$F$2:$F$300,Kit_BOM!$E$2:$E$300,$A41,Kit_BOM!$A$2:$A$300,$A$10,Kit_BOM!$G$2:$G$300,"Bestücken")*$C$10+SUMIFS(Kit_BOM!$F$2:$F$300,Kit_BOM!$E$2:$E$300,$A41,Kit_BOM!$A$2:$A$300,$A$10,Kit_BOM!$G$2:$G$300,"Mechanical")*$C$10+IF($F$5="Ja",SUMIFS(Kit_BOM!$F$2:$F$300,Kit_BOM!$E$2:$E$300,$A41,Kit_BOM!$A$2:$A$300,$A$10,Kit_BOM!$G$2:$G$300,"Optional")*$C$10,0)+IF($F$6="Ja",SUMIFS(Kit_BOM!$F$2:$F$300,Kit_BOM!$E$2:$E$300,$A41,Kit_BOM!$A$2:$A$300,$A$10,Kit_BOM!$G$2:$G$300,"DNP")*$C$10,0)+SUMIFS(Kit_BOM!$F$2:$F$300,Kit_BOM!$E$2:$E$300,$A41,Kit_BOM!$A$2:$A$300,$A$11,Kit_BOM!$G$2:$G$300,"Bestücken")*$C$11+SUMIFS(Kit_BOM!$F$2:$F$300,Kit_BOM!$E$2:$E$300,$A41,Kit_BOM!$A$2:$A$300,$A$11,Kit_BOM!$G$2:$G$300,"Mechanical")*$C$11+IF($F$5="Ja",SUMIFS(Kit_BOM!$F$2:$F$300,Kit_BOM!$E$2:$E$300,$A41,Kit_BOM!$A$2:$A$300,$A$11,Kit_BOM!$G$2:$G$300,"Optional")*$C$11,0)+IF($F$6="Ja",SUMIFS(Kit_BOM!$F$2:$F$300,Kit_BOM!$E$2:$E$300,$A41,Kit_BOM!$A$2:$A$300,$A$11,Kit_BOM!$G$2:$G$300,"DNP")*$C$11,0)+SUMIFS(Kit_BOM!$F$2:$F$300,Kit_BOM!$E$2:$E$300,$A41,Kit_BOM!$A$2:$A$300,$A$12,Kit_BOM!$G$2:$G$300,"Bestücken")*$C$12+SUMIFS(Kit_BOM!$F$2:$F$300,Kit_BOM!$E$2:$E$300,$A41,Kit_BOM!$A$2:$A$300,$A$12,Kit_BOM!$G$2:$G$300,"Mechanical")*$C$12+IF($F$5="Ja",SUMIFS(Kit_BOM!$F$2:$F$300,Kit_BOM!$E$2:$E$300,$A41,Kit_BOM!$A$2:$A$300,$A$12,Kit_BOM!$G$2:$G$300,"Optional")*$C$12,0)+IF($F$6="Ja",SUMIFS(Kit_BOM!$F$2:$F$300,Kit_BOM!$E$2:$E$300,$A41,Kit_BOM!$A$2:$A$300,$A$12,Kit_BOM!$G$2:$G$300,"DNP")*$C$12,0)+SUMIFS(Kit_BOM!$F$2:$F$300,Kit_BOM!$E$2:$E$300,$A41,Kit_BOM!$A$2:$A$300,$H$5,Kit_BOM!$G$2:$G$300,"Bestücken")*$J$5+SUMIFS(Kit_BOM!$F$2:$F$300,Kit_BOM!$E$2:$E$300,$A41,Kit_BOM!$A$2:$A$300,$H$5,Kit_BOM!$G$2:$G$300,"Mechanical")*$J$5+IF($F$5="Ja",SUMIFS(Kit_BOM!$F$2:$F$300,Kit_BOM!$E$2:$E$300,$A41,Kit_BOM!$A$2:$A$300,$H$5,Kit_BOM!$G$2:$G$300,"Optional")*$J$5,0)+IF($F$6="Ja",SUMIFS(Kit_BOM!$F$2:$F$300,Kit_BOM!$E$2:$E$300,$A41,Kit_BOM!$A$2:$A$300,$H$5,Kit_BOM!$G$2:$G$300,"DNP")*$J$5,0)+SUMIFS(Kit_BOM!$F$2:$F$300,Kit_BOM!$E$2:$E$300,$A41,Kit_BOM!$A$2:$A$300,$H$6,Kit_BOM!$G$2:$G$300,"Bestücken")*$J$6+SUMIFS(Kit_BOM!$F$2:$F$300,Kit_BOM!$E$2:$E$300,$A41,Kit_BOM!$A$2:$A$300,$H$6,Kit_BOM!$G$2:$G$300,"Mechanical")*$J$6+IF($F$5="Ja",SUMIFS(Kit_BOM!$F$2:$F$300,Kit_BOM!$E$2:$E$300,$A41,Kit_BOM!$A$2:$A$300,$H$6,Kit_BOM!$G$2:$G$300,"Optional")*$J$6,0)+IF($F$6="Ja",SUMIFS(Kit_BOM!$F$2:$F$300,Kit_BOM!$E$2:$E$300,$A41,Kit_BOM!$A$2:$A$300,$H$6,Kit_BOM!$G$2:$G$300,"DNP")*$J$6,0)</f>
        <v>0</v>
      </c>
      <c r="F41" s="27" t="str">
        <f>IFERROR(IF(_xlfn.XLOOKUP($A41&amp;"|Ja",Part_Suppliers!$L$2:$L$300,Part_Suppliers!$G$2:$G$300,"",0)=0,"",_xlfn.XLOOKUP($A41&amp;"|Ja",Part_Suppliers!$L$2:$L$300,Part_Suppliers!$G$2:$G$300,"",0)),"")</f>
        <v/>
      </c>
      <c r="G41" s="27">
        <f t="shared" si="6"/>
        <v>0</v>
      </c>
      <c r="H41" s="46">
        <f>IFERROR(IF(_xlfn.XLOOKUP($A41&amp;"|Ja",Part_Suppliers!$L$2:$L$300,Part_Suppliers!$E$2:$E$300,"",0)=0,"",_xlfn.XLOOKUP($A41&amp;"|Ja",Part_Suppliers!$L$2:$L$300,Part_Suppliers!$E$2:$E$300,"",0)),"")</f>
        <v>0.39</v>
      </c>
      <c r="I41" s="46">
        <f t="shared" si="7"/>
        <v>0</v>
      </c>
      <c r="J41" t="str">
        <f t="shared" si="8"/>
        <v>Nicht benötigt</v>
      </c>
      <c r="K41" s="26" t="str">
        <f>IFERROR(IF(_xlfn.XLOOKUP($A41&amp;"|Ja",Part_Suppliers!$L$2:$L$300,Part_Suppliers!$D$2:$D$300,"",0)=0,"",_xlfn.XLOOKUP($A41&amp;"|Ja",Part_Suppliers!$L$2:$L$300,Part_Suppliers!$D$2:$D$300,"",0)),"")</f>
        <v>https://www.reichelt.de/de/de/shop/produkt/anschlussklemme_3-pol_2_mm_rm_5_08-36606</v>
      </c>
      <c r="L41" s="47">
        <f>IFERROR(VLOOKUP($A41,Stock!$A$5:$K$200,10,FALSE()),0)</f>
        <v>4</v>
      </c>
      <c r="M41" s="47">
        <f>IFERROR(VLOOKUP($A41,Stock!$A$5:$K$200,11,FALSE()),0)</f>
        <v>0</v>
      </c>
      <c r="N41" s="47">
        <f t="shared" si="9"/>
        <v>4</v>
      </c>
      <c r="O41" s="47">
        <f t="shared" si="10"/>
        <v>0</v>
      </c>
      <c r="P41" s="48">
        <v>0</v>
      </c>
      <c r="Q41" s="49">
        <f t="shared" si="11"/>
        <v>0</v>
      </c>
      <c r="R41" s="82">
        <f>SUMIFS(Part_Alternatives!$H$2:$H$200,Part_Alternatives!$A$2:$A$200,$A41,Part_Alternatives!$E$2:$E$200,"Ja")</f>
        <v>0</v>
      </c>
      <c r="S41" s="82">
        <f>SUMIFS(Part_Alternatives!$I$2:$I$200,Part_Alternatives!$A$2:$A$200,$A41,Part_Alternatives!$E$2:$E$200,"Ja")</f>
        <v>0</v>
      </c>
      <c r="T41" s="80" t="str">
        <f>IFERROR(VLOOKUP($A41,Part_Alternatives!$A$2:$K$200,10,FALSE()),"")</f>
        <v/>
      </c>
    </row>
    <row r="42" spans="1:20" ht="14" hidden="1" customHeight="1" x14ac:dyDescent="0.2">
      <c r="A42" s="26" t="s">
        <v>126</v>
      </c>
      <c r="B42" s="45" t="str">
        <f>IFERROR(VLOOKUP($A42,Parts!$A$2:$M$191,3,FALSE()),"")</f>
        <v>NPN-Transistor BC817</v>
      </c>
      <c r="C42" s="26" t="str">
        <f>IFERROR(IF(_xlfn.XLOOKUP($A42&amp;"|Ja",Part_Suppliers!$L$2:$L$300,Part_Suppliers!$B$2:$B$300,"",0)=0,"",_xlfn.XLOOKUP($A42&amp;"|Ja",Part_Suppliers!$L$2:$L$300,Part_Suppliers!$B$2:$B$300,"",0)),"")</f>
        <v>Reichelt</v>
      </c>
      <c r="D42" s="26" t="str">
        <f>IFERROR(IF(_xlfn.XLOOKUP($A42&amp;"|Ja",Part_Suppliers!$L$2:$L$300,Part_Suppliers!$C$2:$C$300,"",0)=0,"",_xlfn.XLOOKUP($A42&amp;"|Ja",Part_Suppliers!$L$2:$L$300,Part_Suppliers!$C$2:$C$300,"",0)),"")</f>
        <v>BC 817-25 DIO</v>
      </c>
      <c r="E42" s="27">
        <f>SUMIFS(Kit_BOM!$F$2:$F$300,Kit_BOM!$E$2:$E$300,$A42,Kit_BOM!$A$2:$A$300,$A$5,Kit_BOM!$G$2:$G$300,"Bestücken")*$C$5+SUMIFS(Kit_BOM!$F$2:$F$300,Kit_BOM!$E$2:$E$300,$A42,Kit_BOM!$A$2:$A$300,$A$5,Kit_BOM!$G$2:$G$300,"Mechanical")*$C$5+IF($F$5="Ja",SUMIFS(Kit_BOM!$F$2:$F$300,Kit_BOM!$E$2:$E$300,$A42,Kit_BOM!$A$2:$A$300,$A$5,Kit_BOM!$G$2:$G$300,"Optional")*$C$5,0)+IF($F$6="Ja",SUMIFS(Kit_BOM!$F$2:$F$300,Kit_BOM!$E$2:$E$300,$A42,Kit_BOM!$A$2:$A$300,$A$5,Kit_BOM!$G$2:$G$300,"DNP")*$C$5,0)+SUMIFS(Kit_BOM!$F$2:$F$300,Kit_BOM!$E$2:$E$300,$A42,Kit_BOM!$A$2:$A$300,$A$6,Kit_BOM!$G$2:$G$300,"Bestücken")*$C$6+SUMIFS(Kit_BOM!$F$2:$F$300,Kit_BOM!$E$2:$E$300,$A42,Kit_BOM!$A$2:$A$300,$A$6,Kit_BOM!$G$2:$G$300,"Mechanical")*$C$6+IF($F$5="Ja",SUMIFS(Kit_BOM!$F$2:$F$300,Kit_BOM!$E$2:$E$300,$A42,Kit_BOM!$A$2:$A$300,$A$6,Kit_BOM!$G$2:$G$300,"Optional")*$C$6,0)+IF($F$6="Ja",SUMIFS(Kit_BOM!$F$2:$F$300,Kit_BOM!$E$2:$E$300,$A42,Kit_BOM!$A$2:$A$300,$A$6,Kit_BOM!$G$2:$G$300,"DNP")*$C$6,0)+SUMIFS(Kit_BOM!$F$2:$F$300,Kit_BOM!$E$2:$E$300,$A42,Kit_BOM!$A$2:$A$300,$A$7,Kit_BOM!$G$2:$G$300,"Bestücken")*$C$7+SUMIFS(Kit_BOM!$F$2:$F$300,Kit_BOM!$E$2:$E$300,$A42,Kit_BOM!$A$2:$A$300,$A$7,Kit_BOM!$G$2:$G$300,"Mechanical")*$C$7+IF($F$5="Ja",SUMIFS(Kit_BOM!$F$2:$F$300,Kit_BOM!$E$2:$E$300,$A42,Kit_BOM!$A$2:$A$300,$A$7,Kit_BOM!$G$2:$G$300,"Optional")*$C$7,0)+IF($F$6="Ja",SUMIFS(Kit_BOM!$F$2:$F$300,Kit_BOM!$E$2:$E$300,$A42,Kit_BOM!$A$2:$A$300,$A$7,Kit_BOM!$G$2:$G$300,"DNP")*$C$7,0)+SUMIFS(Kit_BOM!$F$2:$F$300,Kit_BOM!$E$2:$E$300,$A42,Kit_BOM!$A$2:$A$300,$A$8,Kit_BOM!$G$2:$G$300,"Bestücken")*$C$8+SUMIFS(Kit_BOM!$F$2:$F$300,Kit_BOM!$E$2:$E$300,$A42,Kit_BOM!$A$2:$A$300,$A$8,Kit_BOM!$G$2:$G$300,"Mechanical")*$C$8+IF($F$5="Ja",SUMIFS(Kit_BOM!$F$2:$F$300,Kit_BOM!$E$2:$E$300,$A42,Kit_BOM!$A$2:$A$300,$A$8,Kit_BOM!$G$2:$G$300,"Optional")*$C$8,0)+IF($F$6="Ja",SUMIFS(Kit_BOM!$F$2:$F$300,Kit_BOM!$E$2:$E$300,$A42,Kit_BOM!$A$2:$A$300,$A$8,Kit_BOM!$G$2:$G$300,"DNP")*$C$8,0)+SUMIFS(Kit_BOM!$F$2:$F$300,Kit_BOM!$E$2:$E$300,$A42,Kit_BOM!$A$2:$A$300,$A$9,Kit_BOM!$G$2:$G$300,"Bestücken")*$C$9+SUMIFS(Kit_BOM!$F$2:$F$300,Kit_BOM!$E$2:$E$300,$A42,Kit_BOM!$A$2:$A$300,$A$9,Kit_BOM!$G$2:$G$300,"Mechanical")*$C$9+IF($F$5="Ja",SUMIFS(Kit_BOM!$F$2:$F$300,Kit_BOM!$E$2:$E$300,$A42,Kit_BOM!$A$2:$A$300,$A$9,Kit_BOM!$G$2:$G$300,"Optional")*$C$9,0)+IF($F$6="Ja",SUMIFS(Kit_BOM!$F$2:$F$300,Kit_BOM!$E$2:$E$300,$A42,Kit_BOM!$A$2:$A$300,$A$9,Kit_BOM!$G$2:$G$300,"DNP")*$C$9,0)+SUMIFS(Kit_BOM!$F$2:$F$300,Kit_BOM!$E$2:$E$300,$A42,Kit_BOM!$A$2:$A$300,$A$10,Kit_BOM!$G$2:$G$300,"Bestücken")*$C$10+SUMIFS(Kit_BOM!$F$2:$F$300,Kit_BOM!$E$2:$E$300,$A42,Kit_BOM!$A$2:$A$300,$A$10,Kit_BOM!$G$2:$G$300,"Mechanical")*$C$10+IF($F$5="Ja",SUMIFS(Kit_BOM!$F$2:$F$300,Kit_BOM!$E$2:$E$300,$A42,Kit_BOM!$A$2:$A$300,$A$10,Kit_BOM!$G$2:$G$300,"Optional")*$C$10,0)+IF($F$6="Ja",SUMIFS(Kit_BOM!$F$2:$F$300,Kit_BOM!$E$2:$E$300,$A42,Kit_BOM!$A$2:$A$300,$A$10,Kit_BOM!$G$2:$G$300,"DNP")*$C$10,0)+SUMIFS(Kit_BOM!$F$2:$F$300,Kit_BOM!$E$2:$E$300,$A42,Kit_BOM!$A$2:$A$300,$A$11,Kit_BOM!$G$2:$G$300,"Bestücken")*$C$11+SUMIFS(Kit_BOM!$F$2:$F$300,Kit_BOM!$E$2:$E$300,$A42,Kit_BOM!$A$2:$A$300,$A$11,Kit_BOM!$G$2:$G$300,"Mechanical")*$C$11+IF($F$5="Ja",SUMIFS(Kit_BOM!$F$2:$F$300,Kit_BOM!$E$2:$E$300,$A42,Kit_BOM!$A$2:$A$300,$A$11,Kit_BOM!$G$2:$G$300,"Optional")*$C$11,0)+IF($F$6="Ja",SUMIFS(Kit_BOM!$F$2:$F$300,Kit_BOM!$E$2:$E$300,$A42,Kit_BOM!$A$2:$A$300,$A$11,Kit_BOM!$G$2:$G$300,"DNP")*$C$11,0)+SUMIFS(Kit_BOM!$F$2:$F$300,Kit_BOM!$E$2:$E$300,$A42,Kit_BOM!$A$2:$A$300,$A$12,Kit_BOM!$G$2:$G$300,"Bestücken")*$C$12+SUMIFS(Kit_BOM!$F$2:$F$300,Kit_BOM!$E$2:$E$300,$A42,Kit_BOM!$A$2:$A$300,$A$12,Kit_BOM!$G$2:$G$300,"Mechanical")*$C$12+IF($F$5="Ja",SUMIFS(Kit_BOM!$F$2:$F$300,Kit_BOM!$E$2:$E$300,$A42,Kit_BOM!$A$2:$A$300,$A$12,Kit_BOM!$G$2:$G$300,"Optional")*$C$12,0)+IF($F$6="Ja",SUMIFS(Kit_BOM!$F$2:$F$300,Kit_BOM!$E$2:$E$300,$A42,Kit_BOM!$A$2:$A$300,$A$12,Kit_BOM!$G$2:$G$300,"DNP")*$C$12,0)+SUMIFS(Kit_BOM!$F$2:$F$300,Kit_BOM!$E$2:$E$300,$A42,Kit_BOM!$A$2:$A$300,$H$5,Kit_BOM!$G$2:$G$300,"Bestücken")*$J$5+SUMIFS(Kit_BOM!$F$2:$F$300,Kit_BOM!$E$2:$E$300,$A42,Kit_BOM!$A$2:$A$300,$H$5,Kit_BOM!$G$2:$G$300,"Mechanical")*$J$5+IF($F$5="Ja",SUMIFS(Kit_BOM!$F$2:$F$300,Kit_BOM!$E$2:$E$300,$A42,Kit_BOM!$A$2:$A$300,$H$5,Kit_BOM!$G$2:$G$300,"Optional")*$J$5,0)+IF($F$6="Ja",SUMIFS(Kit_BOM!$F$2:$F$300,Kit_BOM!$E$2:$E$300,$A42,Kit_BOM!$A$2:$A$300,$H$5,Kit_BOM!$G$2:$G$300,"DNP")*$J$5,0)+SUMIFS(Kit_BOM!$F$2:$F$300,Kit_BOM!$E$2:$E$300,$A42,Kit_BOM!$A$2:$A$300,$H$6,Kit_BOM!$G$2:$G$300,"Bestücken")*$J$6+SUMIFS(Kit_BOM!$F$2:$F$300,Kit_BOM!$E$2:$E$300,$A42,Kit_BOM!$A$2:$A$300,$H$6,Kit_BOM!$G$2:$G$300,"Mechanical")*$J$6+IF($F$5="Ja",SUMIFS(Kit_BOM!$F$2:$F$300,Kit_BOM!$E$2:$E$300,$A42,Kit_BOM!$A$2:$A$300,$H$6,Kit_BOM!$G$2:$G$300,"Optional")*$J$6,0)+IF($F$6="Ja",SUMIFS(Kit_BOM!$F$2:$F$300,Kit_BOM!$E$2:$E$300,$A42,Kit_BOM!$A$2:$A$300,$H$6,Kit_BOM!$G$2:$G$300,"DNP")*$J$6,0)</f>
        <v>0</v>
      </c>
      <c r="F42" s="27" t="str">
        <f>IFERROR(IF(_xlfn.XLOOKUP($A42&amp;"|Ja",Part_Suppliers!$L$2:$L$300,Part_Suppliers!$G$2:$G$300,"",0)=0,"",_xlfn.XLOOKUP($A42&amp;"|Ja",Part_Suppliers!$L$2:$L$300,Part_Suppliers!$G$2:$G$300,"",0)),"")</f>
        <v/>
      </c>
      <c r="G42" s="27">
        <f t="shared" si="6"/>
        <v>0</v>
      </c>
      <c r="H42" s="46">
        <f>IFERROR(IF(_xlfn.XLOOKUP($A42&amp;"|Ja",Part_Suppliers!$L$2:$L$300,Part_Suppliers!$E$2:$E$300,"",0)=0,"",_xlfn.XLOOKUP($A42&amp;"|Ja",Part_Suppliers!$L$2:$L$300,Part_Suppliers!$E$2:$E$300,"",0)),"")</f>
        <v>0.02</v>
      </c>
      <c r="I42" s="46">
        <f t="shared" si="7"/>
        <v>0</v>
      </c>
      <c r="J42" t="str">
        <f t="shared" si="8"/>
        <v>Nicht benötigt</v>
      </c>
      <c r="K42" s="26" t="str">
        <f>IFERROR(IF(_xlfn.XLOOKUP($A42&amp;"|Ja",Part_Suppliers!$L$2:$L$300,Part_Suppliers!$D$2:$D$300,"",0)=0,"",_xlfn.XLOOKUP($A42&amp;"|Ja",Part_Suppliers!$L$2:$L$300,Part_Suppliers!$D$2:$D$300,"",0)),"")</f>
        <v>https://www.reichelt.de/de/de/shop/produkt/bipolartransistor_npn_45v_0_5a_0_25w_sot-23-219186</v>
      </c>
      <c r="L42" s="47">
        <f>IFERROR(VLOOKUP($A42,Stock!$A$5:$K$200,10,FALSE()),0)</f>
        <v>48</v>
      </c>
      <c r="M42" s="47">
        <f>IFERROR(VLOOKUP($A42,Stock!$A$5:$K$200,11,FALSE()),0)</f>
        <v>0</v>
      </c>
      <c r="N42" s="47">
        <f t="shared" si="9"/>
        <v>48</v>
      </c>
      <c r="O42" s="47">
        <f t="shared" si="10"/>
        <v>0</v>
      </c>
      <c r="P42" s="48">
        <v>0</v>
      </c>
      <c r="Q42" s="49">
        <f t="shared" si="11"/>
        <v>0</v>
      </c>
      <c r="R42" s="82">
        <f>SUMIFS(Part_Alternatives!$H$2:$H$200,Part_Alternatives!$A$2:$A$200,$A42,Part_Alternatives!$E$2:$E$200,"Ja")</f>
        <v>0</v>
      </c>
      <c r="S42" s="82">
        <f>SUMIFS(Part_Alternatives!$I$2:$I$200,Part_Alternatives!$A$2:$A$200,$A42,Part_Alternatives!$E$2:$E$200,"Ja")</f>
        <v>0</v>
      </c>
      <c r="T42" s="80" t="str">
        <f>IFERROR(VLOOKUP($A42,Part_Alternatives!$A$2:$K$200,10,FALSE()),"")</f>
        <v/>
      </c>
    </row>
    <row r="43" spans="1:20" ht="14" hidden="1" customHeight="1" x14ac:dyDescent="0.2">
      <c r="A43" s="26" t="s">
        <v>127</v>
      </c>
      <c r="B43" s="45" t="str">
        <f>IFERROR(VLOOKUP($A43,Parts!$A$2:$M$191,3,FALSE()),"")</f>
        <v>Widerstand 1 kΩ SMD</v>
      </c>
      <c r="C43" s="26" t="str">
        <f>IFERROR(IF(_xlfn.XLOOKUP($A43&amp;"|Ja",Part_Suppliers!$L$2:$L$300,Part_Suppliers!$B$2:$B$300,"",0)=0,"",_xlfn.XLOOKUP($A43&amp;"|Ja",Part_Suppliers!$L$2:$L$300,Part_Suppliers!$B$2:$B$300,"",0)),"")</f>
        <v>Reichelt</v>
      </c>
      <c r="D43" s="26" t="str">
        <f>IFERROR(IF(_xlfn.XLOOKUP($A43&amp;"|Ja",Part_Suppliers!$L$2:$L$300,Part_Suppliers!$C$2:$C$300,"",0)=0,"",_xlfn.XLOOKUP($A43&amp;"|Ja",Part_Suppliers!$L$2:$L$300,Part_Suppliers!$C$2:$C$300,"",0)),"")</f>
        <v>VIS CRCW12061K0</v>
      </c>
      <c r="E43" s="27">
        <f>SUMIFS(Kit_BOM!$F$2:$F$300,Kit_BOM!$E$2:$E$300,$A43,Kit_BOM!$A$2:$A$300,$A$5,Kit_BOM!$G$2:$G$300,"Bestücken")*$C$5+SUMIFS(Kit_BOM!$F$2:$F$300,Kit_BOM!$E$2:$E$300,$A43,Kit_BOM!$A$2:$A$300,$A$5,Kit_BOM!$G$2:$G$300,"Mechanical")*$C$5+IF($F$5="Ja",SUMIFS(Kit_BOM!$F$2:$F$300,Kit_BOM!$E$2:$E$300,$A43,Kit_BOM!$A$2:$A$300,$A$5,Kit_BOM!$G$2:$G$300,"Optional")*$C$5,0)+IF($F$6="Ja",SUMIFS(Kit_BOM!$F$2:$F$300,Kit_BOM!$E$2:$E$300,$A43,Kit_BOM!$A$2:$A$300,$A$5,Kit_BOM!$G$2:$G$300,"DNP")*$C$5,0)+SUMIFS(Kit_BOM!$F$2:$F$300,Kit_BOM!$E$2:$E$300,$A43,Kit_BOM!$A$2:$A$300,$A$6,Kit_BOM!$G$2:$G$300,"Bestücken")*$C$6+SUMIFS(Kit_BOM!$F$2:$F$300,Kit_BOM!$E$2:$E$300,$A43,Kit_BOM!$A$2:$A$300,$A$6,Kit_BOM!$G$2:$G$300,"Mechanical")*$C$6+IF($F$5="Ja",SUMIFS(Kit_BOM!$F$2:$F$300,Kit_BOM!$E$2:$E$300,$A43,Kit_BOM!$A$2:$A$300,$A$6,Kit_BOM!$G$2:$G$300,"Optional")*$C$6,0)+IF($F$6="Ja",SUMIFS(Kit_BOM!$F$2:$F$300,Kit_BOM!$E$2:$E$300,$A43,Kit_BOM!$A$2:$A$300,$A$6,Kit_BOM!$G$2:$G$300,"DNP")*$C$6,0)+SUMIFS(Kit_BOM!$F$2:$F$300,Kit_BOM!$E$2:$E$300,$A43,Kit_BOM!$A$2:$A$300,$A$7,Kit_BOM!$G$2:$G$300,"Bestücken")*$C$7+SUMIFS(Kit_BOM!$F$2:$F$300,Kit_BOM!$E$2:$E$300,$A43,Kit_BOM!$A$2:$A$300,$A$7,Kit_BOM!$G$2:$G$300,"Mechanical")*$C$7+IF($F$5="Ja",SUMIFS(Kit_BOM!$F$2:$F$300,Kit_BOM!$E$2:$E$300,$A43,Kit_BOM!$A$2:$A$300,$A$7,Kit_BOM!$G$2:$G$300,"Optional")*$C$7,0)+IF($F$6="Ja",SUMIFS(Kit_BOM!$F$2:$F$300,Kit_BOM!$E$2:$E$300,$A43,Kit_BOM!$A$2:$A$300,$A$7,Kit_BOM!$G$2:$G$300,"DNP")*$C$7,0)+SUMIFS(Kit_BOM!$F$2:$F$300,Kit_BOM!$E$2:$E$300,$A43,Kit_BOM!$A$2:$A$300,$A$8,Kit_BOM!$G$2:$G$300,"Bestücken")*$C$8+SUMIFS(Kit_BOM!$F$2:$F$300,Kit_BOM!$E$2:$E$300,$A43,Kit_BOM!$A$2:$A$300,$A$8,Kit_BOM!$G$2:$G$300,"Mechanical")*$C$8+IF($F$5="Ja",SUMIFS(Kit_BOM!$F$2:$F$300,Kit_BOM!$E$2:$E$300,$A43,Kit_BOM!$A$2:$A$300,$A$8,Kit_BOM!$G$2:$G$300,"Optional")*$C$8,0)+IF($F$6="Ja",SUMIFS(Kit_BOM!$F$2:$F$300,Kit_BOM!$E$2:$E$300,$A43,Kit_BOM!$A$2:$A$300,$A$8,Kit_BOM!$G$2:$G$300,"DNP")*$C$8,0)+SUMIFS(Kit_BOM!$F$2:$F$300,Kit_BOM!$E$2:$E$300,$A43,Kit_BOM!$A$2:$A$300,$A$9,Kit_BOM!$G$2:$G$300,"Bestücken")*$C$9+SUMIFS(Kit_BOM!$F$2:$F$300,Kit_BOM!$E$2:$E$300,$A43,Kit_BOM!$A$2:$A$300,$A$9,Kit_BOM!$G$2:$G$300,"Mechanical")*$C$9+IF($F$5="Ja",SUMIFS(Kit_BOM!$F$2:$F$300,Kit_BOM!$E$2:$E$300,$A43,Kit_BOM!$A$2:$A$300,$A$9,Kit_BOM!$G$2:$G$300,"Optional")*$C$9,0)+IF($F$6="Ja",SUMIFS(Kit_BOM!$F$2:$F$300,Kit_BOM!$E$2:$E$300,$A43,Kit_BOM!$A$2:$A$300,$A$9,Kit_BOM!$G$2:$G$300,"DNP")*$C$9,0)+SUMIFS(Kit_BOM!$F$2:$F$300,Kit_BOM!$E$2:$E$300,$A43,Kit_BOM!$A$2:$A$300,$A$10,Kit_BOM!$G$2:$G$300,"Bestücken")*$C$10+SUMIFS(Kit_BOM!$F$2:$F$300,Kit_BOM!$E$2:$E$300,$A43,Kit_BOM!$A$2:$A$300,$A$10,Kit_BOM!$G$2:$G$300,"Mechanical")*$C$10+IF($F$5="Ja",SUMIFS(Kit_BOM!$F$2:$F$300,Kit_BOM!$E$2:$E$300,$A43,Kit_BOM!$A$2:$A$300,$A$10,Kit_BOM!$G$2:$G$300,"Optional")*$C$10,0)+IF($F$6="Ja",SUMIFS(Kit_BOM!$F$2:$F$300,Kit_BOM!$E$2:$E$300,$A43,Kit_BOM!$A$2:$A$300,$A$10,Kit_BOM!$G$2:$G$300,"DNP")*$C$10,0)+SUMIFS(Kit_BOM!$F$2:$F$300,Kit_BOM!$E$2:$E$300,$A43,Kit_BOM!$A$2:$A$300,$A$11,Kit_BOM!$G$2:$G$300,"Bestücken")*$C$11+SUMIFS(Kit_BOM!$F$2:$F$300,Kit_BOM!$E$2:$E$300,$A43,Kit_BOM!$A$2:$A$300,$A$11,Kit_BOM!$G$2:$G$300,"Mechanical")*$C$11+IF($F$5="Ja",SUMIFS(Kit_BOM!$F$2:$F$300,Kit_BOM!$E$2:$E$300,$A43,Kit_BOM!$A$2:$A$300,$A$11,Kit_BOM!$G$2:$G$300,"Optional")*$C$11,0)+IF($F$6="Ja",SUMIFS(Kit_BOM!$F$2:$F$300,Kit_BOM!$E$2:$E$300,$A43,Kit_BOM!$A$2:$A$300,$A$11,Kit_BOM!$G$2:$G$300,"DNP")*$C$11,0)+SUMIFS(Kit_BOM!$F$2:$F$300,Kit_BOM!$E$2:$E$300,$A43,Kit_BOM!$A$2:$A$300,$A$12,Kit_BOM!$G$2:$G$300,"Bestücken")*$C$12+SUMIFS(Kit_BOM!$F$2:$F$300,Kit_BOM!$E$2:$E$300,$A43,Kit_BOM!$A$2:$A$300,$A$12,Kit_BOM!$G$2:$G$300,"Mechanical")*$C$12+IF($F$5="Ja",SUMIFS(Kit_BOM!$F$2:$F$300,Kit_BOM!$E$2:$E$300,$A43,Kit_BOM!$A$2:$A$300,$A$12,Kit_BOM!$G$2:$G$300,"Optional")*$C$12,0)+IF($F$6="Ja",SUMIFS(Kit_BOM!$F$2:$F$300,Kit_BOM!$E$2:$E$300,$A43,Kit_BOM!$A$2:$A$300,$A$12,Kit_BOM!$G$2:$G$300,"DNP")*$C$12,0)+SUMIFS(Kit_BOM!$F$2:$F$300,Kit_BOM!$E$2:$E$300,$A43,Kit_BOM!$A$2:$A$300,$H$5,Kit_BOM!$G$2:$G$300,"Bestücken")*$J$5+SUMIFS(Kit_BOM!$F$2:$F$300,Kit_BOM!$E$2:$E$300,$A43,Kit_BOM!$A$2:$A$300,$H$5,Kit_BOM!$G$2:$G$300,"Mechanical")*$J$5+IF($F$5="Ja",SUMIFS(Kit_BOM!$F$2:$F$300,Kit_BOM!$E$2:$E$300,$A43,Kit_BOM!$A$2:$A$300,$H$5,Kit_BOM!$G$2:$G$300,"Optional")*$J$5,0)+IF($F$6="Ja",SUMIFS(Kit_BOM!$F$2:$F$300,Kit_BOM!$E$2:$E$300,$A43,Kit_BOM!$A$2:$A$300,$H$5,Kit_BOM!$G$2:$G$300,"DNP")*$J$5,0)+SUMIFS(Kit_BOM!$F$2:$F$300,Kit_BOM!$E$2:$E$300,$A43,Kit_BOM!$A$2:$A$300,$H$6,Kit_BOM!$G$2:$G$300,"Bestücken")*$J$6+SUMIFS(Kit_BOM!$F$2:$F$300,Kit_BOM!$E$2:$E$300,$A43,Kit_BOM!$A$2:$A$300,$H$6,Kit_BOM!$G$2:$G$300,"Mechanical")*$J$6+IF($F$5="Ja",SUMIFS(Kit_BOM!$F$2:$F$300,Kit_BOM!$E$2:$E$300,$A43,Kit_BOM!$A$2:$A$300,$H$6,Kit_BOM!$G$2:$G$300,"Optional")*$J$6,0)+IF($F$6="Ja",SUMIFS(Kit_BOM!$F$2:$F$300,Kit_BOM!$E$2:$E$300,$A43,Kit_BOM!$A$2:$A$300,$H$6,Kit_BOM!$G$2:$G$300,"DNP")*$J$6,0)</f>
        <v>0</v>
      </c>
      <c r="F43" s="27" t="str">
        <f>IFERROR(IF(_xlfn.XLOOKUP($A43&amp;"|Ja",Part_Suppliers!$L$2:$L$300,Part_Suppliers!$G$2:$G$300,"",0)=0,"",_xlfn.XLOOKUP($A43&amp;"|Ja",Part_Suppliers!$L$2:$L$300,Part_Suppliers!$G$2:$G$300,"",0)),"")</f>
        <v/>
      </c>
      <c r="G43" s="27">
        <f t="shared" si="6"/>
        <v>0</v>
      </c>
      <c r="H43" s="46">
        <f>IFERROR(IF(_xlfn.XLOOKUP($A43&amp;"|Ja",Part_Suppliers!$L$2:$L$300,Part_Suppliers!$E$2:$E$300,"",0)=0,"",_xlfn.XLOOKUP($A43&amp;"|Ja",Part_Suppliers!$L$2:$L$300,Part_Suppliers!$E$2:$E$300,"",0)),"")</f>
        <v>0.14000000000000001</v>
      </c>
      <c r="I43" s="46">
        <f t="shared" si="7"/>
        <v>0</v>
      </c>
      <c r="J43" t="str">
        <f t="shared" si="8"/>
        <v>Nicht benötigt</v>
      </c>
      <c r="K43" s="26" t="str">
        <f>IFERROR(IF(_xlfn.XLOOKUP($A43&amp;"|Ja",Part_Suppliers!$L$2:$L$300,Part_Suppliers!$D$2:$D$300,"",0)=0,"",_xlfn.XLOOKUP($A43&amp;"|Ja",Part_Suppliers!$L$2:$L$300,Part_Suppliers!$D$2:$D$300,"",0)),"")</f>
        <v>https://www.reichelt.de/de/de/shop/produkt/smd-widerstand_1206_1_0_kohm_250_mw_1_-238107?PROVID=2788&amp;gad_source=1&amp;gad_campaignid=1622074784&amp;gbraid=0AAAAADwnxtbRDWe6ThqPkANhw_ak4jWBw&amp;gclid=Cj0KCQjwnbrUBhDOARIsAKKhPpdctdiA6tqULvTn2sTUS6FqmJC1_J6HoVQmYOjjMGhSPlfi9dK4bSQaAmesEALw_wcB</v>
      </c>
      <c r="L43" s="47">
        <f>IFERROR(VLOOKUP($A43,Stock!$A$5:$K$200,10,FALSE()),0)</f>
        <v>18</v>
      </c>
      <c r="M43" s="47">
        <f>IFERROR(VLOOKUP($A43,Stock!$A$5:$K$200,11,FALSE()),0)</f>
        <v>0</v>
      </c>
      <c r="N43" s="47">
        <f t="shared" si="9"/>
        <v>18</v>
      </c>
      <c r="O43" s="47">
        <f t="shared" si="10"/>
        <v>0</v>
      </c>
      <c r="P43" s="48">
        <v>0</v>
      </c>
      <c r="Q43" s="49">
        <f t="shared" si="11"/>
        <v>0</v>
      </c>
      <c r="R43" s="82">
        <f>SUMIFS(Part_Alternatives!$H$2:$H$200,Part_Alternatives!$A$2:$A$200,$A43,Part_Alternatives!$E$2:$E$200,"Ja")</f>
        <v>0</v>
      </c>
      <c r="S43" s="82">
        <f>SUMIFS(Part_Alternatives!$I$2:$I$200,Part_Alternatives!$A$2:$A$200,$A43,Part_Alternatives!$E$2:$E$200,"Ja")</f>
        <v>0</v>
      </c>
      <c r="T43" s="80" t="str">
        <f>IFERROR(VLOOKUP($A43,Part_Alternatives!$A$2:$K$200,10,FALSE()),"")</f>
        <v/>
      </c>
    </row>
    <row r="44" spans="1:20" ht="14" hidden="1" customHeight="1" x14ac:dyDescent="0.2">
      <c r="A44" s="26" t="s">
        <v>144</v>
      </c>
      <c r="B44" s="45" t="str">
        <f>IFERROR(VLOOKUP($A44,Parts!$A$2:$M$191,3,FALSE()),"")</f>
        <v>RainDetector PCB</v>
      </c>
      <c r="C44" s="26" t="str">
        <f>IFERROR(IF(_xlfn.XLOOKUP($A44&amp;"|Ja",Part_Suppliers!$L$2:$L$300,Part_Suppliers!$B$2:$B$300,"",0)=0,"",_xlfn.XLOOKUP($A44&amp;"|Ja",Part_Suppliers!$L$2:$L$300,Part_Suppliers!$B$2:$B$300,"",0)),"")</f>
        <v>JLCPCB</v>
      </c>
      <c r="D44" s="26" t="str">
        <f>IFERROR(IF(_xlfn.XLOOKUP($A44&amp;"|Ja",Part_Suppliers!$L$2:$L$300,Part_Suppliers!$C$2:$C$300,"",0)=0,"",_xlfn.XLOOKUP($A44&amp;"|Ja",Part_Suppliers!$L$2:$L$300,Part_Suppliers!$C$2:$C$300,"",0)),"")</f>
        <v/>
      </c>
      <c r="E44" s="27">
        <f>SUMIFS(Kit_BOM!$F$2:$F$300,Kit_BOM!$E$2:$E$300,$A44,Kit_BOM!$A$2:$A$300,$A$5,Kit_BOM!$G$2:$G$300,"Bestücken")*$C$5+SUMIFS(Kit_BOM!$F$2:$F$300,Kit_BOM!$E$2:$E$300,$A44,Kit_BOM!$A$2:$A$300,$A$5,Kit_BOM!$G$2:$G$300,"Mechanical")*$C$5+IF($F$5="Ja",SUMIFS(Kit_BOM!$F$2:$F$300,Kit_BOM!$E$2:$E$300,$A44,Kit_BOM!$A$2:$A$300,$A$5,Kit_BOM!$G$2:$G$300,"Optional")*$C$5,0)+IF($F$6="Ja",SUMIFS(Kit_BOM!$F$2:$F$300,Kit_BOM!$E$2:$E$300,$A44,Kit_BOM!$A$2:$A$300,$A$5,Kit_BOM!$G$2:$G$300,"DNP")*$C$5,0)+SUMIFS(Kit_BOM!$F$2:$F$300,Kit_BOM!$E$2:$E$300,$A44,Kit_BOM!$A$2:$A$300,$A$6,Kit_BOM!$G$2:$G$300,"Bestücken")*$C$6+SUMIFS(Kit_BOM!$F$2:$F$300,Kit_BOM!$E$2:$E$300,$A44,Kit_BOM!$A$2:$A$300,$A$6,Kit_BOM!$G$2:$G$300,"Mechanical")*$C$6+IF($F$5="Ja",SUMIFS(Kit_BOM!$F$2:$F$300,Kit_BOM!$E$2:$E$300,$A44,Kit_BOM!$A$2:$A$300,$A$6,Kit_BOM!$G$2:$G$300,"Optional")*$C$6,0)+IF($F$6="Ja",SUMIFS(Kit_BOM!$F$2:$F$300,Kit_BOM!$E$2:$E$300,$A44,Kit_BOM!$A$2:$A$300,$A$6,Kit_BOM!$G$2:$G$300,"DNP")*$C$6,0)+SUMIFS(Kit_BOM!$F$2:$F$300,Kit_BOM!$E$2:$E$300,$A44,Kit_BOM!$A$2:$A$300,$A$7,Kit_BOM!$G$2:$G$300,"Bestücken")*$C$7+SUMIFS(Kit_BOM!$F$2:$F$300,Kit_BOM!$E$2:$E$300,$A44,Kit_BOM!$A$2:$A$300,$A$7,Kit_BOM!$G$2:$G$300,"Mechanical")*$C$7+IF($F$5="Ja",SUMIFS(Kit_BOM!$F$2:$F$300,Kit_BOM!$E$2:$E$300,$A44,Kit_BOM!$A$2:$A$300,$A$7,Kit_BOM!$G$2:$G$300,"Optional")*$C$7,0)+IF($F$6="Ja",SUMIFS(Kit_BOM!$F$2:$F$300,Kit_BOM!$E$2:$E$300,$A44,Kit_BOM!$A$2:$A$300,$A$7,Kit_BOM!$G$2:$G$300,"DNP")*$C$7,0)+SUMIFS(Kit_BOM!$F$2:$F$300,Kit_BOM!$E$2:$E$300,$A44,Kit_BOM!$A$2:$A$300,$A$8,Kit_BOM!$G$2:$G$300,"Bestücken")*$C$8+SUMIFS(Kit_BOM!$F$2:$F$300,Kit_BOM!$E$2:$E$300,$A44,Kit_BOM!$A$2:$A$300,$A$8,Kit_BOM!$G$2:$G$300,"Mechanical")*$C$8+IF($F$5="Ja",SUMIFS(Kit_BOM!$F$2:$F$300,Kit_BOM!$E$2:$E$300,$A44,Kit_BOM!$A$2:$A$300,$A$8,Kit_BOM!$G$2:$G$300,"Optional")*$C$8,0)+IF($F$6="Ja",SUMIFS(Kit_BOM!$F$2:$F$300,Kit_BOM!$E$2:$E$300,$A44,Kit_BOM!$A$2:$A$300,$A$8,Kit_BOM!$G$2:$G$300,"DNP")*$C$8,0)+SUMIFS(Kit_BOM!$F$2:$F$300,Kit_BOM!$E$2:$E$300,$A44,Kit_BOM!$A$2:$A$300,$A$9,Kit_BOM!$G$2:$G$300,"Bestücken")*$C$9+SUMIFS(Kit_BOM!$F$2:$F$300,Kit_BOM!$E$2:$E$300,$A44,Kit_BOM!$A$2:$A$300,$A$9,Kit_BOM!$G$2:$G$300,"Mechanical")*$C$9+IF($F$5="Ja",SUMIFS(Kit_BOM!$F$2:$F$300,Kit_BOM!$E$2:$E$300,$A44,Kit_BOM!$A$2:$A$300,$A$9,Kit_BOM!$G$2:$G$300,"Optional")*$C$9,0)+IF($F$6="Ja",SUMIFS(Kit_BOM!$F$2:$F$300,Kit_BOM!$E$2:$E$300,$A44,Kit_BOM!$A$2:$A$300,$A$9,Kit_BOM!$G$2:$G$300,"DNP")*$C$9,0)+SUMIFS(Kit_BOM!$F$2:$F$300,Kit_BOM!$E$2:$E$300,$A44,Kit_BOM!$A$2:$A$300,$A$10,Kit_BOM!$G$2:$G$300,"Bestücken")*$C$10+SUMIFS(Kit_BOM!$F$2:$F$300,Kit_BOM!$E$2:$E$300,$A44,Kit_BOM!$A$2:$A$300,$A$10,Kit_BOM!$G$2:$G$300,"Mechanical")*$C$10+IF($F$5="Ja",SUMIFS(Kit_BOM!$F$2:$F$300,Kit_BOM!$E$2:$E$300,$A44,Kit_BOM!$A$2:$A$300,$A$10,Kit_BOM!$G$2:$G$300,"Optional")*$C$10,0)+IF($F$6="Ja",SUMIFS(Kit_BOM!$F$2:$F$300,Kit_BOM!$E$2:$E$300,$A44,Kit_BOM!$A$2:$A$300,$A$10,Kit_BOM!$G$2:$G$300,"DNP")*$C$10,0)+SUMIFS(Kit_BOM!$F$2:$F$300,Kit_BOM!$E$2:$E$300,$A44,Kit_BOM!$A$2:$A$300,$A$11,Kit_BOM!$G$2:$G$300,"Bestücken")*$C$11+SUMIFS(Kit_BOM!$F$2:$F$300,Kit_BOM!$E$2:$E$300,$A44,Kit_BOM!$A$2:$A$300,$A$11,Kit_BOM!$G$2:$G$300,"Mechanical")*$C$11+IF($F$5="Ja",SUMIFS(Kit_BOM!$F$2:$F$300,Kit_BOM!$E$2:$E$300,$A44,Kit_BOM!$A$2:$A$300,$A$11,Kit_BOM!$G$2:$G$300,"Optional")*$C$11,0)+IF($F$6="Ja",SUMIFS(Kit_BOM!$F$2:$F$300,Kit_BOM!$E$2:$E$300,$A44,Kit_BOM!$A$2:$A$300,$A$11,Kit_BOM!$G$2:$G$300,"DNP")*$C$11,0)+SUMIFS(Kit_BOM!$F$2:$F$300,Kit_BOM!$E$2:$E$300,$A44,Kit_BOM!$A$2:$A$300,$A$12,Kit_BOM!$G$2:$G$300,"Bestücken")*$C$12+SUMIFS(Kit_BOM!$F$2:$F$300,Kit_BOM!$E$2:$E$300,$A44,Kit_BOM!$A$2:$A$300,$A$12,Kit_BOM!$G$2:$G$300,"Mechanical")*$C$12+IF($F$5="Ja",SUMIFS(Kit_BOM!$F$2:$F$300,Kit_BOM!$E$2:$E$300,$A44,Kit_BOM!$A$2:$A$300,$A$12,Kit_BOM!$G$2:$G$300,"Optional")*$C$12,0)+IF($F$6="Ja",SUMIFS(Kit_BOM!$F$2:$F$300,Kit_BOM!$E$2:$E$300,$A44,Kit_BOM!$A$2:$A$300,$A$12,Kit_BOM!$G$2:$G$300,"DNP")*$C$12,0)+SUMIFS(Kit_BOM!$F$2:$F$300,Kit_BOM!$E$2:$E$300,$A44,Kit_BOM!$A$2:$A$300,$H$5,Kit_BOM!$G$2:$G$300,"Bestücken")*$J$5+SUMIFS(Kit_BOM!$F$2:$F$300,Kit_BOM!$E$2:$E$300,$A44,Kit_BOM!$A$2:$A$300,$H$5,Kit_BOM!$G$2:$G$300,"Mechanical")*$J$5+IF($F$5="Ja",SUMIFS(Kit_BOM!$F$2:$F$300,Kit_BOM!$E$2:$E$300,$A44,Kit_BOM!$A$2:$A$300,$H$5,Kit_BOM!$G$2:$G$300,"Optional")*$J$5,0)+IF($F$6="Ja",SUMIFS(Kit_BOM!$F$2:$F$300,Kit_BOM!$E$2:$E$300,$A44,Kit_BOM!$A$2:$A$300,$H$5,Kit_BOM!$G$2:$G$300,"DNP")*$J$5,0)+SUMIFS(Kit_BOM!$F$2:$F$300,Kit_BOM!$E$2:$E$300,$A44,Kit_BOM!$A$2:$A$300,$H$6,Kit_BOM!$G$2:$G$300,"Bestücken")*$J$6+SUMIFS(Kit_BOM!$F$2:$F$300,Kit_BOM!$E$2:$E$300,$A44,Kit_BOM!$A$2:$A$300,$H$6,Kit_BOM!$G$2:$G$300,"Mechanical")*$J$6+IF($F$5="Ja",SUMIFS(Kit_BOM!$F$2:$F$300,Kit_BOM!$E$2:$E$300,$A44,Kit_BOM!$A$2:$A$300,$H$6,Kit_BOM!$G$2:$G$300,"Optional")*$J$6,0)+IF($F$6="Ja",SUMIFS(Kit_BOM!$F$2:$F$300,Kit_BOM!$E$2:$E$300,$A44,Kit_BOM!$A$2:$A$300,$H$6,Kit_BOM!$G$2:$G$300,"DNP")*$J$6,0)</f>
        <v>0</v>
      </c>
      <c r="F44" s="27">
        <f>IFERROR(IF(_xlfn.XLOOKUP($A44&amp;"|Ja",Part_Suppliers!$L$2:$L$300,Part_Suppliers!$G$2:$G$300,"",0)=0,"",_xlfn.XLOOKUP($A44&amp;"|Ja",Part_Suppliers!$L$2:$L$300,Part_Suppliers!$G$2:$G$300,"",0)),"")</f>
        <v>5</v>
      </c>
      <c r="G44" s="27">
        <f t="shared" si="6"/>
        <v>0</v>
      </c>
      <c r="H44" s="46">
        <f>IFERROR(IF(_xlfn.XLOOKUP($A44&amp;"|Ja",Part_Suppliers!$L$2:$L$300,Part_Suppliers!$E$2:$E$300,"",0)=0,"",_xlfn.XLOOKUP($A44&amp;"|Ja",Part_Suppliers!$L$2:$L$300,Part_Suppliers!$E$2:$E$300,"",0)),"")</f>
        <v>1.73</v>
      </c>
      <c r="I44" s="46">
        <f t="shared" si="7"/>
        <v>0</v>
      </c>
      <c r="J44" t="str">
        <f>IF(AND(P44&gt;0,P44&lt;&gt;O44),"Manuelle Menge prüfen",IF(E44=0,"Nicht benötigt",IF(L44&lt;0,"Bestand klären",IF(O44=0,"Gedeckt","PCB-Auftrag prüfen"))))</f>
        <v>Nicht benötigt</v>
      </c>
      <c r="K44" s="26" t="str">
        <f>IFERROR(IF(_xlfn.XLOOKUP($A44&amp;"|Ja",Part_Suppliers!$L$2:$L$300,Part_Suppliers!$D$2:$D$300,"",0)=0,"",_xlfn.XLOOKUP($A44&amp;"|Ja",Part_Suppliers!$L$2:$L$300,Part_Suppliers!$D$2:$D$300,"",0)),"")</f>
        <v>https://jlcpcb.com/</v>
      </c>
      <c r="L44" s="47">
        <f>IFERROR(VLOOKUP($A44,Stock!$A$5:$K$200,10,FALSE()),0)</f>
        <v>4</v>
      </c>
      <c r="M44" s="47">
        <f>IFERROR(VLOOKUP($A44,Stock!$A$5:$K$200,11,FALSE()),0)</f>
        <v>0</v>
      </c>
      <c r="N44" s="47">
        <f t="shared" si="9"/>
        <v>4</v>
      </c>
      <c r="O44" s="47">
        <f t="shared" si="10"/>
        <v>0</v>
      </c>
      <c r="P44" s="48">
        <v>0</v>
      </c>
      <c r="Q44" s="49">
        <f t="shared" si="11"/>
        <v>0</v>
      </c>
      <c r="R44" s="82">
        <f>SUMIFS(Part_Alternatives!$H$2:$H$200,Part_Alternatives!$A$2:$A$200,$A44,Part_Alternatives!$E$2:$E$200,"Ja")</f>
        <v>0</v>
      </c>
      <c r="S44" s="82">
        <f>SUMIFS(Part_Alternatives!$I$2:$I$200,Part_Alternatives!$A$2:$A$200,$A44,Part_Alternatives!$E$2:$E$200,"Ja")</f>
        <v>0</v>
      </c>
      <c r="T44" s="80" t="str">
        <f>IFERROR(VLOOKUP($A44,Part_Alternatives!$A$2:$K$200,10,FALSE()),"")</f>
        <v/>
      </c>
    </row>
    <row r="45" spans="1:20" ht="14" customHeight="1" x14ac:dyDescent="0.15">
      <c r="A45" t="s">
        <v>215</v>
      </c>
      <c r="B45" s="86" t="str">
        <f>IFERROR(VLOOKUP($A45,Parts!$A$2:$M$191,3,FALSE()),"")</f>
        <v>JST-SH Stiftleiste, 4-polig, vertikal</v>
      </c>
      <c r="C45" s="87" t="str">
        <f>IFERROR(IF(_xlfn.XLOOKUP($A45&amp;"|Ja",Part_Suppliers!$L$2:$L$300,Part_Suppliers!$B$2:$B$300,"",0)=0,"",_xlfn.XLOOKUP($A45&amp;"|Ja",Part_Suppliers!$L$2:$L$300,Part_Suppliers!$B$2:$B$300,"",0)),"")</f>
        <v>DigiKey</v>
      </c>
      <c r="D45" s="87" t="str">
        <f>IFERROR(IF(_xlfn.XLOOKUP($A45&amp;"|Ja",Part_Suppliers!$L$2:$L$300,Part_Suppliers!$C$2:$C$300,"",0)=0,"",_xlfn.XLOOKUP($A45&amp;"|Ja",Part_Suppliers!$L$2:$L$300,Part_Suppliers!$C$2:$C$300,"",0)),"")</f>
        <v>455-BM04B-SRSS-TBCT-ND</v>
      </c>
      <c r="E45" s="88">
        <f>SUMIFS(Kit_BOM!$F$2:$F$300,Kit_BOM!$E$2:$E$300,$A45,Kit_BOM!$A$2:$A$300,$A$5,Kit_BOM!$G$2:$G$300,"Bestücken")*$C$5+SUMIFS(Kit_BOM!$F$2:$F$300,Kit_BOM!$E$2:$E$300,$A45,Kit_BOM!$A$2:$A$300,$A$5,Kit_BOM!$G$2:$G$300,"Mechanical")*$C$5+IF($F$5="Ja",SUMIFS(Kit_BOM!$F$2:$F$300,Kit_BOM!$E$2:$E$300,$A45,Kit_BOM!$A$2:$A$300,$A$5,Kit_BOM!$G$2:$G$300,"Optional")*$C$5,0)+IF($F$6="Ja",SUMIFS(Kit_BOM!$F$2:$F$300,Kit_BOM!$E$2:$E$300,$A45,Kit_BOM!$A$2:$A$300,$A$5,Kit_BOM!$G$2:$G$300,"DNP")*$C$5,0)+SUMIFS(Kit_BOM!$F$2:$F$300,Kit_BOM!$E$2:$E$300,$A45,Kit_BOM!$A$2:$A$300,$A$6,Kit_BOM!$G$2:$G$300,"Bestücken")*$C$6+SUMIFS(Kit_BOM!$F$2:$F$300,Kit_BOM!$E$2:$E$300,$A45,Kit_BOM!$A$2:$A$300,$A$6,Kit_BOM!$G$2:$G$300,"Mechanical")*$C$6+IF($F$5="Ja",SUMIFS(Kit_BOM!$F$2:$F$300,Kit_BOM!$E$2:$E$300,$A45,Kit_BOM!$A$2:$A$300,$A$6,Kit_BOM!$G$2:$G$300,"Optional")*$C$6,0)+IF($F$6="Ja",SUMIFS(Kit_BOM!$F$2:$F$300,Kit_BOM!$E$2:$E$300,$A45,Kit_BOM!$A$2:$A$300,$A$6,Kit_BOM!$G$2:$G$300,"DNP")*$C$6,0)+SUMIFS(Kit_BOM!$F$2:$F$300,Kit_BOM!$E$2:$E$300,$A45,Kit_BOM!$A$2:$A$300,$A$7,Kit_BOM!$G$2:$G$300,"Bestücken")*$C$7+SUMIFS(Kit_BOM!$F$2:$F$300,Kit_BOM!$E$2:$E$300,$A45,Kit_BOM!$A$2:$A$300,$A$7,Kit_BOM!$G$2:$G$300,"Mechanical")*$C$7+IF($F$5="Ja",SUMIFS(Kit_BOM!$F$2:$F$300,Kit_BOM!$E$2:$E$300,$A45,Kit_BOM!$A$2:$A$300,$A$7,Kit_BOM!$G$2:$G$300,"Optional")*$C$7,0)+IF($F$6="Ja",SUMIFS(Kit_BOM!$F$2:$F$300,Kit_BOM!$E$2:$E$300,$A45,Kit_BOM!$A$2:$A$300,$A$7,Kit_BOM!$G$2:$G$300,"DNP")*$C$7,0)+SUMIFS(Kit_BOM!$F$2:$F$300,Kit_BOM!$E$2:$E$300,$A45,Kit_BOM!$A$2:$A$300,$A$8,Kit_BOM!$G$2:$G$300,"Bestücken")*$C$8+SUMIFS(Kit_BOM!$F$2:$F$300,Kit_BOM!$E$2:$E$300,$A45,Kit_BOM!$A$2:$A$300,$A$8,Kit_BOM!$G$2:$G$300,"Mechanical")*$C$8+IF($F$5="Ja",SUMIFS(Kit_BOM!$F$2:$F$300,Kit_BOM!$E$2:$E$300,$A45,Kit_BOM!$A$2:$A$300,$A$8,Kit_BOM!$G$2:$G$300,"Optional")*$C$8,0)+IF($F$6="Ja",SUMIFS(Kit_BOM!$F$2:$F$300,Kit_BOM!$E$2:$E$300,$A45,Kit_BOM!$A$2:$A$300,$A$8,Kit_BOM!$G$2:$G$300,"DNP")*$C$8,0)+SUMIFS(Kit_BOM!$F$2:$F$300,Kit_BOM!$E$2:$E$300,$A45,Kit_BOM!$A$2:$A$300,$A$9,Kit_BOM!$G$2:$G$300,"Bestücken")*$C$9+SUMIFS(Kit_BOM!$F$2:$F$300,Kit_BOM!$E$2:$E$300,$A45,Kit_BOM!$A$2:$A$300,$A$9,Kit_BOM!$G$2:$G$300,"Mechanical")*$C$9+IF($F$5="Ja",SUMIFS(Kit_BOM!$F$2:$F$300,Kit_BOM!$E$2:$E$300,$A45,Kit_BOM!$A$2:$A$300,$A$9,Kit_BOM!$G$2:$G$300,"Optional")*$C$9,0)+IF($F$6="Ja",SUMIFS(Kit_BOM!$F$2:$F$300,Kit_BOM!$E$2:$E$300,$A45,Kit_BOM!$A$2:$A$300,$A$9,Kit_BOM!$G$2:$G$300,"DNP")*$C$9,0)+SUMIFS(Kit_BOM!$F$2:$F$300,Kit_BOM!$E$2:$E$300,$A45,Kit_BOM!$A$2:$A$300,$A$10,Kit_BOM!$G$2:$G$300,"Bestücken")*$C$10+SUMIFS(Kit_BOM!$F$2:$F$300,Kit_BOM!$E$2:$E$300,$A45,Kit_BOM!$A$2:$A$300,$A$10,Kit_BOM!$G$2:$G$300,"Mechanical")*$C$10+IF($F$5="Ja",SUMIFS(Kit_BOM!$F$2:$F$300,Kit_BOM!$E$2:$E$300,$A45,Kit_BOM!$A$2:$A$300,$A$10,Kit_BOM!$G$2:$G$300,"Optional")*$C$10,0)+IF($F$6="Ja",SUMIFS(Kit_BOM!$F$2:$F$300,Kit_BOM!$E$2:$E$300,$A45,Kit_BOM!$A$2:$A$300,$A$10,Kit_BOM!$G$2:$G$300,"DNP")*$C$10,0)+SUMIFS(Kit_BOM!$F$2:$F$300,Kit_BOM!$E$2:$E$300,$A45,Kit_BOM!$A$2:$A$300,$A$11,Kit_BOM!$G$2:$G$300,"Bestücken")*$C$11+SUMIFS(Kit_BOM!$F$2:$F$300,Kit_BOM!$E$2:$E$300,$A45,Kit_BOM!$A$2:$A$300,$A$11,Kit_BOM!$G$2:$G$300,"Mechanical")*$C$11+IF($F$5="Ja",SUMIFS(Kit_BOM!$F$2:$F$300,Kit_BOM!$E$2:$E$300,$A45,Kit_BOM!$A$2:$A$300,$A$11,Kit_BOM!$G$2:$G$300,"Optional")*$C$11,0)+IF($F$6="Ja",SUMIFS(Kit_BOM!$F$2:$F$300,Kit_BOM!$E$2:$E$300,$A45,Kit_BOM!$A$2:$A$300,$A$11,Kit_BOM!$G$2:$G$300,"DNP")*$C$11,0)+SUMIFS(Kit_BOM!$F$2:$F$300,Kit_BOM!$E$2:$E$300,$A45,Kit_BOM!$A$2:$A$300,$A$12,Kit_BOM!$G$2:$G$300,"Bestücken")*$C$12+SUMIFS(Kit_BOM!$F$2:$F$300,Kit_BOM!$E$2:$E$300,$A45,Kit_BOM!$A$2:$A$300,$A$12,Kit_BOM!$G$2:$G$300,"Mechanical")*$C$12+IF($F$5="Ja",SUMIFS(Kit_BOM!$F$2:$F$300,Kit_BOM!$E$2:$E$300,$A45,Kit_BOM!$A$2:$A$300,$A$12,Kit_BOM!$G$2:$G$300,"Optional")*$C$12,0)+IF($F$6="Ja",SUMIFS(Kit_BOM!$F$2:$F$300,Kit_BOM!$E$2:$E$300,$A45,Kit_BOM!$A$2:$A$300,$A$12,Kit_BOM!$G$2:$G$300,"DNP")*$C$12,0)+SUMIFS(Kit_BOM!$F$2:$F$300,Kit_BOM!$E$2:$E$300,$A45,Kit_BOM!$A$2:$A$300,$H$5,Kit_BOM!$G$2:$G$300,"Bestücken")*$J$5+SUMIFS(Kit_BOM!$F$2:$F$300,Kit_BOM!$E$2:$E$300,$A45,Kit_BOM!$A$2:$A$300,$H$5,Kit_BOM!$G$2:$G$300,"Mechanical")*$J$5+IF($F$5="Ja",SUMIFS(Kit_BOM!$F$2:$F$300,Kit_BOM!$E$2:$E$300,$A45,Kit_BOM!$A$2:$A$300,$H$5,Kit_BOM!$G$2:$G$300,"Optional")*$J$5,0)+IF($F$6="Ja",SUMIFS(Kit_BOM!$F$2:$F$300,Kit_BOM!$E$2:$E$300,$A45,Kit_BOM!$A$2:$A$300,$H$5,Kit_BOM!$G$2:$G$300,"DNP")*$J$5,0)+SUMIFS(Kit_BOM!$F$2:$F$300,Kit_BOM!$E$2:$E$300,$A45,Kit_BOM!$A$2:$A$300,$H$6,Kit_BOM!$G$2:$G$300,"Bestücken")*$J$6+SUMIFS(Kit_BOM!$F$2:$F$300,Kit_BOM!$E$2:$E$300,$A45,Kit_BOM!$A$2:$A$300,$H$6,Kit_BOM!$G$2:$G$300,"Mechanical")*$J$6+IF($F$5="Ja",SUMIFS(Kit_BOM!$F$2:$F$300,Kit_BOM!$E$2:$E$300,$A45,Kit_BOM!$A$2:$A$300,$H$6,Kit_BOM!$G$2:$G$300,"Optional")*$J$6,0)+IF($F$6="Ja",SUMIFS(Kit_BOM!$F$2:$F$300,Kit_BOM!$E$2:$E$300,$A45,Kit_BOM!$A$2:$A$300,$H$6,Kit_BOM!$G$2:$G$300,"DNP")*$J$6,0)</f>
        <v>24</v>
      </c>
      <c r="F45" s="88">
        <f>IFERROR(IF(_xlfn.XLOOKUP($A45&amp;"|Ja",Part_Suppliers!$L$2:$L$300,Part_Suppliers!$G$2:$G$300,"",0)=0,"",_xlfn.XLOOKUP($A45&amp;"|Ja",Part_Suppliers!$L$2:$L$300,Part_Suppliers!$G$2:$G$300,"",0)),"")</f>
        <v>1</v>
      </c>
      <c r="G45" s="88">
        <f t="shared" si="6"/>
        <v>24</v>
      </c>
      <c r="H45" s="89">
        <f>IFERROR(IF(_xlfn.XLOOKUP($A45&amp;"|Ja",Part_Suppliers!$L$2:$L$300,Part_Suppliers!$E$2:$E$300,"",0)=0,"",_xlfn.XLOOKUP($A45&amp;"|Ja",Part_Suppliers!$L$2:$L$300,Part_Suppliers!$E$2:$E$300,"",0)),"")</f>
        <v>0.45</v>
      </c>
      <c r="I45" s="89">
        <f t="shared" si="7"/>
        <v>10.8</v>
      </c>
      <c r="J45" s="85" t="str">
        <f>IF(AND(P45&gt;0,P45&lt;&gt;O45),"Manuelle Menge prüfen",IF(E45=0,"Nicht benötigt",IF(L45&lt;0,"Bestand klären",IF(O45=0,"Gedeckt",IF(OR(C45="",C45="Noch festlegen",D45=""),"Artikel offen",IF(H45="","Preis offen","Bestellvorschlag prüfen"))))))</f>
        <v>Bestellvorschlag prüfen</v>
      </c>
      <c r="K45" s="87" t="str">
        <f>IFERROR(IF(_xlfn.XLOOKUP($A45&amp;"|Ja",Part_Suppliers!$L$2:$L$300,Part_Suppliers!$D$2:$D$300,"",0)=0,"",_xlfn.XLOOKUP($A45&amp;"|Ja",Part_Suppliers!$L$2:$L$300,Part_Suppliers!$D$2:$D$300,"",0)),"")</f>
        <v>https://www.digikey.de/de/products/detail/jst-sales-america-inc/BM04B-SRSS-TB/926696</v>
      </c>
      <c r="L45" s="90">
        <f>IFERROR(VLOOKUP($A45,Stock!$A$5:$K$200,10,FALSE()),0)</f>
        <v>0</v>
      </c>
      <c r="M45" s="90">
        <f>IFERROR(VLOOKUP($A45,Stock!$A$5:$K$200,11,FALSE()),0)</f>
        <v>0</v>
      </c>
      <c r="N45" s="90">
        <f t="shared" si="9"/>
        <v>-24</v>
      </c>
      <c r="O45" s="90">
        <f t="shared" si="10"/>
        <v>24</v>
      </c>
      <c r="P45" s="91">
        <v>0</v>
      </c>
      <c r="Q45" s="92">
        <f t="shared" si="11"/>
        <v>0</v>
      </c>
      <c r="R45" s="93">
        <f>SUMIFS(Part_Alternatives!$H$2:$H$200,Part_Alternatives!$A$2:$A$200,$A45,Part_Alternatives!$E$2:$E$200,"Ja")</f>
        <v>0</v>
      </c>
      <c r="S45" s="93">
        <f>SUMIFS(Part_Alternatives!$I$2:$I$200,Part_Alternatives!$A$2:$A$200,$A45,Part_Alternatives!$E$2:$E$200,"Ja")</f>
        <v>0</v>
      </c>
      <c r="T45" s="85" t="str">
        <f>IFERROR(VLOOKUP($A45,Part_Alternatives!$A$2:$K$200,10,FALSE()),"")</f>
        <v/>
      </c>
    </row>
    <row r="46" spans="1:20" ht="14" hidden="1" customHeight="1" x14ac:dyDescent="0.2">
      <c r="A46" s="26" t="s">
        <v>146</v>
      </c>
      <c r="B46" s="45" t="str">
        <f>IFERROR(VLOOKUP($A46,Parts!$A$2:$M$191,3,FALSE()),"")</f>
        <v>Schottky-Diode SS14, SMA</v>
      </c>
      <c r="C46" s="26" t="str">
        <f>IFERROR(IF(_xlfn.XLOOKUP($A46&amp;"|Ja",Part_Suppliers!$L$2:$L$300,Part_Suppliers!$B$2:$B$300,"",0)=0,"",_xlfn.XLOOKUP($A46&amp;"|Ja",Part_Suppliers!$L$2:$L$300,Part_Suppliers!$B$2:$B$300,"",0)),"")</f>
        <v>Reichelt</v>
      </c>
      <c r="D46" s="26" t="str">
        <f>IFERROR(IF(_xlfn.XLOOKUP($A46&amp;"|Ja",Part_Suppliers!$L$2:$L$300,Part_Suppliers!$C$2:$C$300,"",0)=0,"",_xlfn.XLOOKUP($A46&amp;"|Ja",Part_Suppliers!$L$2:$L$300,Part_Suppliers!$C$2:$C$300,"",0)),"")</f>
        <v>SS 14 VIS</v>
      </c>
      <c r="E46" s="27">
        <f>SUMIFS(Kit_BOM!$F$2:$F$300,Kit_BOM!$E$2:$E$300,$A46,Kit_BOM!$A$2:$A$300,$A$5,Kit_BOM!$G$2:$G$300,"Bestücken")*$C$5+SUMIFS(Kit_BOM!$F$2:$F$300,Kit_BOM!$E$2:$E$300,$A46,Kit_BOM!$A$2:$A$300,$A$5,Kit_BOM!$G$2:$G$300,"Mechanical")*$C$5+IF($F$5="Ja",SUMIFS(Kit_BOM!$F$2:$F$300,Kit_BOM!$E$2:$E$300,$A46,Kit_BOM!$A$2:$A$300,$A$5,Kit_BOM!$G$2:$G$300,"Optional")*$C$5,0)+IF($F$6="Ja",SUMIFS(Kit_BOM!$F$2:$F$300,Kit_BOM!$E$2:$E$300,$A46,Kit_BOM!$A$2:$A$300,$A$5,Kit_BOM!$G$2:$G$300,"DNP")*$C$5,0)+SUMIFS(Kit_BOM!$F$2:$F$300,Kit_BOM!$E$2:$E$300,$A46,Kit_BOM!$A$2:$A$300,$A$6,Kit_BOM!$G$2:$G$300,"Bestücken")*$C$6+SUMIFS(Kit_BOM!$F$2:$F$300,Kit_BOM!$E$2:$E$300,$A46,Kit_BOM!$A$2:$A$300,$A$6,Kit_BOM!$G$2:$G$300,"Mechanical")*$C$6+IF($F$5="Ja",SUMIFS(Kit_BOM!$F$2:$F$300,Kit_BOM!$E$2:$E$300,$A46,Kit_BOM!$A$2:$A$300,$A$6,Kit_BOM!$G$2:$G$300,"Optional")*$C$6,0)+IF($F$6="Ja",SUMIFS(Kit_BOM!$F$2:$F$300,Kit_BOM!$E$2:$E$300,$A46,Kit_BOM!$A$2:$A$300,$A$6,Kit_BOM!$G$2:$G$300,"DNP")*$C$6,0)+SUMIFS(Kit_BOM!$F$2:$F$300,Kit_BOM!$E$2:$E$300,$A46,Kit_BOM!$A$2:$A$300,$A$7,Kit_BOM!$G$2:$G$300,"Bestücken")*$C$7+SUMIFS(Kit_BOM!$F$2:$F$300,Kit_BOM!$E$2:$E$300,$A46,Kit_BOM!$A$2:$A$300,$A$7,Kit_BOM!$G$2:$G$300,"Mechanical")*$C$7+IF($F$5="Ja",SUMIFS(Kit_BOM!$F$2:$F$300,Kit_BOM!$E$2:$E$300,$A46,Kit_BOM!$A$2:$A$300,$A$7,Kit_BOM!$G$2:$G$300,"Optional")*$C$7,0)+IF($F$6="Ja",SUMIFS(Kit_BOM!$F$2:$F$300,Kit_BOM!$E$2:$E$300,$A46,Kit_BOM!$A$2:$A$300,$A$7,Kit_BOM!$G$2:$G$300,"DNP")*$C$7,0)+SUMIFS(Kit_BOM!$F$2:$F$300,Kit_BOM!$E$2:$E$300,$A46,Kit_BOM!$A$2:$A$300,$A$8,Kit_BOM!$G$2:$G$300,"Bestücken")*$C$8+SUMIFS(Kit_BOM!$F$2:$F$300,Kit_BOM!$E$2:$E$300,$A46,Kit_BOM!$A$2:$A$300,$A$8,Kit_BOM!$G$2:$G$300,"Mechanical")*$C$8+IF($F$5="Ja",SUMIFS(Kit_BOM!$F$2:$F$300,Kit_BOM!$E$2:$E$300,$A46,Kit_BOM!$A$2:$A$300,$A$8,Kit_BOM!$G$2:$G$300,"Optional")*$C$8,0)+IF($F$6="Ja",SUMIFS(Kit_BOM!$F$2:$F$300,Kit_BOM!$E$2:$E$300,$A46,Kit_BOM!$A$2:$A$300,$A$8,Kit_BOM!$G$2:$G$300,"DNP")*$C$8,0)+SUMIFS(Kit_BOM!$F$2:$F$300,Kit_BOM!$E$2:$E$300,$A46,Kit_BOM!$A$2:$A$300,$A$9,Kit_BOM!$G$2:$G$300,"Bestücken")*$C$9+SUMIFS(Kit_BOM!$F$2:$F$300,Kit_BOM!$E$2:$E$300,$A46,Kit_BOM!$A$2:$A$300,$A$9,Kit_BOM!$G$2:$G$300,"Mechanical")*$C$9+IF($F$5="Ja",SUMIFS(Kit_BOM!$F$2:$F$300,Kit_BOM!$E$2:$E$300,$A46,Kit_BOM!$A$2:$A$300,$A$9,Kit_BOM!$G$2:$G$300,"Optional")*$C$9,0)+IF($F$6="Ja",SUMIFS(Kit_BOM!$F$2:$F$300,Kit_BOM!$E$2:$E$300,$A46,Kit_BOM!$A$2:$A$300,$A$9,Kit_BOM!$G$2:$G$300,"DNP")*$C$9,0)+SUMIFS(Kit_BOM!$F$2:$F$300,Kit_BOM!$E$2:$E$300,$A46,Kit_BOM!$A$2:$A$300,$A$10,Kit_BOM!$G$2:$G$300,"Bestücken")*$C$10+SUMIFS(Kit_BOM!$F$2:$F$300,Kit_BOM!$E$2:$E$300,$A46,Kit_BOM!$A$2:$A$300,$A$10,Kit_BOM!$G$2:$G$300,"Mechanical")*$C$10+IF($F$5="Ja",SUMIFS(Kit_BOM!$F$2:$F$300,Kit_BOM!$E$2:$E$300,$A46,Kit_BOM!$A$2:$A$300,$A$10,Kit_BOM!$G$2:$G$300,"Optional")*$C$10,0)+IF($F$6="Ja",SUMIFS(Kit_BOM!$F$2:$F$300,Kit_BOM!$E$2:$E$300,$A46,Kit_BOM!$A$2:$A$300,$A$10,Kit_BOM!$G$2:$G$300,"DNP")*$C$10,0)+SUMIFS(Kit_BOM!$F$2:$F$300,Kit_BOM!$E$2:$E$300,$A46,Kit_BOM!$A$2:$A$300,$A$11,Kit_BOM!$G$2:$G$300,"Bestücken")*$C$11+SUMIFS(Kit_BOM!$F$2:$F$300,Kit_BOM!$E$2:$E$300,$A46,Kit_BOM!$A$2:$A$300,$A$11,Kit_BOM!$G$2:$G$300,"Mechanical")*$C$11+IF($F$5="Ja",SUMIFS(Kit_BOM!$F$2:$F$300,Kit_BOM!$E$2:$E$300,$A46,Kit_BOM!$A$2:$A$300,$A$11,Kit_BOM!$G$2:$G$300,"Optional")*$C$11,0)+IF($F$6="Ja",SUMIFS(Kit_BOM!$F$2:$F$300,Kit_BOM!$E$2:$E$300,$A46,Kit_BOM!$A$2:$A$300,$A$11,Kit_BOM!$G$2:$G$300,"DNP")*$C$11,0)+SUMIFS(Kit_BOM!$F$2:$F$300,Kit_BOM!$E$2:$E$300,$A46,Kit_BOM!$A$2:$A$300,$A$12,Kit_BOM!$G$2:$G$300,"Bestücken")*$C$12+SUMIFS(Kit_BOM!$F$2:$F$300,Kit_BOM!$E$2:$E$300,$A46,Kit_BOM!$A$2:$A$300,$A$12,Kit_BOM!$G$2:$G$300,"Mechanical")*$C$12+IF($F$5="Ja",SUMIFS(Kit_BOM!$F$2:$F$300,Kit_BOM!$E$2:$E$300,$A46,Kit_BOM!$A$2:$A$300,$A$12,Kit_BOM!$G$2:$G$300,"Optional")*$C$12,0)+IF($F$6="Ja",SUMIFS(Kit_BOM!$F$2:$F$300,Kit_BOM!$E$2:$E$300,$A46,Kit_BOM!$A$2:$A$300,$A$12,Kit_BOM!$G$2:$G$300,"DNP")*$C$12,0)+SUMIFS(Kit_BOM!$F$2:$F$300,Kit_BOM!$E$2:$E$300,$A46,Kit_BOM!$A$2:$A$300,$H$5,Kit_BOM!$G$2:$G$300,"Bestücken")*$J$5+SUMIFS(Kit_BOM!$F$2:$F$300,Kit_BOM!$E$2:$E$300,$A46,Kit_BOM!$A$2:$A$300,$H$5,Kit_BOM!$G$2:$G$300,"Mechanical")*$J$5+IF($F$5="Ja",SUMIFS(Kit_BOM!$F$2:$F$300,Kit_BOM!$E$2:$E$300,$A46,Kit_BOM!$A$2:$A$300,$H$5,Kit_BOM!$G$2:$G$300,"Optional")*$J$5,0)+IF($F$6="Ja",SUMIFS(Kit_BOM!$F$2:$F$300,Kit_BOM!$E$2:$E$300,$A46,Kit_BOM!$A$2:$A$300,$H$5,Kit_BOM!$G$2:$G$300,"DNP")*$J$5,0)+SUMIFS(Kit_BOM!$F$2:$F$300,Kit_BOM!$E$2:$E$300,$A46,Kit_BOM!$A$2:$A$300,$H$6,Kit_BOM!$G$2:$G$300,"Bestücken")*$J$6+SUMIFS(Kit_BOM!$F$2:$F$300,Kit_BOM!$E$2:$E$300,$A46,Kit_BOM!$A$2:$A$300,$H$6,Kit_BOM!$G$2:$G$300,"Mechanical")*$J$6+IF($F$5="Ja",SUMIFS(Kit_BOM!$F$2:$F$300,Kit_BOM!$E$2:$E$300,$A46,Kit_BOM!$A$2:$A$300,$H$6,Kit_BOM!$G$2:$G$300,"Optional")*$J$6,0)+IF($F$6="Ja",SUMIFS(Kit_BOM!$F$2:$F$300,Kit_BOM!$E$2:$E$300,$A46,Kit_BOM!$A$2:$A$300,$H$6,Kit_BOM!$G$2:$G$300,"DNP")*$J$6,0)</f>
        <v>10</v>
      </c>
      <c r="F46" s="27" t="str">
        <f>IFERROR(IF(_xlfn.XLOOKUP($A46&amp;"|Ja",Part_Suppliers!$L$2:$L$300,Part_Suppliers!$G$2:$G$300,"",0)=0,"",_xlfn.XLOOKUP($A46&amp;"|Ja",Part_Suppliers!$L$2:$L$300,Part_Suppliers!$G$2:$G$300,"",0)),"")</f>
        <v/>
      </c>
      <c r="G46" s="27">
        <f t="shared" si="6"/>
        <v>10</v>
      </c>
      <c r="H46" s="46">
        <f>IFERROR(IF(_xlfn.XLOOKUP($A46&amp;"|Ja",Part_Suppliers!$L$2:$L$300,Part_Suppliers!$E$2:$E$300,"",0)=0,"",_xlfn.XLOOKUP($A46&amp;"|Ja",Part_Suppliers!$L$2:$L$300,Part_Suppliers!$E$2:$E$300,"",0)),"")</f>
        <v>0.18</v>
      </c>
      <c r="I46" s="46">
        <f t="shared" si="7"/>
        <v>1.7999999999999998</v>
      </c>
      <c r="J46" t="str">
        <f>IF(AND(P46&gt;0,P46&lt;&gt;O46),"Manuelle Menge prüfen",IF(E46=0,"Nicht benötigt",IF(L46&lt;0,"Bestand klären",IF(O46=0,"Gedeckt",IF(OR(C46="",C46="Noch festlegen",D46=""),"Artikel offen",IF(H46="","Preis offen","Bestellvorschlag prüfen"))))))</f>
        <v>Gedeckt</v>
      </c>
      <c r="K46" s="26" t="str">
        <f>IFERROR(IF(_xlfn.XLOOKUP($A46&amp;"|Ja",Part_Suppliers!$L$2:$L$300,Part_Suppliers!$D$2:$D$300,"",0)=0,"",_xlfn.XLOOKUP($A46&amp;"|Ja",Part_Suppliers!$L$2:$L$300,Part_Suppliers!$D$2:$D$300,"",0)),"")</f>
        <v>https://www.reichelt.de/de/de/shop/produkt/schottkydiode_40_v_1_a_do-214ac-219612</v>
      </c>
      <c r="L46" s="47">
        <f>IFERROR(VLOOKUP($A46,Stock!$A$5:$K$200,10,FALSE()),0)</f>
        <v>16</v>
      </c>
      <c r="M46" s="47">
        <f>IFERROR(VLOOKUP($A46,Stock!$A$5:$K$200,11,FALSE()),0)</f>
        <v>0</v>
      </c>
      <c r="N46" s="47">
        <f t="shared" si="9"/>
        <v>6</v>
      </c>
      <c r="O46" s="47">
        <f t="shared" si="10"/>
        <v>0</v>
      </c>
      <c r="P46" s="48">
        <v>0</v>
      </c>
      <c r="Q46" s="49">
        <f t="shared" si="11"/>
        <v>0</v>
      </c>
      <c r="R46" s="82">
        <f>SUMIFS(Part_Alternatives!$H$2:$H$200,Part_Alternatives!$A$2:$A$200,$A46,Part_Alternatives!$E$2:$E$200,"Ja")</f>
        <v>0</v>
      </c>
      <c r="S46" s="82">
        <f>SUMIFS(Part_Alternatives!$I$2:$I$200,Part_Alternatives!$A$2:$A$200,$A46,Part_Alternatives!$E$2:$E$200,"Ja")</f>
        <v>0</v>
      </c>
      <c r="T46" s="80" t="str">
        <f>IFERROR(VLOOKUP($A46,Part_Alternatives!$A$2:$K$200,10,FALSE()),"")</f>
        <v/>
      </c>
    </row>
    <row r="47" spans="1:20" ht="14" hidden="1" customHeight="1" x14ac:dyDescent="0.2">
      <c r="A47" s="26" t="s">
        <v>147</v>
      </c>
      <c r="B47" s="45" t="str">
        <f>IFERROR(VLOOKUP($A47,Parts!$A$2:$M$191,3,FALSE()),"")</f>
        <v>Elektrolytkondensator 10 µF SMD</v>
      </c>
      <c r="C47" s="26" t="str">
        <f>IFERROR(IF(_xlfn.XLOOKUP($A47&amp;"|Ja",Part_Suppliers!$L$2:$L$300,Part_Suppliers!$B$2:$B$300,"",0)=0,"",_xlfn.XLOOKUP($A47&amp;"|Ja",Part_Suppliers!$L$2:$L$300,Part_Suppliers!$B$2:$B$300,"",0)),"")</f>
        <v>Reichelt</v>
      </c>
      <c r="D47" s="26" t="str">
        <f>IFERROR(IF(_xlfn.XLOOKUP($A47&amp;"|Ja",Part_Suppliers!$L$2:$L$300,Part_Suppliers!$C$2:$C$300,"",0)=0,"",_xlfn.XLOOKUP($A47&amp;"|Ja",Part_Suppliers!$L$2:$L$300,Part_Suppliers!$C$2:$C$300,"",0)),"")</f>
        <v>S-V 10U 25</v>
      </c>
      <c r="E47" s="27">
        <f>SUMIFS(Kit_BOM!$F$2:$F$300,Kit_BOM!$E$2:$E$300,$A47,Kit_BOM!$A$2:$A$300,$A$5,Kit_BOM!$G$2:$G$300,"Bestücken")*$C$5+SUMIFS(Kit_BOM!$F$2:$F$300,Kit_BOM!$E$2:$E$300,$A47,Kit_BOM!$A$2:$A$300,$A$5,Kit_BOM!$G$2:$G$300,"Mechanical")*$C$5+IF($F$5="Ja",SUMIFS(Kit_BOM!$F$2:$F$300,Kit_BOM!$E$2:$E$300,$A47,Kit_BOM!$A$2:$A$300,$A$5,Kit_BOM!$G$2:$G$300,"Optional")*$C$5,0)+IF($F$6="Ja",SUMIFS(Kit_BOM!$F$2:$F$300,Kit_BOM!$E$2:$E$300,$A47,Kit_BOM!$A$2:$A$300,$A$5,Kit_BOM!$G$2:$G$300,"DNP")*$C$5,0)+SUMIFS(Kit_BOM!$F$2:$F$300,Kit_BOM!$E$2:$E$300,$A47,Kit_BOM!$A$2:$A$300,$A$6,Kit_BOM!$G$2:$G$300,"Bestücken")*$C$6+SUMIFS(Kit_BOM!$F$2:$F$300,Kit_BOM!$E$2:$E$300,$A47,Kit_BOM!$A$2:$A$300,$A$6,Kit_BOM!$G$2:$G$300,"Mechanical")*$C$6+IF($F$5="Ja",SUMIFS(Kit_BOM!$F$2:$F$300,Kit_BOM!$E$2:$E$300,$A47,Kit_BOM!$A$2:$A$300,$A$6,Kit_BOM!$G$2:$G$300,"Optional")*$C$6,0)+IF($F$6="Ja",SUMIFS(Kit_BOM!$F$2:$F$300,Kit_BOM!$E$2:$E$300,$A47,Kit_BOM!$A$2:$A$300,$A$6,Kit_BOM!$G$2:$G$300,"DNP")*$C$6,0)+SUMIFS(Kit_BOM!$F$2:$F$300,Kit_BOM!$E$2:$E$300,$A47,Kit_BOM!$A$2:$A$300,$A$7,Kit_BOM!$G$2:$G$300,"Bestücken")*$C$7+SUMIFS(Kit_BOM!$F$2:$F$300,Kit_BOM!$E$2:$E$300,$A47,Kit_BOM!$A$2:$A$300,$A$7,Kit_BOM!$G$2:$G$300,"Mechanical")*$C$7+IF($F$5="Ja",SUMIFS(Kit_BOM!$F$2:$F$300,Kit_BOM!$E$2:$E$300,$A47,Kit_BOM!$A$2:$A$300,$A$7,Kit_BOM!$G$2:$G$300,"Optional")*$C$7,0)+IF($F$6="Ja",SUMIFS(Kit_BOM!$F$2:$F$300,Kit_BOM!$E$2:$E$300,$A47,Kit_BOM!$A$2:$A$300,$A$7,Kit_BOM!$G$2:$G$300,"DNP")*$C$7,0)+SUMIFS(Kit_BOM!$F$2:$F$300,Kit_BOM!$E$2:$E$300,$A47,Kit_BOM!$A$2:$A$300,$A$8,Kit_BOM!$G$2:$G$300,"Bestücken")*$C$8+SUMIFS(Kit_BOM!$F$2:$F$300,Kit_BOM!$E$2:$E$300,$A47,Kit_BOM!$A$2:$A$300,$A$8,Kit_BOM!$G$2:$G$300,"Mechanical")*$C$8+IF($F$5="Ja",SUMIFS(Kit_BOM!$F$2:$F$300,Kit_BOM!$E$2:$E$300,$A47,Kit_BOM!$A$2:$A$300,$A$8,Kit_BOM!$G$2:$G$300,"Optional")*$C$8,0)+IF($F$6="Ja",SUMIFS(Kit_BOM!$F$2:$F$300,Kit_BOM!$E$2:$E$300,$A47,Kit_BOM!$A$2:$A$300,$A$8,Kit_BOM!$G$2:$G$300,"DNP")*$C$8,0)+SUMIFS(Kit_BOM!$F$2:$F$300,Kit_BOM!$E$2:$E$300,$A47,Kit_BOM!$A$2:$A$300,$A$9,Kit_BOM!$G$2:$G$300,"Bestücken")*$C$9+SUMIFS(Kit_BOM!$F$2:$F$300,Kit_BOM!$E$2:$E$300,$A47,Kit_BOM!$A$2:$A$300,$A$9,Kit_BOM!$G$2:$G$300,"Mechanical")*$C$9+IF($F$5="Ja",SUMIFS(Kit_BOM!$F$2:$F$300,Kit_BOM!$E$2:$E$300,$A47,Kit_BOM!$A$2:$A$300,$A$9,Kit_BOM!$G$2:$G$300,"Optional")*$C$9,0)+IF($F$6="Ja",SUMIFS(Kit_BOM!$F$2:$F$300,Kit_BOM!$E$2:$E$300,$A47,Kit_BOM!$A$2:$A$300,$A$9,Kit_BOM!$G$2:$G$300,"DNP")*$C$9,0)+SUMIFS(Kit_BOM!$F$2:$F$300,Kit_BOM!$E$2:$E$300,$A47,Kit_BOM!$A$2:$A$300,$A$10,Kit_BOM!$G$2:$G$300,"Bestücken")*$C$10+SUMIFS(Kit_BOM!$F$2:$F$300,Kit_BOM!$E$2:$E$300,$A47,Kit_BOM!$A$2:$A$300,$A$10,Kit_BOM!$G$2:$G$300,"Mechanical")*$C$10+IF($F$5="Ja",SUMIFS(Kit_BOM!$F$2:$F$300,Kit_BOM!$E$2:$E$300,$A47,Kit_BOM!$A$2:$A$300,$A$10,Kit_BOM!$G$2:$G$300,"Optional")*$C$10,0)+IF($F$6="Ja",SUMIFS(Kit_BOM!$F$2:$F$300,Kit_BOM!$E$2:$E$300,$A47,Kit_BOM!$A$2:$A$300,$A$10,Kit_BOM!$G$2:$G$300,"DNP")*$C$10,0)+SUMIFS(Kit_BOM!$F$2:$F$300,Kit_BOM!$E$2:$E$300,$A47,Kit_BOM!$A$2:$A$300,$A$11,Kit_BOM!$G$2:$G$300,"Bestücken")*$C$11+SUMIFS(Kit_BOM!$F$2:$F$300,Kit_BOM!$E$2:$E$300,$A47,Kit_BOM!$A$2:$A$300,$A$11,Kit_BOM!$G$2:$G$300,"Mechanical")*$C$11+IF($F$5="Ja",SUMIFS(Kit_BOM!$F$2:$F$300,Kit_BOM!$E$2:$E$300,$A47,Kit_BOM!$A$2:$A$300,$A$11,Kit_BOM!$G$2:$G$300,"Optional")*$C$11,0)+IF($F$6="Ja",SUMIFS(Kit_BOM!$F$2:$F$300,Kit_BOM!$E$2:$E$300,$A47,Kit_BOM!$A$2:$A$300,$A$11,Kit_BOM!$G$2:$G$300,"DNP")*$C$11,0)+SUMIFS(Kit_BOM!$F$2:$F$300,Kit_BOM!$E$2:$E$300,$A47,Kit_BOM!$A$2:$A$300,$A$12,Kit_BOM!$G$2:$G$300,"Bestücken")*$C$12+SUMIFS(Kit_BOM!$F$2:$F$300,Kit_BOM!$E$2:$E$300,$A47,Kit_BOM!$A$2:$A$300,$A$12,Kit_BOM!$G$2:$G$300,"Mechanical")*$C$12+IF($F$5="Ja",SUMIFS(Kit_BOM!$F$2:$F$300,Kit_BOM!$E$2:$E$300,$A47,Kit_BOM!$A$2:$A$300,$A$12,Kit_BOM!$G$2:$G$300,"Optional")*$C$12,0)+IF($F$6="Ja",SUMIFS(Kit_BOM!$F$2:$F$300,Kit_BOM!$E$2:$E$300,$A47,Kit_BOM!$A$2:$A$300,$A$12,Kit_BOM!$G$2:$G$300,"DNP")*$C$12,0)+SUMIFS(Kit_BOM!$F$2:$F$300,Kit_BOM!$E$2:$E$300,$A47,Kit_BOM!$A$2:$A$300,$H$5,Kit_BOM!$G$2:$G$300,"Bestücken")*$J$5+SUMIFS(Kit_BOM!$F$2:$F$300,Kit_BOM!$E$2:$E$300,$A47,Kit_BOM!$A$2:$A$300,$H$5,Kit_BOM!$G$2:$G$300,"Mechanical")*$J$5+IF($F$5="Ja",SUMIFS(Kit_BOM!$F$2:$F$300,Kit_BOM!$E$2:$E$300,$A47,Kit_BOM!$A$2:$A$300,$H$5,Kit_BOM!$G$2:$G$300,"Optional")*$J$5,0)+IF($F$6="Ja",SUMIFS(Kit_BOM!$F$2:$F$300,Kit_BOM!$E$2:$E$300,$A47,Kit_BOM!$A$2:$A$300,$H$5,Kit_BOM!$G$2:$G$300,"DNP")*$J$5,0)+SUMIFS(Kit_BOM!$F$2:$F$300,Kit_BOM!$E$2:$E$300,$A47,Kit_BOM!$A$2:$A$300,$H$6,Kit_BOM!$G$2:$G$300,"Bestücken")*$J$6+SUMIFS(Kit_BOM!$F$2:$F$300,Kit_BOM!$E$2:$E$300,$A47,Kit_BOM!$A$2:$A$300,$H$6,Kit_BOM!$G$2:$G$300,"Mechanical")*$J$6+IF($F$5="Ja",SUMIFS(Kit_BOM!$F$2:$F$300,Kit_BOM!$E$2:$E$300,$A47,Kit_BOM!$A$2:$A$300,$H$6,Kit_BOM!$G$2:$G$300,"Optional")*$J$6,0)+IF($F$6="Ja",SUMIFS(Kit_BOM!$F$2:$F$300,Kit_BOM!$E$2:$E$300,$A47,Kit_BOM!$A$2:$A$300,$H$6,Kit_BOM!$G$2:$G$300,"DNP")*$J$6,0)</f>
        <v>5</v>
      </c>
      <c r="F47" s="27" t="str">
        <f>IFERROR(IF(_xlfn.XLOOKUP($A47&amp;"|Ja",Part_Suppliers!$L$2:$L$300,Part_Suppliers!$G$2:$G$300,"",0)=0,"",_xlfn.XLOOKUP($A47&amp;"|Ja",Part_Suppliers!$L$2:$L$300,Part_Suppliers!$G$2:$G$300,"",0)),"")</f>
        <v/>
      </c>
      <c r="G47" s="27">
        <f t="shared" si="6"/>
        <v>5</v>
      </c>
      <c r="H47" s="46">
        <f>IFERROR(IF(_xlfn.XLOOKUP($A47&amp;"|Ja",Part_Suppliers!$L$2:$L$300,Part_Suppliers!$E$2:$E$300,"",0)=0,"",_xlfn.XLOOKUP($A47&amp;"|Ja",Part_Suppliers!$L$2:$L$300,Part_Suppliers!$E$2:$E$300,"",0)),"")</f>
        <v>0.18</v>
      </c>
      <c r="I47" s="46">
        <f t="shared" si="7"/>
        <v>0.89999999999999991</v>
      </c>
      <c r="J47" t="str">
        <f>IF(AND(P47&gt;0,P47&lt;&gt;O47),"Manuelle Menge prüfen",IF(E47=0,"Nicht benötigt",IF(L47&lt;0,"Bestand klären",IF(O47=0,"Gedeckt",IF(OR(C47="",C47="Noch festlegen",D47=""),"Artikel offen",IF(H47="","Preis offen","Bestellvorschlag prüfen"))))))</f>
        <v>Gedeckt</v>
      </c>
      <c r="K47" s="26" t="str">
        <f>IFERROR(IF(_xlfn.XLOOKUP($A47&amp;"|Ja",Part_Suppliers!$L$2:$L$300,Part_Suppliers!$D$2:$D$300,"",0)=0,"",_xlfn.XLOOKUP($A47&amp;"|Ja",Part_Suppliers!$L$2:$L$300,Part_Suppliers!$D$2:$D$300,"",0)),"")</f>
        <v>https://www.reichelt.de/de/de/shop/produkt/smd-elko_10_f_-20_25_v_85_5_x_5_4_mm-228459</v>
      </c>
      <c r="L47" s="47">
        <f>IFERROR(VLOOKUP($A47,Stock!$A$5:$K$200,10,FALSE()),0)</f>
        <v>8</v>
      </c>
      <c r="M47" s="47">
        <f>IFERROR(VLOOKUP($A47,Stock!$A$5:$K$200,11,FALSE()),0)</f>
        <v>0</v>
      </c>
      <c r="N47" s="47">
        <f t="shared" si="9"/>
        <v>3</v>
      </c>
      <c r="O47" s="47">
        <f t="shared" si="10"/>
        <v>0</v>
      </c>
      <c r="P47" s="48">
        <v>0</v>
      </c>
      <c r="Q47" s="49">
        <f t="shared" si="11"/>
        <v>0</v>
      </c>
      <c r="R47" s="82">
        <f>SUMIFS(Part_Alternatives!$H$2:$H$200,Part_Alternatives!$A$2:$A$200,$A47,Part_Alternatives!$E$2:$E$200,"Ja")</f>
        <v>0</v>
      </c>
      <c r="S47" s="82">
        <f>SUMIFS(Part_Alternatives!$I$2:$I$200,Part_Alternatives!$A$2:$A$200,$A47,Part_Alternatives!$E$2:$E$200,"Ja")</f>
        <v>0</v>
      </c>
      <c r="T47" s="80" t="str">
        <f>IFERROR(VLOOKUP($A47,Part_Alternatives!$A$2:$K$200,10,FALSE()),"")</f>
        <v/>
      </c>
    </row>
    <row r="48" spans="1:20" ht="14" hidden="1" customHeight="1" x14ac:dyDescent="0.2">
      <c r="A48" s="26" t="s">
        <v>196</v>
      </c>
      <c r="B48" s="45" t="str">
        <f>IFERROR(VLOOKUP($A48,Parts!$A$2:$M$191,3,FALSE()),"")</f>
        <v>EnvNode Mini PCB Rev 0.3</v>
      </c>
      <c r="C48" s="26" t="str">
        <f>IFERROR(IF(_xlfn.XLOOKUP($A48&amp;"|Ja",Part_Suppliers!$L$2:$L$300,Part_Suppliers!$B$2:$B$300,"",0)=0,"",_xlfn.XLOOKUP($A48&amp;"|Ja",Part_Suppliers!$L$2:$L$300,Part_Suppliers!$B$2:$B$300,"",0)),"")</f>
        <v>JLCPCB</v>
      </c>
      <c r="D48" s="26" t="str">
        <f>IFERROR(IF(_xlfn.XLOOKUP($A48&amp;"|Ja",Part_Suppliers!$L$2:$L$300,Part_Suppliers!$C$2:$C$300,"",0)=0,"",_xlfn.XLOOKUP($A48&amp;"|Ja",Part_Suppliers!$L$2:$L$300,Part_Suppliers!$C$2:$C$300,"",0)),"")</f>
        <v>Y29-4808750A</v>
      </c>
      <c r="E48" s="27">
        <f>SUMIFS(Kit_BOM!$F$2:$F$300,Kit_BOM!$E$2:$E$300,$A48,Kit_BOM!$A$2:$A$300,$A$5,Kit_BOM!$G$2:$G$300,"Bestücken")*$C$5+SUMIFS(Kit_BOM!$F$2:$F$300,Kit_BOM!$E$2:$E$300,$A48,Kit_BOM!$A$2:$A$300,$A$5,Kit_BOM!$G$2:$G$300,"Mechanical")*$C$5+IF($F$5="Ja",SUMIFS(Kit_BOM!$F$2:$F$300,Kit_BOM!$E$2:$E$300,$A48,Kit_BOM!$A$2:$A$300,$A$5,Kit_BOM!$G$2:$G$300,"Optional")*$C$5,0)+IF($F$6="Ja",SUMIFS(Kit_BOM!$F$2:$F$300,Kit_BOM!$E$2:$E$300,$A48,Kit_BOM!$A$2:$A$300,$A$5,Kit_BOM!$G$2:$G$300,"DNP")*$C$5,0)+SUMIFS(Kit_BOM!$F$2:$F$300,Kit_BOM!$E$2:$E$300,$A48,Kit_BOM!$A$2:$A$300,$A$6,Kit_BOM!$G$2:$G$300,"Bestücken")*$C$6+SUMIFS(Kit_BOM!$F$2:$F$300,Kit_BOM!$E$2:$E$300,$A48,Kit_BOM!$A$2:$A$300,$A$6,Kit_BOM!$G$2:$G$300,"Mechanical")*$C$6+IF($F$5="Ja",SUMIFS(Kit_BOM!$F$2:$F$300,Kit_BOM!$E$2:$E$300,$A48,Kit_BOM!$A$2:$A$300,$A$6,Kit_BOM!$G$2:$G$300,"Optional")*$C$6,0)+IF($F$6="Ja",SUMIFS(Kit_BOM!$F$2:$F$300,Kit_BOM!$E$2:$E$300,$A48,Kit_BOM!$A$2:$A$300,$A$6,Kit_BOM!$G$2:$G$300,"DNP")*$C$6,0)+SUMIFS(Kit_BOM!$F$2:$F$300,Kit_BOM!$E$2:$E$300,$A48,Kit_BOM!$A$2:$A$300,$A$7,Kit_BOM!$G$2:$G$300,"Bestücken")*$C$7+SUMIFS(Kit_BOM!$F$2:$F$300,Kit_BOM!$E$2:$E$300,$A48,Kit_BOM!$A$2:$A$300,$A$7,Kit_BOM!$G$2:$G$300,"Mechanical")*$C$7+IF($F$5="Ja",SUMIFS(Kit_BOM!$F$2:$F$300,Kit_BOM!$E$2:$E$300,$A48,Kit_BOM!$A$2:$A$300,$A$7,Kit_BOM!$G$2:$G$300,"Optional")*$C$7,0)+IF($F$6="Ja",SUMIFS(Kit_BOM!$F$2:$F$300,Kit_BOM!$E$2:$E$300,$A48,Kit_BOM!$A$2:$A$300,$A$7,Kit_BOM!$G$2:$G$300,"DNP")*$C$7,0)+SUMIFS(Kit_BOM!$F$2:$F$300,Kit_BOM!$E$2:$E$300,$A48,Kit_BOM!$A$2:$A$300,$A$8,Kit_BOM!$G$2:$G$300,"Bestücken")*$C$8+SUMIFS(Kit_BOM!$F$2:$F$300,Kit_BOM!$E$2:$E$300,$A48,Kit_BOM!$A$2:$A$300,$A$8,Kit_BOM!$G$2:$G$300,"Mechanical")*$C$8+IF($F$5="Ja",SUMIFS(Kit_BOM!$F$2:$F$300,Kit_BOM!$E$2:$E$300,$A48,Kit_BOM!$A$2:$A$300,$A$8,Kit_BOM!$G$2:$G$300,"Optional")*$C$8,0)+IF($F$6="Ja",SUMIFS(Kit_BOM!$F$2:$F$300,Kit_BOM!$E$2:$E$300,$A48,Kit_BOM!$A$2:$A$300,$A$8,Kit_BOM!$G$2:$G$300,"DNP")*$C$8,0)+SUMIFS(Kit_BOM!$F$2:$F$300,Kit_BOM!$E$2:$E$300,$A48,Kit_BOM!$A$2:$A$300,$A$9,Kit_BOM!$G$2:$G$300,"Bestücken")*$C$9+SUMIFS(Kit_BOM!$F$2:$F$300,Kit_BOM!$E$2:$E$300,$A48,Kit_BOM!$A$2:$A$300,$A$9,Kit_BOM!$G$2:$G$300,"Mechanical")*$C$9+IF($F$5="Ja",SUMIFS(Kit_BOM!$F$2:$F$300,Kit_BOM!$E$2:$E$300,$A48,Kit_BOM!$A$2:$A$300,$A$9,Kit_BOM!$G$2:$G$300,"Optional")*$C$9,0)+IF($F$6="Ja",SUMIFS(Kit_BOM!$F$2:$F$300,Kit_BOM!$E$2:$E$300,$A48,Kit_BOM!$A$2:$A$300,$A$9,Kit_BOM!$G$2:$G$300,"DNP")*$C$9,0)+SUMIFS(Kit_BOM!$F$2:$F$300,Kit_BOM!$E$2:$E$300,$A48,Kit_BOM!$A$2:$A$300,$A$10,Kit_BOM!$G$2:$G$300,"Bestücken")*$C$10+SUMIFS(Kit_BOM!$F$2:$F$300,Kit_BOM!$E$2:$E$300,$A48,Kit_BOM!$A$2:$A$300,$A$10,Kit_BOM!$G$2:$G$300,"Mechanical")*$C$10+IF($F$5="Ja",SUMIFS(Kit_BOM!$F$2:$F$300,Kit_BOM!$E$2:$E$300,$A48,Kit_BOM!$A$2:$A$300,$A$10,Kit_BOM!$G$2:$G$300,"Optional")*$C$10,0)+IF($F$6="Ja",SUMIFS(Kit_BOM!$F$2:$F$300,Kit_BOM!$E$2:$E$300,$A48,Kit_BOM!$A$2:$A$300,$A$10,Kit_BOM!$G$2:$G$300,"DNP")*$C$10,0)+SUMIFS(Kit_BOM!$F$2:$F$300,Kit_BOM!$E$2:$E$300,$A48,Kit_BOM!$A$2:$A$300,$A$11,Kit_BOM!$G$2:$G$300,"Bestücken")*$C$11+SUMIFS(Kit_BOM!$F$2:$F$300,Kit_BOM!$E$2:$E$300,$A48,Kit_BOM!$A$2:$A$300,$A$11,Kit_BOM!$G$2:$G$300,"Mechanical")*$C$11+IF($F$5="Ja",SUMIFS(Kit_BOM!$F$2:$F$300,Kit_BOM!$E$2:$E$300,$A48,Kit_BOM!$A$2:$A$300,$A$11,Kit_BOM!$G$2:$G$300,"Optional")*$C$11,0)+IF($F$6="Ja",SUMIFS(Kit_BOM!$F$2:$F$300,Kit_BOM!$E$2:$E$300,$A48,Kit_BOM!$A$2:$A$300,$A$11,Kit_BOM!$G$2:$G$300,"DNP")*$C$11,0)+SUMIFS(Kit_BOM!$F$2:$F$300,Kit_BOM!$E$2:$E$300,$A48,Kit_BOM!$A$2:$A$300,$A$12,Kit_BOM!$G$2:$G$300,"Bestücken")*$C$12+SUMIFS(Kit_BOM!$F$2:$F$300,Kit_BOM!$E$2:$E$300,$A48,Kit_BOM!$A$2:$A$300,$A$12,Kit_BOM!$G$2:$G$300,"Mechanical")*$C$12+IF($F$5="Ja",SUMIFS(Kit_BOM!$F$2:$F$300,Kit_BOM!$E$2:$E$300,$A48,Kit_BOM!$A$2:$A$300,$A$12,Kit_BOM!$G$2:$G$300,"Optional")*$C$12,0)+IF($F$6="Ja",SUMIFS(Kit_BOM!$F$2:$F$300,Kit_BOM!$E$2:$E$300,$A48,Kit_BOM!$A$2:$A$300,$A$12,Kit_BOM!$G$2:$G$300,"DNP")*$C$12,0)+SUMIFS(Kit_BOM!$F$2:$F$300,Kit_BOM!$E$2:$E$300,$A48,Kit_BOM!$A$2:$A$300,$H$5,Kit_BOM!$G$2:$G$300,"Bestücken")*$J$5+SUMIFS(Kit_BOM!$F$2:$F$300,Kit_BOM!$E$2:$E$300,$A48,Kit_BOM!$A$2:$A$300,$H$5,Kit_BOM!$G$2:$G$300,"Mechanical")*$J$5+IF($F$5="Ja",SUMIFS(Kit_BOM!$F$2:$F$300,Kit_BOM!$E$2:$E$300,$A48,Kit_BOM!$A$2:$A$300,$H$5,Kit_BOM!$G$2:$G$300,"Optional")*$J$5,0)+IF($F$6="Ja",SUMIFS(Kit_BOM!$F$2:$F$300,Kit_BOM!$E$2:$E$300,$A48,Kit_BOM!$A$2:$A$300,$H$5,Kit_BOM!$G$2:$G$300,"DNP")*$J$5,0)+SUMIFS(Kit_BOM!$F$2:$F$300,Kit_BOM!$E$2:$E$300,$A48,Kit_BOM!$A$2:$A$300,$H$6,Kit_BOM!$G$2:$G$300,"Bestücken")*$J$6+SUMIFS(Kit_BOM!$F$2:$F$300,Kit_BOM!$E$2:$E$300,$A48,Kit_BOM!$A$2:$A$300,$H$6,Kit_BOM!$G$2:$G$300,"Mechanical")*$J$6+IF($F$5="Ja",SUMIFS(Kit_BOM!$F$2:$F$300,Kit_BOM!$E$2:$E$300,$A48,Kit_BOM!$A$2:$A$300,$H$6,Kit_BOM!$G$2:$G$300,"Optional")*$J$6,0)+IF($F$6="Ja",SUMIFS(Kit_BOM!$F$2:$F$300,Kit_BOM!$E$2:$E$300,$A48,Kit_BOM!$A$2:$A$300,$H$6,Kit_BOM!$G$2:$G$300,"DNP")*$J$6,0)</f>
        <v>0</v>
      </c>
      <c r="F48" s="27">
        <f>IFERROR(IF(_xlfn.XLOOKUP($A48&amp;"|Ja",Part_Suppliers!$L$2:$L$300,Part_Suppliers!$G$2:$G$300,"",0)=0,"",_xlfn.XLOOKUP($A48&amp;"|Ja",Part_Suppliers!$L$2:$L$300,Part_Suppliers!$G$2:$G$300,"",0)),"")</f>
        <v>5</v>
      </c>
      <c r="G48" s="27">
        <f t="shared" si="6"/>
        <v>0</v>
      </c>
      <c r="H48" s="46">
        <f>IFERROR(IF(_xlfn.XLOOKUP($A48&amp;"|Ja",Part_Suppliers!$L$2:$L$300,Part_Suppliers!$E$2:$E$300,"",0)=0,"",_xlfn.XLOOKUP($A48&amp;"|Ja",Part_Suppliers!$L$2:$L$300,Part_Suppliers!$E$2:$E$300,"",0)),"")</f>
        <v>1.5</v>
      </c>
      <c r="I48" s="46">
        <f t="shared" si="7"/>
        <v>0</v>
      </c>
      <c r="J48" t="str">
        <f>IF(AND(P48&gt;0,P48&lt;&gt;O48),"Manuelle Menge prüfen",IF(E48=0,"Nicht benötigt",IF(L48&lt;0,"Bestand klären",IF(O48=0,"Gedeckt","PCB-Auftrag prüfen"))))</f>
        <v>Nicht benötigt</v>
      </c>
      <c r="K48" s="26" t="str">
        <f>IFERROR(IF(_xlfn.XLOOKUP($A48&amp;"|Ja",Part_Suppliers!$L$2:$L$300,Part_Suppliers!$D$2:$D$300,"",0)=0,"",_xlfn.XLOOKUP($A48&amp;"|Ja",Part_Suppliers!$L$2:$L$300,Part_Suppliers!$D$2:$D$300,"",0)),"")</f>
        <v>https://jlcpcb.com/user-center/orderDetails/?batchNum=W2026090622241850&amp;type=myOrdersBatchSecendLevelRecord&amp;batchOrderStatus=inProduce&amp;batchBookingStatus=0&amp;orderType=1</v>
      </c>
      <c r="L48" s="47">
        <f>IFERROR(VLOOKUP($A48,Stock!$A$5:$K$200,10,FALSE()),0)</f>
        <v>5</v>
      </c>
      <c r="M48" s="47">
        <f>IFERROR(VLOOKUP($A48,Stock!$A$5:$K$200,11,FALSE()),0)</f>
        <v>0</v>
      </c>
      <c r="N48" s="47">
        <f t="shared" si="9"/>
        <v>5</v>
      </c>
      <c r="O48" s="47">
        <f t="shared" si="10"/>
        <v>0</v>
      </c>
      <c r="P48" s="48">
        <v>0</v>
      </c>
      <c r="Q48" s="49">
        <f t="shared" si="11"/>
        <v>0</v>
      </c>
      <c r="R48" s="82">
        <f>SUMIFS(Part_Alternatives!$H$2:$H$200,Part_Alternatives!$A$2:$A$200,$A48,Part_Alternatives!$E$2:$E$200,"Ja")</f>
        <v>0</v>
      </c>
      <c r="S48" s="82">
        <f>SUMIFS(Part_Alternatives!$I$2:$I$200,Part_Alternatives!$A$2:$A$200,$A48,Part_Alternatives!$E$2:$E$200,"Ja")</f>
        <v>0</v>
      </c>
      <c r="T48" s="80" t="str">
        <f>IFERROR(VLOOKUP($A48,Part_Alternatives!$A$2:$K$200,10,FALSE()),"")</f>
        <v/>
      </c>
    </row>
    <row r="49" spans="1:20" ht="26.25" hidden="1" customHeight="1" x14ac:dyDescent="0.2">
      <c r="A49" s="26" t="s">
        <v>150</v>
      </c>
      <c r="B49" s="45" t="str">
        <f>IFERROR(VLOOKUP($A49,Parts!$A$2:$M$191,3,FALSE()),"")</f>
        <v>Stiftleiste 2x7, 2,54 mm, vertikal, Bottom-Mount</v>
      </c>
      <c r="C49" s="26" t="str">
        <f>IFERROR(IF(_xlfn.XLOOKUP($A49&amp;"|Ja",Part_Suppliers!$L$2:$L$300,Part_Suppliers!$B$2:$B$300,"",0)=0,"",_xlfn.XLOOKUP($A49&amp;"|Ja",Part_Suppliers!$L$2:$L$300,Part_Suppliers!$B$2:$B$300,"",0)),"")</f>
        <v>Reichelt</v>
      </c>
      <c r="D49" s="26" t="str">
        <f>IFERROR(IF(_xlfn.XLOOKUP($A49&amp;"|Ja",Part_Suppliers!$L$2:$L$300,Part_Suppliers!$C$2:$C$300,"",0)=0,"",_xlfn.XLOOKUP($A49&amp;"|Ja",Part_Suppliers!$L$2:$L$300,Part_Suppliers!$C$2:$C$300,"",0)),"")</f>
        <v>ECON SL14G2</v>
      </c>
      <c r="E49" s="27">
        <f>SUMIFS(Kit_BOM!$F$2:$F$300,Kit_BOM!$E$2:$E$300,$A49,Kit_BOM!$A$2:$A$300,$A$5,Kit_BOM!$G$2:$G$300,"Bestücken")*$C$5+SUMIFS(Kit_BOM!$F$2:$F$300,Kit_BOM!$E$2:$E$300,$A49,Kit_BOM!$A$2:$A$300,$A$5,Kit_BOM!$G$2:$G$300,"Mechanical")*$C$5+IF($F$5="Ja",SUMIFS(Kit_BOM!$F$2:$F$300,Kit_BOM!$E$2:$E$300,$A49,Kit_BOM!$A$2:$A$300,$A$5,Kit_BOM!$G$2:$G$300,"Optional")*$C$5,0)+IF($F$6="Ja",SUMIFS(Kit_BOM!$F$2:$F$300,Kit_BOM!$E$2:$E$300,$A49,Kit_BOM!$A$2:$A$300,$A$5,Kit_BOM!$G$2:$G$300,"DNP")*$C$5,0)+SUMIFS(Kit_BOM!$F$2:$F$300,Kit_BOM!$E$2:$E$300,$A49,Kit_BOM!$A$2:$A$300,$A$6,Kit_BOM!$G$2:$G$300,"Bestücken")*$C$6+SUMIFS(Kit_BOM!$F$2:$F$300,Kit_BOM!$E$2:$E$300,$A49,Kit_BOM!$A$2:$A$300,$A$6,Kit_BOM!$G$2:$G$300,"Mechanical")*$C$6+IF($F$5="Ja",SUMIFS(Kit_BOM!$F$2:$F$300,Kit_BOM!$E$2:$E$300,$A49,Kit_BOM!$A$2:$A$300,$A$6,Kit_BOM!$G$2:$G$300,"Optional")*$C$6,0)+IF($F$6="Ja",SUMIFS(Kit_BOM!$F$2:$F$300,Kit_BOM!$E$2:$E$300,$A49,Kit_BOM!$A$2:$A$300,$A$6,Kit_BOM!$G$2:$G$300,"DNP")*$C$6,0)+SUMIFS(Kit_BOM!$F$2:$F$300,Kit_BOM!$E$2:$E$300,$A49,Kit_BOM!$A$2:$A$300,$A$7,Kit_BOM!$G$2:$G$300,"Bestücken")*$C$7+SUMIFS(Kit_BOM!$F$2:$F$300,Kit_BOM!$E$2:$E$300,$A49,Kit_BOM!$A$2:$A$300,$A$7,Kit_BOM!$G$2:$G$300,"Mechanical")*$C$7+IF($F$5="Ja",SUMIFS(Kit_BOM!$F$2:$F$300,Kit_BOM!$E$2:$E$300,$A49,Kit_BOM!$A$2:$A$300,$A$7,Kit_BOM!$G$2:$G$300,"Optional")*$C$7,0)+IF($F$6="Ja",SUMIFS(Kit_BOM!$F$2:$F$300,Kit_BOM!$E$2:$E$300,$A49,Kit_BOM!$A$2:$A$300,$A$7,Kit_BOM!$G$2:$G$300,"DNP")*$C$7,0)+SUMIFS(Kit_BOM!$F$2:$F$300,Kit_BOM!$E$2:$E$300,$A49,Kit_BOM!$A$2:$A$300,$A$8,Kit_BOM!$G$2:$G$300,"Bestücken")*$C$8+SUMIFS(Kit_BOM!$F$2:$F$300,Kit_BOM!$E$2:$E$300,$A49,Kit_BOM!$A$2:$A$300,$A$8,Kit_BOM!$G$2:$G$300,"Mechanical")*$C$8+IF($F$5="Ja",SUMIFS(Kit_BOM!$F$2:$F$300,Kit_BOM!$E$2:$E$300,$A49,Kit_BOM!$A$2:$A$300,$A$8,Kit_BOM!$G$2:$G$300,"Optional")*$C$8,0)+IF($F$6="Ja",SUMIFS(Kit_BOM!$F$2:$F$300,Kit_BOM!$E$2:$E$300,$A49,Kit_BOM!$A$2:$A$300,$A$8,Kit_BOM!$G$2:$G$300,"DNP")*$C$8,0)+SUMIFS(Kit_BOM!$F$2:$F$300,Kit_BOM!$E$2:$E$300,$A49,Kit_BOM!$A$2:$A$300,$A$9,Kit_BOM!$G$2:$G$300,"Bestücken")*$C$9+SUMIFS(Kit_BOM!$F$2:$F$300,Kit_BOM!$E$2:$E$300,$A49,Kit_BOM!$A$2:$A$300,$A$9,Kit_BOM!$G$2:$G$300,"Mechanical")*$C$9+IF($F$5="Ja",SUMIFS(Kit_BOM!$F$2:$F$300,Kit_BOM!$E$2:$E$300,$A49,Kit_BOM!$A$2:$A$300,$A$9,Kit_BOM!$G$2:$G$300,"Optional")*$C$9,0)+IF($F$6="Ja",SUMIFS(Kit_BOM!$F$2:$F$300,Kit_BOM!$E$2:$E$300,$A49,Kit_BOM!$A$2:$A$300,$A$9,Kit_BOM!$G$2:$G$300,"DNP")*$C$9,0)+SUMIFS(Kit_BOM!$F$2:$F$300,Kit_BOM!$E$2:$E$300,$A49,Kit_BOM!$A$2:$A$300,$A$10,Kit_BOM!$G$2:$G$300,"Bestücken")*$C$10+SUMIFS(Kit_BOM!$F$2:$F$300,Kit_BOM!$E$2:$E$300,$A49,Kit_BOM!$A$2:$A$300,$A$10,Kit_BOM!$G$2:$G$300,"Mechanical")*$C$10+IF($F$5="Ja",SUMIFS(Kit_BOM!$F$2:$F$300,Kit_BOM!$E$2:$E$300,$A49,Kit_BOM!$A$2:$A$300,$A$10,Kit_BOM!$G$2:$G$300,"Optional")*$C$10,0)+IF($F$6="Ja",SUMIFS(Kit_BOM!$F$2:$F$300,Kit_BOM!$E$2:$E$300,$A49,Kit_BOM!$A$2:$A$300,$A$10,Kit_BOM!$G$2:$G$300,"DNP")*$C$10,0)+SUMIFS(Kit_BOM!$F$2:$F$300,Kit_BOM!$E$2:$E$300,$A49,Kit_BOM!$A$2:$A$300,$A$11,Kit_BOM!$G$2:$G$300,"Bestücken")*$C$11+SUMIFS(Kit_BOM!$F$2:$F$300,Kit_BOM!$E$2:$E$300,$A49,Kit_BOM!$A$2:$A$300,$A$11,Kit_BOM!$G$2:$G$300,"Mechanical")*$C$11+IF($F$5="Ja",SUMIFS(Kit_BOM!$F$2:$F$300,Kit_BOM!$E$2:$E$300,$A49,Kit_BOM!$A$2:$A$300,$A$11,Kit_BOM!$G$2:$G$300,"Optional")*$C$11,0)+IF($F$6="Ja",SUMIFS(Kit_BOM!$F$2:$F$300,Kit_BOM!$E$2:$E$300,$A49,Kit_BOM!$A$2:$A$300,$A$11,Kit_BOM!$G$2:$G$300,"DNP")*$C$11,0)+SUMIFS(Kit_BOM!$F$2:$F$300,Kit_BOM!$E$2:$E$300,$A49,Kit_BOM!$A$2:$A$300,$A$12,Kit_BOM!$G$2:$G$300,"Bestücken")*$C$12+SUMIFS(Kit_BOM!$F$2:$F$300,Kit_BOM!$E$2:$E$300,$A49,Kit_BOM!$A$2:$A$300,$A$12,Kit_BOM!$G$2:$G$300,"Mechanical")*$C$12+IF($F$5="Ja",SUMIFS(Kit_BOM!$F$2:$F$300,Kit_BOM!$E$2:$E$300,$A49,Kit_BOM!$A$2:$A$300,$A$12,Kit_BOM!$G$2:$G$300,"Optional")*$C$12,0)+IF($F$6="Ja",SUMIFS(Kit_BOM!$F$2:$F$300,Kit_BOM!$E$2:$E$300,$A49,Kit_BOM!$A$2:$A$300,$A$12,Kit_BOM!$G$2:$G$300,"DNP")*$C$12,0)+SUMIFS(Kit_BOM!$F$2:$F$300,Kit_BOM!$E$2:$E$300,$A49,Kit_BOM!$A$2:$A$300,$H$5,Kit_BOM!$G$2:$G$300,"Bestücken")*$J$5+SUMIFS(Kit_BOM!$F$2:$F$300,Kit_BOM!$E$2:$E$300,$A49,Kit_BOM!$A$2:$A$300,$H$5,Kit_BOM!$G$2:$G$300,"Mechanical")*$J$5+IF($F$5="Ja",SUMIFS(Kit_BOM!$F$2:$F$300,Kit_BOM!$E$2:$E$300,$A49,Kit_BOM!$A$2:$A$300,$H$5,Kit_BOM!$G$2:$G$300,"Optional")*$J$5,0)+IF($F$6="Ja",SUMIFS(Kit_BOM!$F$2:$F$300,Kit_BOM!$E$2:$E$300,$A49,Kit_BOM!$A$2:$A$300,$H$5,Kit_BOM!$G$2:$G$300,"DNP")*$J$5,0)+SUMIFS(Kit_BOM!$F$2:$F$300,Kit_BOM!$E$2:$E$300,$A49,Kit_BOM!$A$2:$A$300,$H$6,Kit_BOM!$G$2:$G$300,"Bestücken")*$J$6+SUMIFS(Kit_BOM!$F$2:$F$300,Kit_BOM!$E$2:$E$300,$A49,Kit_BOM!$A$2:$A$300,$H$6,Kit_BOM!$G$2:$G$300,"Mechanical")*$J$6+IF($F$5="Ja",SUMIFS(Kit_BOM!$F$2:$F$300,Kit_BOM!$E$2:$E$300,$A49,Kit_BOM!$A$2:$A$300,$H$6,Kit_BOM!$G$2:$G$300,"Optional")*$J$6,0)+IF($F$6="Ja",SUMIFS(Kit_BOM!$F$2:$F$300,Kit_BOM!$E$2:$E$300,$A49,Kit_BOM!$A$2:$A$300,$H$6,Kit_BOM!$G$2:$G$300,"DNP")*$J$6,0)</f>
        <v>2</v>
      </c>
      <c r="F49" s="27" t="str">
        <f>IFERROR(IF(_xlfn.XLOOKUP($A49&amp;"|Ja",Part_Suppliers!$L$2:$L$300,Part_Suppliers!$G$2:$G$300,"",0)=0,"",_xlfn.XLOOKUP($A49&amp;"|Ja",Part_Suppliers!$L$2:$L$300,Part_Suppliers!$G$2:$G$300,"",0)),"")</f>
        <v/>
      </c>
      <c r="G49" s="27">
        <f t="shared" si="6"/>
        <v>2</v>
      </c>
      <c r="H49" s="46">
        <f>IFERROR(IF(_xlfn.XLOOKUP($A49&amp;"|Ja",Part_Suppliers!$L$2:$L$300,Part_Suppliers!$E$2:$E$300,"",0)=0,"",_xlfn.XLOOKUP($A49&amp;"|Ja",Part_Suppliers!$L$2:$L$300,Part_Suppliers!$E$2:$E$300,"",0)),"")</f>
        <v>0.3</v>
      </c>
      <c r="I49" s="46">
        <f t="shared" si="7"/>
        <v>0.6</v>
      </c>
      <c r="J49" t="str">
        <f>IF(AND(P49&gt;0,P49&lt;&gt;O49),"Manuelle Menge prüfen",IF(E49=0,"Nicht benötigt",IF(L49&lt;0,"Bestand klären",IF(O49=0,"Gedeckt",IF(OR(C49="",C49="Noch festlegen",D49=""),"Artikel offen",IF(H49="","Preis offen","Bestellvorschlag prüfen"))))))</f>
        <v>Gedeckt</v>
      </c>
      <c r="K49" s="26" t="str">
        <f>IFERROR(IF(_xlfn.XLOOKUP($A49&amp;"|Ja",Part_Suppliers!$L$2:$L$300,Part_Suppliers!$D$2:$D$300,"",0)=0,"",_xlfn.XLOOKUP($A49&amp;"|Ja",Part_Suppliers!$L$2:$L$300,Part_Suppliers!$D$2:$D$300,"",0)),"")</f>
        <v>https://www.reichelt.de/de/de/shop/produkt/stiftleiste_2_x_7_polig_gerade_rastermass_2_54_mm-404299</v>
      </c>
      <c r="L49" s="47">
        <f>IFERROR(VLOOKUP($A49,Stock!$A$5:$K$200,10,FALSE()),0)</f>
        <v>7</v>
      </c>
      <c r="M49" s="47">
        <f>IFERROR(VLOOKUP($A49,Stock!$A$5:$K$200,11,FALSE()),0)</f>
        <v>0</v>
      </c>
      <c r="N49" s="47">
        <f t="shared" si="9"/>
        <v>5</v>
      </c>
      <c r="O49" s="47">
        <f t="shared" si="10"/>
        <v>0</v>
      </c>
      <c r="P49" s="48">
        <v>0</v>
      </c>
      <c r="Q49" s="49">
        <f t="shared" si="11"/>
        <v>0</v>
      </c>
      <c r="R49" s="82">
        <f>SUMIFS(Part_Alternatives!$H$2:$H$200,Part_Alternatives!$A$2:$A$200,$A49,Part_Alternatives!$E$2:$E$200,"Ja")</f>
        <v>0</v>
      </c>
      <c r="S49" s="82">
        <f>SUMIFS(Part_Alternatives!$I$2:$I$200,Part_Alternatives!$A$2:$A$200,$A49,Part_Alternatives!$E$2:$E$200,"Ja")</f>
        <v>0</v>
      </c>
      <c r="T49" s="80" t="str">
        <f>IFERROR(VLOOKUP($A49,Part_Alternatives!$A$2:$K$200,10,FALSE()),"")</f>
        <v/>
      </c>
    </row>
    <row r="50" spans="1:20" ht="14" hidden="1" customHeight="1" x14ac:dyDescent="0.2">
      <c r="A50" s="26" t="s">
        <v>155</v>
      </c>
      <c r="B50" s="45" t="str">
        <f>IFERROR(VLOOKUP($A50,Parts!$A$2:$M$191,3,FALSE()),"")</f>
        <v>LED SMD 1206, rot</v>
      </c>
      <c r="C50" s="26" t="str">
        <f>IFERROR(IF(_xlfn.XLOOKUP($A50&amp;"|Ja",Part_Suppliers!$L$2:$L$300,Part_Suppliers!$B$2:$B$300,"",0)=0,"",_xlfn.XLOOKUP($A50&amp;"|Ja",Part_Suppliers!$L$2:$L$300,Part_Suppliers!$B$2:$B$300,"",0)),"")</f>
        <v>Reichelt</v>
      </c>
      <c r="D50" s="26" t="str">
        <f>IFERROR(IF(_xlfn.XLOOKUP($A50&amp;"|Ja",Part_Suppliers!$L$2:$L$300,Part_Suppliers!$C$2:$C$300,"",0)=0,"",_xlfn.XLOOKUP($A50&amp;"|Ja",Part_Suppliers!$L$2:$L$300,Part_Suppliers!$C$2:$C$300,"",0)),"")</f>
        <v>KBT KP-3216SURC</v>
      </c>
      <c r="E50" s="27">
        <f>SUMIFS(Kit_BOM!$F$2:$F$300,Kit_BOM!$E$2:$E$300,$A50,Kit_BOM!$A$2:$A$300,$A$5,Kit_BOM!$G$2:$G$300,"Bestücken")*$C$5+SUMIFS(Kit_BOM!$F$2:$F$300,Kit_BOM!$E$2:$E$300,$A50,Kit_BOM!$A$2:$A$300,$A$5,Kit_BOM!$G$2:$G$300,"Mechanical")*$C$5+IF($F$5="Ja",SUMIFS(Kit_BOM!$F$2:$F$300,Kit_BOM!$E$2:$E$300,$A50,Kit_BOM!$A$2:$A$300,$A$5,Kit_BOM!$G$2:$G$300,"Optional")*$C$5,0)+IF($F$6="Ja",SUMIFS(Kit_BOM!$F$2:$F$300,Kit_BOM!$E$2:$E$300,$A50,Kit_BOM!$A$2:$A$300,$A$5,Kit_BOM!$G$2:$G$300,"DNP")*$C$5,0)+SUMIFS(Kit_BOM!$F$2:$F$300,Kit_BOM!$E$2:$E$300,$A50,Kit_BOM!$A$2:$A$300,$A$6,Kit_BOM!$G$2:$G$300,"Bestücken")*$C$6+SUMIFS(Kit_BOM!$F$2:$F$300,Kit_BOM!$E$2:$E$300,$A50,Kit_BOM!$A$2:$A$300,$A$6,Kit_BOM!$G$2:$G$300,"Mechanical")*$C$6+IF($F$5="Ja",SUMIFS(Kit_BOM!$F$2:$F$300,Kit_BOM!$E$2:$E$300,$A50,Kit_BOM!$A$2:$A$300,$A$6,Kit_BOM!$G$2:$G$300,"Optional")*$C$6,0)+IF($F$6="Ja",SUMIFS(Kit_BOM!$F$2:$F$300,Kit_BOM!$E$2:$E$300,$A50,Kit_BOM!$A$2:$A$300,$A$6,Kit_BOM!$G$2:$G$300,"DNP")*$C$6,0)+SUMIFS(Kit_BOM!$F$2:$F$300,Kit_BOM!$E$2:$E$300,$A50,Kit_BOM!$A$2:$A$300,$A$7,Kit_BOM!$G$2:$G$300,"Bestücken")*$C$7+SUMIFS(Kit_BOM!$F$2:$F$300,Kit_BOM!$E$2:$E$300,$A50,Kit_BOM!$A$2:$A$300,$A$7,Kit_BOM!$G$2:$G$300,"Mechanical")*$C$7+IF($F$5="Ja",SUMIFS(Kit_BOM!$F$2:$F$300,Kit_BOM!$E$2:$E$300,$A50,Kit_BOM!$A$2:$A$300,$A$7,Kit_BOM!$G$2:$G$300,"Optional")*$C$7,0)+IF($F$6="Ja",SUMIFS(Kit_BOM!$F$2:$F$300,Kit_BOM!$E$2:$E$300,$A50,Kit_BOM!$A$2:$A$300,$A$7,Kit_BOM!$G$2:$G$300,"DNP")*$C$7,0)+SUMIFS(Kit_BOM!$F$2:$F$300,Kit_BOM!$E$2:$E$300,$A50,Kit_BOM!$A$2:$A$300,$A$8,Kit_BOM!$G$2:$G$300,"Bestücken")*$C$8+SUMIFS(Kit_BOM!$F$2:$F$300,Kit_BOM!$E$2:$E$300,$A50,Kit_BOM!$A$2:$A$300,$A$8,Kit_BOM!$G$2:$G$300,"Mechanical")*$C$8+IF($F$5="Ja",SUMIFS(Kit_BOM!$F$2:$F$300,Kit_BOM!$E$2:$E$300,$A50,Kit_BOM!$A$2:$A$300,$A$8,Kit_BOM!$G$2:$G$300,"Optional")*$C$8,0)+IF($F$6="Ja",SUMIFS(Kit_BOM!$F$2:$F$300,Kit_BOM!$E$2:$E$300,$A50,Kit_BOM!$A$2:$A$300,$A$8,Kit_BOM!$G$2:$G$300,"DNP")*$C$8,0)+SUMIFS(Kit_BOM!$F$2:$F$300,Kit_BOM!$E$2:$E$300,$A50,Kit_BOM!$A$2:$A$300,$A$9,Kit_BOM!$G$2:$G$300,"Bestücken")*$C$9+SUMIFS(Kit_BOM!$F$2:$F$300,Kit_BOM!$E$2:$E$300,$A50,Kit_BOM!$A$2:$A$300,$A$9,Kit_BOM!$G$2:$G$300,"Mechanical")*$C$9+IF($F$5="Ja",SUMIFS(Kit_BOM!$F$2:$F$300,Kit_BOM!$E$2:$E$300,$A50,Kit_BOM!$A$2:$A$300,$A$9,Kit_BOM!$G$2:$G$300,"Optional")*$C$9,0)+IF($F$6="Ja",SUMIFS(Kit_BOM!$F$2:$F$300,Kit_BOM!$E$2:$E$300,$A50,Kit_BOM!$A$2:$A$300,$A$9,Kit_BOM!$G$2:$G$300,"DNP")*$C$9,0)+SUMIFS(Kit_BOM!$F$2:$F$300,Kit_BOM!$E$2:$E$300,$A50,Kit_BOM!$A$2:$A$300,$A$10,Kit_BOM!$G$2:$G$300,"Bestücken")*$C$10+SUMIFS(Kit_BOM!$F$2:$F$300,Kit_BOM!$E$2:$E$300,$A50,Kit_BOM!$A$2:$A$300,$A$10,Kit_BOM!$G$2:$G$300,"Mechanical")*$C$10+IF($F$5="Ja",SUMIFS(Kit_BOM!$F$2:$F$300,Kit_BOM!$E$2:$E$300,$A50,Kit_BOM!$A$2:$A$300,$A$10,Kit_BOM!$G$2:$G$300,"Optional")*$C$10,0)+IF($F$6="Ja",SUMIFS(Kit_BOM!$F$2:$F$300,Kit_BOM!$E$2:$E$300,$A50,Kit_BOM!$A$2:$A$300,$A$10,Kit_BOM!$G$2:$G$300,"DNP")*$C$10,0)+SUMIFS(Kit_BOM!$F$2:$F$300,Kit_BOM!$E$2:$E$300,$A50,Kit_BOM!$A$2:$A$300,$A$11,Kit_BOM!$G$2:$G$300,"Bestücken")*$C$11+SUMIFS(Kit_BOM!$F$2:$F$300,Kit_BOM!$E$2:$E$300,$A50,Kit_BOM!$A$2:$A$300,$A$11,Kit_BOM!$G$2:$G$300,"Mechanical")*$C$11+IF($F$5="Ja",SUMIFS(Kit_BOM!$F$2:$F$300,Kit_BOM!$E$2:$E$300,$A50,Kit_BOM!$A$2:$A$300,$A$11,Kit_BOM!$G$2:$G$300,"Optional")*$C$11,0)+IF($F$6="Ja",SUMIFS(Kit_BOM!$F$2:$F$300,Kit_BOM!$E$2:$E$300,$A50,Kit_BOM!$A$2:$A$300,$A$11,Kit_BOM!$G$2:$G$300,"DNP")*$C$11,0)+SUMIFS(Kit_BOM!$F$2:$F$300,Kit_BOM!$E$2:$E$300,$A50,Kit_BOM!$A$2:$A$300,$A$12,Kit_BOM!$G$2:$G$300,"Bestücken")*$C$12+SUMIFS(Kit_BOM!$F$2:$F$300,Kit_BOM!$E$2:$E$300,$A50,Kit_BOM!$A$2:$A$300,$A$12,Kit_BOM!$G$2:$G$300,"Mechanical")*$C$12+IF($F$5="Ja",SUMIFS(Kit_BOM!$F$2:$F$300,Kit_BOM!$E$2:$E$300,$A50,Kit_BOM!$A$2:$A$300,$A$12,Kit_BOM!$G$2:$G$300,"Optional")*$C$12,0)+IF($F$6="Ja",SUMIFS(Kit_BOM!$F$2:$F$300,Kit_BOM!$E$2:$E$300,$A50,Kit_BOM!$A$2:$A$300,$A$12,Kit_BOM!$G$2:$G$300,"DNP")*$C$12,0)+SUMIFS(Kit_BOM!$F$2:$F$300,Kit_BOM!$E$2:$E$300,$A50,Kit_BOM!$A$2:$A$300,$H$5,Kit_BOM!$G$2:$G$300,"Bestücken")*$J$5+SUMIFS(Kit_BOM!$F$2:$F$300,Kit_BOM!$E$2:$E$300,$A50,Kit_BOM!$A$2:$A$300,$H$5,Kit_BOM!$G$2:$G$300,"Mechanical")*$J$5+IF($F$5="Ja",SUMIFS(Kit_BOM!$F$2:$F$300,Kit_BOM!$E$2:$E$300,$A50,Kit_BOM!$A$2:$A$300,$H$5,Kit_BOM!$G$2:$G$300,"Optional")*$J$5,0)+IF($F$6="Ja",SUMIFS(Kit_BOM!$F$2:$F$300,Kit_BOM!$E$2:$E$300,$A50,Kit_BOM!$A$2:$A$300,$H$5,Kit_BOM!$G$2:$G$300,"DNP")*$J$5,0)+SUMIFS(Kit_BOM!$F$2:$F$300,Kit_BOM!$E$2:$E$300,$A50,Kit_BOM!$A$2:$A$300,$H$6,Kit_BOM!$G$2:$G$300,"Bestücken")*$J$6+SUMIFS(Kit_BOM!$F$2:$F$300,Kit_BOM!$E$2:$E$300,$A50,Kit_BOM!$A$2:$A$300,$H$6,Kit_BOM!$G$2:$G$300,"Mechanical")*$J$6+IF($F$5="Ja",SUMIFS(Kit_BOM!$F$2:$F$300,Kit_BOM!$E$2:$E$300,$A50,Kit_BOM!$A$2:$A$300,$H$6,Kit_BOM!$G$2:$G$300,"Optional")*$J$6,0)+IF($F$6="Ja",SUMIFS(Kit_BOM!$F$2:$F$300,Kit_BOM!$E$2:$E$300,$A50,Kit_BOM!$A$2:$A$300,$H$6,Kit_BOM!$G$2:$G$300,"DNP")*$J$6,0)</f>
        <v>0</v>
      </c>
      <c r="F50" s="27" t="str">
        <f>IFERROR(IF(_xlfn.XLOOKUP($A50&amp;"|Ja",Part_Suppliers!$L$2:$L$300,Part_Suppliers!$G$2:$G$300,"",0)=0,"",_xlfn.XLOOKUP($A50&amp;"|Ja",Part_Suppliers!$L$2:$L$300,Part_Suppliers!$G$2:$G$300,"",0)),"")</f>
        <v/>
      </c>
      <c r="G50" s="27">
        <f t="shared" si="6"/>
        <v>0</v>
      </c>
      <c r="H50" s="46">
        <f>IFERROR(IF(_xlfn.XLOOKUP($A50&amp;"|Ja",Part_Suppliers!$L$2:$L$300,Part_Suppliers!$E$2:$E$300,"",0)=0,"",_xlfn.XLOOKUP($A50&amp;"|Ja",Part_Suppliers!$L$2:$L$300,Part_Suppliers!$E$2:$E$300,"",0)),"")</f>
        <v>0.11</v>
      </c>
      <c r="I50" s="46">
        <f t="shared" si="7"/>
        <v>0</v>
      </c>
      <c r="J50" t="str">
        <f>IF(AND(P50&gt;0,P50&lt;&gt;O50),"Manuelle Menge prüfen",IF(E50=0,"Nicht benötigt",IF(L50&lt;0,"Bestand klären",IF(O50=0,"Gedeckt",IF(OR(C50="",C50="Noch festlegen",D50=""),"Artikel offen",IF(H50="","Preis offen","Bestellvorschlag prüfen"))))))</f>
        <v>Nicht benötigt</v>
      </c>
      <c r="K50" s="26" t="str">
        <f>IFERROR(IF(_xlfn.XLOOKUP($A50&amp;"|Ja",Part_Suppliers!$L$2:$L$300,Part_Suppliers!$D$2:$D$300,"",0)=0,"",_xlfn.XLOOKUP($A50&amp;"|Ja",Part_Suppliers!$L$2:$L$300,Part_Suppliers!$D$2:$D$300,"",0)),"")</f>
        <v>https://www.reichelt.de/de/de/shop/produkt/smd-led_1206_hyper-rot_250_mcd_645_nm_140_-231713</v>
      </c>
      <c r="L50" s="47">
        <f>IFERROR(VLOOKUP($A50,Stock!$A$5:$K$200,10,FALSE()),0)</f>
        <v>18</v>
      </c>
      <c r="M50" s="47">
        <f>IFERROR(VLOOKUP($A50,Stock!$A$5:$K$200,11,FALSE()),0)</f>
        <v>0</v>
      </c>
      <c r="N50" s="47">
        <f t="shared" si="9"/>
        <v>18</v>
      </c>
      <c r="O50" s="47">
        <f t="shared" si="10"/>
        <v>0</v>
      </c>
      <c r="P50" s="48">
        <v>0</v>
      </c>
      <c r="Q50" s="49">
        <f t="shared" si="11"/>
        <v>0</v>
      </c>
      <c r="R50" s="82">
        <f>SUMIFS(Part_Alternatives!$H$2:$H$200,Part_Alternatives!$A$2:$A$200,$A50,Part_Alternatives!$E$2:$E$200,"Ja")</f>
        <v>0</v>
      </c>
      <c r="S50" s="82">
        <f>SUMIFS(Part_Alternatives!$I$2:$I$200,Part_Alternatives!$A$2:$A$200,$A50,Part_Alternatives!$E$2:$E$200,"Ja")</f>
        <v>0</v>
      </c>
      <c r="T50" s="80" t="str">
        <f>IFERROR(VLOOKUP($A50,Part_Alternatives!$A$2:$K$200,10,FALSE()),"")</f>
        <v/>
      </c>
    </row>
    <row r="51" spans="1:20" ht="14" hidden="1" customHeight="1" x14ac:dyDescent="0.2">
      <c r="A51" s="26" t="s">
        <v>156</v>
      </c>
      <c r="B51" s="45" t="str">
        <f>IFERROR(VLOOKUP($A51,Parts!$A$2:$M$191,3,FALSE()),"")</f>
        <v>Widerstand 1,5 kΩ SMD</v>
      </c>
      <c r="C51" s="26" t="str">
        <f>IFERROR(IF(_xlfn.XLOOKUP($A51&amp;"|Ja",Part_Suppliers!$L$2:$L$300,Part_Suppliers!$B$2:$B$300,"",0)=0,"",_xlfn.XLOOKUP($A51&amp;"|Ja",Part_Suppliers!$L$2:$L$300,Part_Suppliers!$B$2:$B$300,"",0)),"")</f>
        <v>Reichelt</v>
      </c>
      <c r="D51" s="26" t="str">
        <f>IFERROR(IF(_xlfn.XLOOKUP($A51&amp;"|Ja",Part_Suppliers!$L$2:$L$300,Part_Suppliers!$C$2:$C$300,"",0)=0,"",_xlfn.XLOOKUP($A51&amp;"|Ja",Part_Suppliers!$L$2:$L$300,Part_Suppliers!$C$2:$C$300,"",0)),"")</f>
        <v>VIS CRCW12061K5</v>
      </c>
      <c r="E51" s="27">
        <f>SUMIFS(Kit_BOM!$F$2:$F$300,Kit_BOM!$E$2:$E$300,$A51,Kit_BOM!$A$2:$A$300,$A$5,Kit_BOM!$G$2:$G$300,"Bestücken")*$C$5+SUMIFS(Kit_BOM!$F$2:$F$300,Kit_BOM!$E$2:$E$300,$A51,Kit_BOM!$A$2:$A$300,$A$5,Kit_BOM!$G$2:$G$300,"Mechanical")*$C$5+IF($F$5="Ja",SUMIFS(Kit_BOM!$F$2:$F$300,Kit_BOM!$E$2:$E$300,$A51,Kit_BOM!$A$2:$A$300,$A$5,Kit_BOM!$G$2:$G$300,"Optional")*$C$5,0)+IF($F$6="Ja",SUMIFS(Kit_BOM!$F$2:$F$300,Kit_BOM!$E$2:$E$300,$A51,Kit_BOM!$A$2:$A$300,$A$5,Kit_BOM!$G$2:$G$300,"DNP")*$C$5,0)+SUMIFS(Kit_BOM!$F$2:$F$300,Kit_BOM!$E$2:$E$300,$A51,Kit_BOM!$A$2:$A$300,$A$6,Kit_BOM!$G$2:$G$300,"Bestücken")*$C$6+SUMIFS(Kit_BOM!$F$2:$F$300,Kit_BOM!$E$2:$E$300,$A51,Kit_BOM!$A$2:$A$300,$A$6,Kit_BOM!$G$2:$G$300,"Mechanical")*$C$6+IF($F$5="Ja",SUMIFS(Kit_BOM!$F$2:$F$300,Kit_BOM!$E$2:$E$300,$A51,Kit_BOM!$A$2:$A$300,$A$6,Kit_BOM!$G$2:$G$300,"Optional")*$C$6,0)+IF($F$6="Ja",SUMIFS(Kit_BOM!$F$2:$F$300,Kit_BOM!$E$2:$E$300,$A51,Kit_BOM!$A$2:$A$300,$A$6,Kit_BOM!$G$2:$G$300,"DNP")*$C$6,0)+SUMIFS(Kit_BOM!$F$2:$F$300,Kit_BOM!$E$2:$E$300,$A51,Kit_BOM!$A$2:$A$300,$A$7,Kit_BOM!$G$2:$G$300,"Bestücken")*$C$7+SUMIFS(Kit_BOM!$F$2:$F$300,Kit_BOM!$E$2:$E$300,$A51,Kit_BOM!$A$2:$A$300,$A$7,Kit_BOM!$G$2:$G$300,"Mechanical")*$C$7+IF($F$5="Ja",SUMIFS(Kit_BOM!$F$2:$F$300,Kit_BOM!$E$2:$E$300,$A51,Kit_BOM!$A$2:$A$300,$A$7,Kit_BOM!$G$2:$G$300,"Optional")*$C$7,0)+IF($F$6="Ja",SUMIFS(Kit_BOM!$F$2:$F$300,Kit_BOM!$E$2:$E$300,$A51,Kit_BOM!$A$2:$A$300,$A$7,Kit_BOM!$G$2:$G$300,"DNP")*$C$7,0)+SUMIFS(Kit_BOM!$F$2:$F$300,Kit_BOM!$E$2:$E$300,$A51,Kit_BOM!$A$2:$A$300,$A$8,Kit_BOM!$G$2:$G$300,"Bestücken")*$C$8+SUMIFS(Kit_BOM!$F$2:$F$300,Kit_BOM!$E$2:$E$300,$A51,Kit_BOM!$A$2:$A$300,$A$8,Kit_BOM!$G$2:$G$300,"Mechanical")*$C$8+IF($F$5="Ja",SUMIFS(Kit_BOM!$F$2:$F$300,Kit_BOM!$E$2:$E$300,$A51,Kit_BOM!$A$2:$A$300,$A$8,Kit_BOM!$G$2:$G$300,"Optional")*$C$8,0)+IF($F$6="Ja",SUMIFS(Kit_BOM!$F$2:$F$300,Kit_BOM!$E$2:$E$300,$A51,Kit_BOM!$A$2:$A$300,$A$8,Kit_BOM!$G$2:$G$300,"DNP")*$C$8,0)+SUMIFS(Kit_BOM!$F$2:$F$300,Kit_BOM!$E$2:$E$300,$A51,Kit_BOM!$A$2:$A$300,$A$9,Kit_BOM!$G$2:$G$300,"Bestücken")*$C$9+SUMIFS(Kit_BOM!$F$2:$F$300,Kit_BOM!$E$2:$E$300,$A51,Kit_BOM!$A$2:$A$300,$A$9,Kit_BOM!$G$2:$G$300,"Mechanical")*$C$9+IF($F$5="Ja",SUMIFS(Kit_BOM!$F$2:$F$300,Kit_BOM!$E$2:$E$300,$A51,Kit_BOM!$A$2:$A$300,$A$9,Kit_BOM!$G$2:$G$300,"Optional")*$C$9,0)+IF($F$6="Ja",SUMIFS(Kit_BOM!$F$2:$F$300,Kit_BOM!$E$2:$E$300,$A51,Kit_BOM!$A$2:$A$300,$A$9,Kit_BOM!$G$2:$G$300,"DNP")*$C$9,0)+SUMIFS(Kit_BOM!$F$2:$F$300,Kit_BOM!$E$2:$E$300,$A51,Kit_BOM!$A$2:$A$300,$A$10,Kit_BOM!$G$2:$G$300,"Bestücken")*$C$10+SUMIFS(Kit_BOM!$F$2:$F$300,Kit_BOM!$E$2:$E$300,$A51,Kit_BOM!$A$2:$A$300,$A$10,Kit_BOM!$G$2:$G$300,"Mechanical")*$C$10+IF($F$5="Ja",SUMIFS(Kit_BOM!$F$2:$F$300,Kit_BOM!$E$2:$E$300,$A51,Kit_BOM!$A$2:$A$300,$A$10,Kit_BOM!$G$2:$G$300,"Optional")*$C$10,0)+IF($F$6="Ja",SUMIFS(Kit_BOM!$F$2:$F$300,Kit_BOM!$E$2:$E$300,$A51,Kit_BOM!$A$2:$A$300,$A$10,Kit_BOM!$G$2:$G$300,"DNP")*$C$10,0)+SUMIFS(Kit_BOM!$F$2:$F$300,Kit_BOM!$E$2:$E$300,$A51,Kit_BOM!$A$2:$A$300,$A$11,Kit_BOM!$G$2:$G$300,"Bestücken")*$C$11+SUMIFS(Kit_BOM!$F$2:$F$300,Kit_BOM!$E$2:$E$300,$A51,Kit_BOM!$A$2:$A$300,$A$11,Kit_BOM!$G$2:$G$300,"Mechanical")*$C$11+IF($F$5="Ja",SUMIFS(Kit_BOM!$F$2:$F$300,Kit_BOM!$E$2:$E$300,$A51,Kit_BOM!$A$2:$A$300,$A$11,Kit_BOM!$G$2:$G$300,"Optional")*$C$11,0)+IF($F$6="Ja",SUMIFS(Kit_BOM!$F$2:$F$300,Kit_BOM!$E$2:$E$300,$A51,Kit_BOM!$A$2:$A$300,$A$11,Kit_BOM!$G$2:$G$300,"DNP")*$C$11,0)+SUMIFS(Kit_BOM!$F$2:$F$300,Kit_BOM!$E$2:$E$300,$A51,Kit_BOM!$A$2:$A$300,$A$12,Kit_BOM!$G$2:$G$300,"Bestücken")*$C$12+SUMIFS(Kit_BOM!$F$2:$F$300,Kit_BOM!$E$2:$E$300,$A51,Kit_BOM!$A$2:$A$300,$A$12,Kit_BOM!$G$2:$G$300,"Mechanical")*$C$12+IF($F$5="Ja",SUMIFS(Kit_BOM!$F$2:$F$300,Kit_BOM!$E$2:$E$300,$A51,Kit_BOM!$A$2:$A$300,$A$12,Kit_BOM!$G$2:$G$300,"Optional")*$C$12,0)+IF($F$6="Ja",SUMIFS(Kit_BOM!$F$2:$F$300,Kit_BOM!$E$2:$E$300,$A51,Kit_BOM!$A$2:$A$300,$A$12,Kit_BOM!$G$2:$G$300,"DNP")*$C$12,0)+SUMIFS(Kit_BOM!$F$2:$F$300,Kit_BOM!$E$2:$E$300,$A51,Kit_BOM!$A$2:$A$300,$H$5,Kit_BOM!$G$2:$G$300,"Bestücken")*$J$5+SUMIFS(Kit_BOM!$F$2:$F$300,Kit_BOM!$E$2:$E$300,$A51,Kit_BOM!$A$2:$A$300,$H$5,Kit_BOM!$G$2:$G$300,"Mechanical")*$J$5+IF($F$5="Ja",SUMIFS(Kit_BOM!$F$2:$F$300,Kit_BOM!$E$2:$E$300,$A51,Kit_BOM!$A$2:$A$300,$H$5,Kit_BOM!$G$2:$G$300,"Optional")*$J$5,0)+IF($F$6="Ja",SUMIFS(Kit_BOM!$F$2:$F$300,Kit_BOM!$E$2:$E$300,$A51,Kit_BOM!$A$2:$A$300,$H$5,Kit_BOM!$G$2:$G$300,"DNP")*$J$5,0)+SUMIFS(Kit_BOM!$F$2:$F$300,Kit_BOM!$E$2:$E$300,$A51,Kit_BOM!$A$2:$A$300,$H$6,Kit_BOM!$G$2:$G$300,"Bestücken")*$J$6+SUMIFS(Kit_BOM!$F$2:$F$300,Kit_BOM!$E$2:$E$300,$A51,Kit_BOM!$A$2:$A$300,$H$6,Kit_BOM!$G$2:$G$300,"Mechanical")*$J$6+IF($F$5="Ja",SUMIFS(Kit_BOM!$F$2:$F$300,Kit_BOM!$E$2:$E$300,$A51,Kit_BOM!$A$2:$A$300,$H$6,Kit_BOM!$G$2:$G$300,"Optional")*$J$6,0)+IF($F$6="Ja",SUMIFS(Kit_BOM!$F$2:$F$300,Kit_BOM!$E$2:$E$300,$A51,Kit_BOM!$A$2:$A$300,$H$6,Kit_BOM!$G$2:$G$300,"DNP")*$J$6,0)</f>
        <v>0</v>
      </c>
      <c r="F51" s="27" t="str">
        <f>IFERROR(IF(_xlfn.XLOOKUP($A51&amp;"|Ja",Part_Suppliers!$L$2:$L$300,Part_Suppliers!$G$2:$G$300,"",0)=0,"",_xlfn.XLOOKUP($A51&amp;"|Ja",Part_Suppliers!$L$2:$L$300,Part_Suppliers!$G$2:$G$300,"",0)),"")</f>
        <v/>
      </c>
      <c r="G51" s="27">
        <f t="shared" si="6"/>
        <v>0</v>
      </c>
      <c r="H51" s="46">
        <f>IFERROR(IF(_xlfn.XLOOKUP($A51&amp;"|Ja",Part_Suppliers!$L$2:$L$300,Part_Suppliers!$E$2:$E$300,"",0)=0,"",_xlfn.XLOOKUP($A51&amp;"|Ja",Part_Suppliers!$L$2:$L$300,Part_Suppliers!$E$2:$E$300,"",0)),"")</f>
        <v>0.14000000000000001</v>
      </c>
      <c r="I51" s="46">
        <f t="shared" si="7"/>
        <v>0</v>
      </c>
      <c r="J51" t="str">
        <f>IF(AND(P51&gt;0,P51&lt;&gt;O51),"Manuelle Menge prüfen",IF(E51=0,"Nicht benötigt",IF(L51&lt;0,"Bestand klären",IF(O51=0,"Gedeckt",IF(OR(C51="",C51="Noch festlegen",D51=""),"Artikel offen",IF(H51="","Preis offen","Bestellvorschlag prüfen"))))))</f>
        <v>Nicht benötigt</v>
      </c>
      <c r="K51" s="26" t="str">
        <f>IFERROR(IF(_xlfn.XLOOKUP($A51&amp;"|Ja",Part_Suppliers!$L$2:$L$300,Part_Suppliers!$D$2:$D$300,"",0)=0,"",_xlfn.XLOOKUP($A51&amp;"|Ja",Part_Suppliers!$L$2:$L$300,Part_Suppliers!$D$2:$D$300,"",0)),"")</f>
        <v>https://www.reichelt.de/de/de/shop/produkt/smd-widerstand_1206_1_5_kohm_250_mw_1_-238108</v>
      </c>
      <c r="L51" s="47">
        <f>IFERROR(VLOOKUP($A51,Stock!$A$5:$K$200,10,FALSE()),0)</f>
        <v>18</v>
      </c>
      <c r="M51" s="47">
        <f>IFERROR(VLOOKUP($A51,Stock!$A$5:$K$200,11,FALSE()),0)</f>
        <v>0</v>
      </c>
      <c r="N51" s="47">
        <f t="shared" si="9"/>
        <v>18</v>
      </c>
      <c r="O51" s="47">
        <f t="shared" si="10"/>
        <v>0</v>
      </c>
      <c r="P51" s="48">
        <v>0</v>
      </c>
      <c r="Q51" s="49">
        <f t="shared" si="11"/>
        <v>0</v>
      </c>
      <c r="R51" s="82">
        <f>SUMIFS(Part_Alternatives!$H$2:$H$200,Part_Alternatives!$A$2:$A$200,$A51,Part_Alternatives!$E$2:$E$200,"Ja")</f>
        <v>0</v>
      </c>
      <c r="S51" s="82">
        <f>SUMIFS(Part_Alternatives!$I$2:$I$200,Part_Alternatives!$A$2:$A$200,$A51,Part_Alternatives!$E$2:$E$200,"Ja")</f>
        <v>0</v>
      </c>
      <c r="T51" s="80" t="str">
        <f>IFERROR(VLOOKUP($A51,Part_Alternatives!$A$2:$K$200,10,FALSE()),"")</f>
        <v/>
      </c>
    </row>
    <row r="52" spans="1:20" ht="14" hidden="1" customHeight="1" x14ac:dyDescent="0.2">
      <c r="A52" s="26" t="s">
        <v>197</v>
      </c>
      <c r="B52" s="45" t="str">
        <f>IFERROR(VLOOKUP($A52,Parts!$A$2:$M$191,3,FALSE()),"")</f>
        <v>DuoRelay FullSize PCB Rev 0.3</v>
      </c>
      <c r="C52" s="26" t="str">
        <f>IFERROR(IF(_xlfn.XLOOKUP($A52&amp;"|Ja",Part_Suppliers!$L$2:$L$300,Part_Suppliers!$B$2:$B$300,"",0)=0,"",_xlfn.XLOOKUP($A52&amp;"|Ja",Part_Suppliers!$L$2:$L$300,Part_Suppliers!$B$2:$B$300,"",0)),"")</f>
        <v>JLCPCB</v>
      </c>
      <c r="D52" s="26" t="str">
        <f>IFERROR(IF(_xlfn.XLOOKUP($A52&amp;"|Ja",Part_Suppliers!$L$2:$L$300,Part_Suppliers!$C$2:$C$300,"",0)=0,"",_xlfn.XLOOKUP($A52&amp;"|Ja",Part_Suppliers!$L$2:$L$300,Part_Suppliers!$C$2:$C$300,"",0)),"")</f>
        <v>Y28-4808750A</v>
      </c>
      <c r="E52" s="27">
        <f>SUMIFS(Kit_BOM!$F$2:$F$300,Kit_BOM!$E$2:$E$300,$A52,Kit_BOM!$A$2:$A$300,$A$5,Kit_BOM!$G$2:$G$300,"Bestücken")*$C$5+SUMIFS(Kit_BOM!$F$2:$F$300,Kit_BOM!$E$2:$E$300,$A52,Kit_BOM!$A$2:$A$300,$A$5,Kit_BOM!$G$2:$G$300,"Mechanical")*$C$5+IF($F$5="Ja",SUMIFS(Kit_BOM!$F$2:$F$300,Kit_BOM!$E$2:$E$300,$A52,Kit_BOM!$A$2:$A$300,$A$5,Kit_BOM!$G$2:$G$300,"Optional")*$C$5,0)+IF($F$6="Ja",SUMIFS(Kit_BOM!$F$2:$F$300,Kit_BOM!$E$2:$E$300,$A52,Kit_BOM!$A$2:$A$300,$A$5,Kit_BOM!$G$2:$G$300,"DNP")*$C$5,0)+SUMIFS(Kit_BOM!$F$2:$F$300,Kit_BOM!$E$2:$E$300,$A52,Kit_BOM!$A$2:$A$300,$A$6,Kit_BOM!$G$2:$G$300,"Bestücken")*$C$6+SUMIFS(Kit_BOM!$F$2:$F$300,Kit_BOM!$E$2:$E$300,$A52,Kit_BOM!$A$2:$A$300,$A$6,Kit_BOM!$G$2:$G$300,"Mechanical")*$C$6+IF($F$5="Ja",SUMIFS(Kit_BOM!$F$2:$F$300,Kit_BOM!$E$2:$E$300,$A52,Kit_BOM!$A$2:$A$300,$A$6,Kit_BOM!$G$2:$G$300,"Optional")*$C$6,0)+IF($F$6="Ja",SUMIFS(Kit_BOM!$F$2:$F$300,Kit_BOM!$E$2:$E$300,$A52,Kit_BOM!$A$2:$A$300,$A$6,Kit_BOM!$G$2:$G$300,"DNP")*$C$6,0)+SUMIFS(Kit_BOM!$F$2:$F$300,Kit_BOM!$E$2:$E$300,$A52,Kit_BOM!$A$2:$A$300,$A$7,Kit_BOM!$G$2:$G$300,"Bestücken")*$C$7+SUMIFS(Kit_BOM!$F$2:$F$300,Kit_BOM!$E$2:$E$300,$A52,Kit_BOM!$A$2:$A$300,$A$7,Kit_BOM!$G$2:$G$300,"Mechanical")*$C$7+IF($F$5="Ja",SUMIFS(Kit_BOM!$F$2:$F$300,Kit_BOM!$E$2:$E$300,$A52,Kit_BOM!$A$2:$A$300,$A$7,Kit_BOM!$G$2:$G$300,"Optional")*$C$7,0)+IF($F$6="Ja",SUMIFS(Kit_BOM!$F$2:$F$300,Kit_BOM!$E$2:$E$300,$A52,Kit_BOM!$A$2:$A$300,$A$7,Kit_BOM!$G$2:$G$300,"DNP")*$C$7,0)+SUMIFS(Kit_BOM!$F$2:$F$300,Kit_BOM!$E$2:$E$300,$A52,Kit_BOM!$A$2:$A$300,$A$8,Kit_BOM!$G$2:$G$300,"Bestücken")*$C$8+SUMIFS(Kit_BOM!$F$2:$F$300,Kit_BOM!$E$2:$E$300,$A52,Kit_BOM!$A$2:$A$300,$A$8,Kit_BOM!$G$2:$G$300,"Mechanical")*$C$8+IF($F$5="Ja",SUMIFS(Kit_BOM!$F$2:$F$300,Kit_BOM!$E$2:$E$300,$A52,Kit_BOM!$A$2:$A$300,$A$8,Kit_BOM!$G$2:$G$300,"Optional")*$C$8,0)+IF($F$6="Ja",SUMIFS(Kit_BOM!$F$2:$F$300,Kit_BOM!$E$2:$E$300,$A52,Kit_BOM!$A$2:$A$300,$A$8,Kit_BOM!$G$2:$G$300,"DNP")*$C$8,0)+SUMIFS(Kit_BOM!$F$2:$F$300,Kit_BOM!$E$2:$E$300,$A52,Kit_BOM!$A$2:$A$300,$A$9,Kit_BOM!$G$2:$G$300,"Bestücken")*$C$9+SUMIFS(Kit_BOM!$F$2:$F$300,Kit_BOM!$E$2:$E$300,$A52,Kit_BOM!$A$2:$A$300,$A$9,Kit_BOM!$G$2:$G$300,"Mechanical")*$C$9+IF($F$5="Ja",SUMIFS(Kit_BOM!$F$2:$F$300,Kit_BOM!$E$2:$E$300,$A52,Kit_BOM!$A$2:$A$300,$A$9,Kit_BOM!$G$2:$G$300,"Optional")*$C$9,0)+IF($F$6="Ja",SUMIFS(Kit_BOM!$F$2:$F$300,Kit_BOM!$E$2:$E$300,$A52,Kit_BOM!$A$2:$A$300,$A$9,Kit_BOM!$G$2:$G$300,"DNP")*$C$9,0)+SUMIFS(Kit_BOM!$F$2:$F$300,Kit_BOM!$E$2:$E$300,$A52,Kit_BOM!$A$2:$A$300,$A$10,Kit_BOM!$G$2:$G$300,"Bestücken")*$C$10+SUMIFS(Kit_BOM!$F$2:$F$300,Kit_BOM!$E$2:$E$300,$A52,Kit_BOM!$A$2:$A$300,$A$10,Kit_BOM!$G$2:$G$300,"Mechanical")*$C$10+IF($F$5="Ja",SUMIFS(Kit_BOM!$F$2:$F$300,Kit_BOM!$E$2:$E$300,$A52,Kit_BOM!$A$2:$A$300,$A$10,Kit_BOM!$G$2:$G$300,"Optional")*$C$10,0)+IF($F$6="Ja",SUMIFS(Kit_BOM!$F$2:$F$300,Kit_BOM!$E$2:$E$300,$A52,Kit_BOM!$A$2:$A$300,$A$10,Kit_BOM!$G$2:$G$300,"DNP")*$C$10,0)+SUMIFS(Kit_BOM!$F$2:$F$300,Kit_BOM!$E$2:$E$300,$A52,Kit_BOM!$A$2:$A$300,$A$11,Kit_BOM!$G$2:$G$300,"Bestücken")*$C$11+SUMIFS(Kit_BOM!$F$2:$F$300,Kit_BOM!$E$2:$E$300,$A52,Kit_BOM!$A$2:$A$300,$A$11,Kit_BOM!$G$2:$G$300,"Mechanical")*$C$11+IF($F$5="Ja",SUMIFS(Kit_BOM!$F$2:$F$300,Kit_BOM!$E$2:$E$300,$A52,Kit_BOM!$A$2:$A$300,$A$11,Kit_BOM!$G$2:$G$300,"Optional")*$C$11,0)+IF($F$6="Ja",SUMIFS(Kit_BOM!$F$2:$F$300,Kit_BOM!$E$2:$E$300,$A52,Kit_BOM!$A$2:$A$300,$A$11,Kit_BOM!$G$2:$G$300,"DNP")*$C$11,0)+SUMIFS(Kit_BOM!$F$2:$F$300,Kit_BOM!$E$2:$E$300,$A52,Kit_BOM!$A$2:$A$300,$A$12,Kit_BOM!$G$2:$G$300,"Bestücken")*$C$12+SUMIFS(Kit_BOM!$F$2:$F$300,Kit_BOM!$E$2:$E$300,$A52,Kit_BOM!$A$2:$A$300,$A$12,Kit_BOM!$G$2:$G$300,"Mechanical")*$C$12+IF($F$5="Ja",SUMIFS(Kit_BOM!$F$2:$F$300,Kit_BOM!$E$2:$E$300,$A52,Kit_BOM!$A$2:$A$300,$A$12,Kit_BOM!$G$2:$G$300,"Optional")*$C$12,0)+IF($F$6="Ja",SUMIFS(Kit_BOM!$F$2:$F$300,Kit_BOM!$E$2:$E$300,$A52,Kit_BOM!$A$2:$A$300,$A$12,Kit_BOM!$G$2:$G$300,"DNP")*$C$12,0)+SUMIFS(Kit_BOM!$F$2:$F$300,Kit_BOM!$E$2:$E$300,$A52,Kit_BOM!$A$2:$A$300,$H$5,Kit_BOM!$G$2:$G$300,"Bestücken")*$J$5+SUMIFS(Kit_BOM!$F$2:$F$300,Kit_BOM!$E$2:$E$300,$A52,Kit_BOM!$A$2:$A$300,$H$5,Kit_BOM!$G$2:$G$300,"Mechanical")*$J$5+IF($F$5="Ja",SUMIFS(Kit_BOM!$F$2:$F$300,Kit_BOM!$E$2:$E$300,$A52,Kit_BOM!$A$2:$A$300,$H$5,Kit_BOM!$G$2:$G$300,"Optional")*$J$5,0)+IF($F$6="Ja",SUMIFS(Kit_BOM!$F$2:$F$300,Kit_BOM!$E$2:$E$300,$A52,Kit_BOM!$A$2:$A$300,$H$5,Kit_BOM!$G$2:$G$300,"DNP")*$J$5,0)+SUMIFS(Kit_BOM!$F$2:$F$300,Kit_BOM!$E$2:$E$300,$A52,Kit_BOM!$A$2:$A$300,$H$6,Kit_BOM!$G$2:$G$300,"Bestücken")*$J$6+SUMIFS(Kit_BOM!$F$2:$F$300,Kit_BOM!$E$2:$E$300,$A52,Kit_BOM!$A$2:$A$300,$H$6,Kit_BOM!$G$2:$G$300,"Mechanical")*$J$6+IF($F$5="Ja",SUMIFS(Kit_BOM!$F$2:$F$300,Kit_BOM!$E$2:$E$300,$A52,Kit_BOM!$A$2:$A$300,$H$6,Kit_BOM!$G$2:$G$300,"Optional")*$J$6,0)+IF($F$6="Ja",SUMIFS(Kit_BOM!$F$2:$F$300,Kit_BOM!$E$2:$E$300,$A52,Kit_BOM!$A$2:$A$300,$H$6,Kit_BOM!$G$2:$G$300,"DNP")*$J$6,0)</f>
        <v>0</v>
      </c>
      <c r="F52" s="27">
        <f>IFERROR(IF(_xlfn.XLOOKUP($A52&amp;"|Ja",Part_Suppliers!$L$2:$L$300,Part_Suppliers!$G$2:$G$300,"",0)=0,"",_xlfn.XLOOKUP($A52&amp;"|Ja",Part_Suppliers!$L$2:$L$300,Part_Suppliers!$G$2:$G$300,"",0)),"")</f>
        <v>5</v>
      </c>
      <c r="G52" s="27">
        <f t="shared" si="6"/>
        <v>0</v>
      </c>
      <c r="H52" s="46">
        <f>IFERROR(IF(_xlfn.XLOOKUP($A52&amp;"|Ja",Part_Suppliers!$L$2:$L$300,Part_Suppliers!$E$2:$E$300,"",0)=0,"",_xlfn.XLOOKUP($A52&amp;"|Ja",Part_Suppliers!$L$2:$L$300,Part_Suppliers!$E$2:$E$300,"",0)),"")</f>
        <v>0.70399999999999996</v>
      </c>
      <c r="I52" s="46">
        <f t="shared" si="7"/>
        <v>0</v>
      </c>
      <c r="J52" t="str">
        <f>IF(AND(P52&gt;0,P52&lt;&gt;O52),"Manuelle Menge prüfen",IF(E52=0,"Nicht benötigt",IF(L52&lt;0,"Bestand klären",IF(O52=0,"Gedeckt","PCB-Auftrag prüfen"))))</f>
        <v>Nicht benötigt</v>
      </c>
      <c r="K52" s="26" t="str">
        <f>IFERROR(IF(_xlfn.XLOOKUP($A52&amp;"|Ja",Part_Suppliers!$L$2:$L$300,Part_Suppliers!$D$2:$D$300,"",0)=0,"",_xlfn.XLOOKUP($A52&amp;"|Ja",Part_Suppliers!$L$2:$L$300,Part_Suppliers!$D$2:$D$300,"",0)),"")</f>
        <v>https://jlcpcb.com/user-center/orderDetails/?batchNum=W2026090622241850&amp;type=myOrdersBatchSecendLevelRecord&amp;batchOrderStatus=inProduce&amp;batchBookingStatus=0&amp;orderType=1</v>
      </c>
      <c r="L52" s="47">
        <f>IFERROR(VLOOKUP($A52,Stock!$A$5:$K$200,10,FALSE()),0)</f>
        <v>4</v>
      </c>
      <c r="M52" s="47">
        <f>IFERROR(VLOOKUP($A52,Stock!$A$5:$K$200,11,FALSE()),0)</f>
        <v>0</v>
      </c>
      <c r="N52" s="47">
        <f t="shared" si="9"/>
        <v>4</v>
      </c>
      <c r="O52" s="47">
        <f t="shared" si="10"/>
        <v>0</v>
      </c>
      <c r="P52" s="48">
        <v>0</v>
      </c>
      <c r="Q52" s="49">
        <f t="shared" si="11"/>
        <v>0</v>
      </c>
      <c r="R52" s="82">
        <f>SUMIFS(Part_Alternatives!$H$2:$H$200,Part_Alternatives!$A$2:$A$200,$A52,Part_Alternatives!$E$2:$E$200,"Ja")</f>
        <v>0</v>
      </c>
      <c r="S52" s="82">
        <f>SUMIFS(Part_Alternatives!$I$2:$I$200,Part_Alternatives!$A$2:$A$200,$A52,Part_Alternatives!$E$2:$E$200,"Ja")</f>
        <v>0</v>
      </c>
      <c r="T52" s="80" t="str">
        <f>IFERROR(VLOOKUP($A52,Part_Alternatives!$A$2:$K$200,10,FALSE()),"")</f>
        <v/>
      </c>
    </row>
    <row r="53" spans="1:20" ht="14" hidden="1" customHeight="1" x14ac:dyDescent="0.2">
      <c r="A53" s="26" t="s">
        <v>158</v>
      </c>
      <c r="B53" s="45" t="str">
        <f>IFERROR(VLOOKUP($A53,Parts!$A$2:$M$191,3,FALSE()),"")</f>
        <v>Keramikkondensator 4,7 µF SMD</v>
      </c>
      <c r="C53" s="26" t="str">
        <f>IFERROR(IF(_xlfn.XLOOKUP($A53&amp;"|Ja",Part_Suppliers!$L$2:$L$300,Part_Suppliers!$B$2:$B$300,"",0)=0,"",_xlfn.XLOOKUP($A53&amp;"|Ja",Part_Suppliers!$L$2:$L$300,Part_Suppliers!$B$2:$B$300,"",0)),"")</f>
        <v>Reichelt</v>
      </c>
      <c r="D53" s="26" t="str">
        <f>IFERROR(IF(_xlfn.XLOOKUP($A53&amp;"|Ja",Part_Suppliers!$L$2:$L$300,Part_Suppliers!$C$2:$C$300,"",0)=0,"",_xlfn.XLOOKUP($A53&amp;"|Ja",Part_Suppliers!$L$2:$L$300,Part_Suppliers!$C$2:$C$300,"",0)),"")</f>
        <v>CL31B475KAHNNNE</v>
      </c>
      <c r="E53" s="27">
        <f>SUMIFS(Kit_BOM!$F$2:$F$300,Kit_BOM!$E$2:$E$300,$A53,Kit_BOM!$A$2:$A$300,$A$5,Kit_BOM!$G$2:$G$300,"Bestücken")*$C$5+SUMIFS(Kit_BOM!$F$2:$F$300,Kit_BOM!$E$2:$E$300,$A53,Kit_BOM!$A$2:$A$300,$A$5,Kit_BOM!$G$2:$G$300,"Mechanical")*$C$5+IF($F$5="Ja",SUMIFS(Kit_BOM!$F$2:$F$300,Kit_BOM!$E$2:$E$300,$A53,Kit_BOM!$A$2:$A$300,$A$5,Kit_BOM!$G$2:$G$300,"Optional")*$C$5,0)+IF($F$6="Ja",SUMIFS(Kit_BOM!$F$2:$F$300,Kit_BOM!$E$2:$E$300,$A53,Kit_BOM!$A$2:$A$300,$A$5,Kit_BOM!$G$2:$G$300,"DNP")*$C$5,0)+SUMIFS(Kit_BOM!$F$2:$F$300,Kit_BOM!$E$2:$E$300,$A53,Kit_BOM!$A$2:$A$300,$A$6,Kit_BOM!$G$2:$G$300,"Bestücken")*$C$6+SUMIFS(Kit_BOM!$F$2:$F$300,Kit_BOM!$E$2:$E$300,$A53,Kit_BOM!$A$2:$A$300,$A$6,Kit_BOM!$G$2:$G$300,"Mechanical")*$C$6+IF($F$5="Ja",SUMIFS(Kit_BOM!$F$2:$F$300,Kit_BOM!$E$2:$E$300,$A53,Kit_BOM!$A$2:$A$300,$A$6,Kit_BOM!$G$2:$G$300,"Optional")*$C$6,0)+IF($F$6="Ja",SUMIFS(Kit_BOM!$F$2:$F$300,Kit_BOM!$E$2:$E$300,$A53,Kit_BOM!$A$2:$A$300,$A$6,Kit_BOM!$G$2:$G$300,"DNP")*$C$6,0)+SUMIFS(Kit_BOM!$F$2:$F$300,Kit_BOM!$E$2:$E$300,$A53,Kit_BOM!$A$2:$A$300,$A$7,Kit_BOM!$G$2:$G$300,"Bestücken")*$C$7+SUMIFS(Kit_BOM!$F$2:$F$300,Kit_BOM!$E$2:$E$300,$A53,Kit_BOM!$A$2:$A$300,$A$7,Kit_BOM!$G$2:$G$300,"Mechanical")*$C$7+IF($F$5="Ja",SUMIFS(Kit_BOM!$F$2:$F$300,Kit_BOM!$E$2:$E$300,$A53,Kit_BOM!$A$2:$A$300,$A$7,Kit_BOM!$G$2:$G$300,"Optional")*$C$7,0)+IF($F$6="Ja",SUMIFS(Kit_BOM!$F$2:$F$300,Kit_BOM!$E$2:$E$300,$A53,Kit_BOM!$A$2:$A$300,$A$7,Kit_BOM!$G$2:$G$300,"DNP")*$C$7,0)+SUMIFS(Kit_BOM!$F$2:$F$300,Kit_BOM!$E$2:$E$300,$A53,Kit_BOM!$A$2:$A$300,$A$8,Kit_BOM!$G$2:$G$300,"Bestücken")*$C$8+SUMIFS(Kit_BOM!$F$2:$F$300,Kit_BOM!$E$2:$E$300,$A53,Kit_BOM!$A$2:$A$300,$A$8,Kit_BOM!$G$2:$G$300,"Mechanical")*$C$8+IF($F$5="Ja",SUMIFS(Kit_BOM!$F$2:$F$300,Kit_BOM!$E$2:$E$300,$A53,Kit_BOM!$A$2:$A$300,$A$8,Kit_BOM!$G$2:$G$300,"Optional")*$C$8,0)+IF($F$6="Ja",SUMIFS(Kit_BOM!$F$2:$F$300,Kit_BOM!$E$2:$E$300,$A53,Kit_BOM!$A$2:$A$300,$A$8,Kit_BOM!$G$2:$G$300,"DNP")*$C$8,0)+SUMIFS(Kit_BOM!$F$2:$F$300,Kit_BOM!$E$2:$E$300,$A53,Kit_BOM!$A$2:$A$300,$A$9,Kit_BOM!$G$2:$G$300,"Bestücken")*$C$9+SUMIFS(Kit_BOM!$F$2:$F$300,Kit_BOM!$E$2:$E$300,$A53,Kit_BOM!$A$2:$A$300,$A$9,Kit_BOM!$G$2:$G$300,"Mechanical")*$C$9+IF($F$5="Ja",SUMIFS(Kit_BOM!$F$2:$F$300,Kit_BOM!$E$2:$E$300,$A53,Kit_BOM!$A$2:$A$300,$A$9,Kit_BOM!$G$2:$G$300,"Optional")*$C$9,0)+IF($F$6="Ja",SUMIFS(Kit_BOM!$F$2:$F$300,Kit_BOM!$E$2:$E$300,$A53,Kit_BOM!$A$2:$A$300,$A$9,Kit_BOM!$G$2:$G$300,"DNP")*$C$9,0)+SUMIFS(Kit_BOM!$F$2:$F$300,Kit_BOM!$E$2:$E$300,$A53,Kit_BOM!$A$2:$A$300,$A$10,Kit_BOM!$G$2:$G$300,"Bestücken")*$C$10+SUMIFS(Kit_BOM!$F$2:$F$300,Kit_BOM!$E$2:$E$300,$A53,Kit_BOM!$A$2:$A$300,$A$10,Kit_BOM!$G$2:$G$300,"Mechanical")*$C$10+IF($F$5="Ja",SUMIFS(Kit_BOM!$F$2:$F$300,Kit_BOM!$E$2:$E$300,$A53,Kit_BOM!$A$2:$A$300,$A$10,Kit_BOM!$G$2:$G$300,"Optional")*$C$10,0)+IF($F$6="Ja",SUMIFS(Kit_BOM!$F$2:$F$300,Kit_BOM!$E$2:$E$300,$A53,Kit_BOM!$A$2:$A$300,$A$10,Kit_BOM!$G$2:$G$300,"DNP")*$C$10,0)+SUMIFS(Kit_BOM!$F$2:$F$300,Kit_BOM!$E$2:$E$300,$A53,Kit_BOM!$A$2:$A$300,$A$11,Kit_BOM!$G$2:$G$300,"Bestücken")*$C$11+SUMIFS(Kit_BOM!$F$2:$F$300,Kit_BOM!$E$2:$E$300,$A53,Kit_BOM!$A$2:$A$300,$A$11,Kit_BOM!$G$2:$G$300,"Mechanical")*$C$11+IF($F$5="Ja",SUMIFS(Kit_BOM!$F$2:$F$300,Kit_BOM!$E$2:$E$300,$A53,Kit_BOM!$A$2:$A$300,$A$11,Kit_BOM!$G$2:$G$300,"Optional")*$C$11,0)+IF($F$6="Ja",SUMIFS(Kit_BOM!$F$2:$F$300,Kit_BOM!$E$2:$E$300,$A53,Kit_BOM!$A$2:$A$300,$A$11,Kit_BOM!$G$2:$G$300,"DNP")*$C$11,0)+SUMIFS(Kit_BOM!$F$2:$F$300,Kit_BOM!$E$2:$E$300,$A53,Kit_BOM!$A$2:$A$300,$A$12,Kit_BOM!$G$2:$G$300,"Bestücken")*$C$12+SUMIFS(Kit_BOM!$F$2:$F$300,Kit_BOM!$E$2:$E$300,$A53,Kit_BOM!$A$2:$A$300,$A$12,Kit_BOM!$G$2:$G$300,"Mechanical")*$C$12+IF($F$5="Ja",SUMIFS(Kit_BOM!$F$2:$F$300,Kit_BOM!$E$2:$E$300,$A53,Kit_BOM!$A$2:$A$300,$A$12,Kit_BOM!$G$2:$G$300,"Optional")*$C$12,0)+IF($F$6="Ja",SUMIFS(Kit_BOM!$F$2:$F$300,Kit_BOM!$E$2:$E$300,$A53,Kit_BOM!$A$2:$A$300,$A$12,Kit_BOM!$G$2:$G$300,"DNP")*$C$12,0)+SUMIFS(Kit_BOM!$F$2:$F$300,Kit_BOM!$E$2:$E$300,$A53,Kit_BOM!$A$2:$A$300,$H$5,Kit_BOM!$G$2:$G$300,"Bestücken")*$J$5+SUMIFS(Kit_BOM!$F$2:$F$300,Kit_BOM!$E$2:$E$300,$A53,Kit_BOM!$A$2:$A$300,$H$5,Kit_BOM!$G$2:$G$300,"Mechanical")*$J$5+IF($F$5="Ja",SUMIFS(Kit_BOM!$F$2:$F$300,Kit_BOM!$E$2:$E$300,$A53,Kit_BOM!$A$2:$A$300,$H$5,Kit_BOM!$G$2:$G$300,"Optional")*$J$5,0)+IF($F$6="Ja",SUMIFS(Kit_BOM!$F$2:$F$300,Kit_BOM!$E$2:$E$300,$A53,Kit_BOM!$A$2:$A$300,$H$5,Kit_BOM!$G$2:$G$300,"DNP")*$J$5,0)+SUMIFS(Kit_BOM!$F$2:$F$300,Kit_BOM!$E$2:$E$300,$A53,Kit_BOM!$A$2:$A$300,$H$6,Kit_BOM!$G$2:$G$300,"Bestücken")*$J$6+SUMIFS(Kit_BOM!$F$2:$F$300,Kit_BOM!$E$2:$E$300,$A53,Kit_BOM!$A$2:$A$300,$H$6,Kit_BOM!$G$2:$G$300,"Mechanical")*$J$6+IF($F$5="Ja",SUMIFS(Kit_BOM!$F$2:$F$300,Kit_BOM!$E$2:$E$300,$A53,Kit_BOM!$A$2:$A$300,$H$6,Kit_BOM!$G$2:$G$300,"Optional")*$J$6,0)+IF($F$6="Ja",SUMIFS(Kit_BOM!$F$2:$F$300,Kit_BOM!$E$2:$E$300,$A53,Kit_BOM!$A$2:$A$300,$H$6,Kit_BOM!$G$2:$G$300,"DNP")*$J$6,0)</f>
        <v>2</v>
      </c>
      <c r="F53" s="27" t="str">
        <f>IFERROR(IF(_xlfn.XLOOKUP($A53&amp;"|Ja",Part_Suppliers!$L$2:$L$300,Part_Suppliers!$G$2:$G$300,"",0)=0,"",_xlfn.XLOOKUP($A53&amp;"|Ja",Part_Suppliers!$L$2:$L$300,Part_Suppliers!$G$2:$G$300,"",0)),"")</f>
        <v/>
      </c>
      <c r="G53" s="27">
        <f t="shared" si="6"/>
        <v>2</v>
      </c>
      <c r="H53" s="46">
        <f>IFERROR(IF(_xlfn.XLOOKUP($A53&amp;"|Ja",Part_Suppliers!$L$2:$L$300,Part_Suppliers!$E$2:$E$300,"",0)=0,"",_xlfn.XLOOKUP($A53&amp;"|Ja",Part_Suppliers!$L$2:$L$300,Part_Suppliers!$E$2:$E$300,"",0)),"")</f>
        <v>0.14000000000000001</v>
      </c>
      <c r="I53" s="46">
        <f t="shared" si="7"/>
        <v>0.28000000000000003</v>
      </c>
      <c r="J53" t="str">
        <f t="shared" ref="J53:J61" si="12">IF(AND(P53&gt;0,P53&lt;&gt;O53),"Manuelle Menge prüfen",IF(E53=0,"Nicht benötigt",IF(L53&lt;0,"Bestand klären",IF(O53=0,"Gedeckt",IF(OR(C53="",C53="Noch festlegen",D53=""),"Artikel offen",IF(H53="","Preis offen","Bestellvorschlag prüfen"))))))</f>
        <v>Gedeckt</v>
      </c>
      <c r="K53" s="26" t="str">
        <f>IFERROR(IF(_xlfn.XLOOKUP($A53&amp;"|Ja",Part_Suppliers!$L$2:$L$300,Part_Suppliers!$D$2:$D$300,"",0)=0,"",_xlfn.XLOOKUP($A53&amp;"|Ja",Part_Suppliers!$L$2:$L$300,Part_Suppliers!$D$2:$D$300,"",0)),"")</f>
        <v>https://www.reichelt.de/de/de/shop/produkt/mlcc_1206_4_7uf_25v_x7r_-10_h1_6_mm-429143</v>
      </c>
      <c r="L53" s="47">
        <f>IFERROR(VLOOKUP($A53,Stock!$A$5:$K$200,10,FALSE()),0)</f>
        <v>20</v>
      </c>
      <c r="M53" s="47">
        <f>IFERROR(VLOOKUP($A53,Stock!$A$5:$K$200,11,FALSE()),0)</f>
        <v>0</v>
      </c>
      <c r="N53" s="47">
        <f t="shared" si="9"/>
        <v>18</v>
      </c>
      <c r="O53" s="47">
        <f t="shared" si="10"/>
        <v>0</v>
      </c>
      <c r="P53" s="48">
        <v>0</v>
      </c>
      <c r="Q53" s="49">
        <f t="shared" si="11"/>
        <v>0</v>
      </c>
      <c r="R53" s="82">
        <f>SUMIFS(Part_Alternatives!$H$2:$H$200,Part_Alternatives!$A$2:$A$200,$A53,Part_Alternatives!$E$2:$E$200,"Ja")</f>
        <v>0</v>
      </c>
      <c r="S53" s="82">
        <f>SUMIFS(Part_Alternatives!$I$2:$I$200,Part_Alternatives!$A$2:$A$200,$A53,Part_Alternatives!$E$2:$E$200,"Ja")</f>
        <v>0</v>
      </c>
      <c r="T53" s="80" t="str">
        <f>IFERROR(VLOOKUP($A53,Part_Alternatives!$A$2:$K$200,10,FALSE()),"")</f>
        <v/>
      </c>
    </row>
    <row r="54" spans="1:20" ht="14" hidden="1" customHeight="1" x14ac:dyDescent="0.2">
      <c r="A54" s="26" t="s">
        <v>159</v>
      </c>
      <c r="B54" s="45" t="str">
        <f>IFERROR(VLOOKUP($A54,Parts!$A$2:$M$191,3,FALSE()),"")</f>
        <v>Keramikkondensator 4,7 µF SMD</v>
      </c>
      <c r="C54" s="26" t="str">
        <f>IFERROR(IF(_xlfn.XLOOKUP($A54&amp;"|Ja",Part_Suppliers!$L$2:$L$300,Part_Suppliers!$B$2:$B$300,"",0)=0,"",_xlfn.XLOOKUP($A54&amp;"|Ja",Part_Suppliers!$L$2:$L$300,Part_Suppliers!$B$2:$B$300,"",0)),"")</f>
        <v>Reichelt</v>
      </c>
      <c r="D54" s="26" t="str">
        <f>IFERROR(IF(_xlfn.XLOOKUP($A54&amp;"|Ja",Part_Suppliers!$L$2:$L$300,Part_Suppliers!$C$2:$C$300,"",0)=0,"",_xlfn.XLOOKUP($A54&amp;"|Ja",Part_Suppliers!$L$2:$L$300,Part_Suppliers!$C$2:$C$300,"",0)),"")</f>
        <v>CL32B475KBJVPNE</v>
      </c>
      <c r="E54" s="27">
        <f>SUMIFS(Kit_BOM!$F$2:$F$300,Kit_BOM!$E$2:$E$300,$A54,Kit_BOM!$A$2:$A$300,$A$5,Kit_BOM!$G$2:$G$300,"Bestücken")*$C$5+SUMIFS(Kit_BOM!$F$2:$F$300,Kit_BOM!$E$2:$E$300,$A54,Kit_BOM!$A$2:$A$300,$A$5,Kit_BOM!$G$2:$G$300,"Mechanical")*$C$5+IF($F$5="Ja",SUMIFS(Kit_BOM!$F$2:$F$300,Kit_BOM!$E$2:$E$300,$A54,Kit_BOM!$A$2:$A$300,$A$5,Kit_BOM!$G$2:$G$300,"Optional")*$C$5,0)+IF($F$6="Ja",SUMIFS(Kit_BOM!$F$2:$F$300,Kit_BOM!$E$2:$E$300,$A54,Kit_BOM!$A$2:$A$300,$A$5,Kit_BOM!$G$2:$G$300,"DNP")*$C$5,0)+SUMIFS(Kit_BOM!$F$2:$F$300,Kit_BOM!$E$2:$E$300,$A54,Kit_BOM!$A$2:$A$300,$A$6,Kit_BOM!$G$2:$G$300,"Bestücken")*$C$6+SUMIFS(Kit_BOM!$F$2:$F$300,Kit_BOM!$E$2:$E$300,$A54,Kit_BOM!$A$2:$A$300,$A$6,Kit_BOM!$G$2:$G$300,"Mechanical")*$C$6+IF($F$5="Ja",SUMIFS(Kit_BOM!$F$2:$F$300,Kit_BOM!$E$2:$E$300,$A54,Kit_BOM!$A$2:$A$300,$A$6,Kit_BOM!$G$2:$G$300,"Optional")*$C$6,0)+IF($F$6="Ja",SUMIFS(Kit_BOM!$F$2:$F$300,Kit_BOM!$E$2:$E$300,$A54,Kit_BOM!$A$2:$A$300,$A$6,Kit_BOM!$G$2:$G$300,"DNP")*$C$6,0)+SUMIFS(Kit_BOM!$F$2:$F$300,Kit_BOM!$E$2:$E$300,$A54,Kit_BOM!$A$2:$A$300,$A$7,Kit_BOM!$G$2:$G$300,"Bestücken")*$C$7+SUMIFS(Kit_BOM!$F$2:$F$300,Kit_BOM!$E$2:$E$300,$A54,Kit_BOM!$A$2:$A$300,$A$7,Kit_BOM!$G$2:$G$300,"Mechanical")*$C$7+IF($F$5="Ja",SUMIFS(Kit_BOM!$F$2:$F$300,Kit_BOM!$E$2:$E$300,$A54,Kit_BOM!$A$2:$A$300,$A$7,Kit_BOM!$G$2:$G$300,"Optional")*$C$7,0)+IF($F$6="Ja",SUMIFS(Kit_BOM!$F$2:$F$300,Kit_BOM!$E$2:$E$300,$A54,Kit_BOM!$A$2:$A$300,$A$7,Kit_BOM!$G$2:$G$300,"DNP")*$C$7,0)+SUMIFS(Kit_BOM!$F$2:$F$300,Kit_BOM!$E$2:$E$300,$A54,Kit_BOM!$A$2:$A$300,$A$8,Kit_BOM!$G$2:$G$300,"Bestücken")*$C$8+SUMIFS(Kit_BOM!$F$2:$F$300,Kit_BOM!$E$2:$E$300,$A54,Kit_BOM!$A$2:$A$300,$A$8,Kit_BOM!$G$2:$G$300,"Mechanical")*$C$8+IF($F$5="Ja",SUMIFS(Kit_BOM!$F$2:$F$300,Kit_BOM!$E$2:$E$300,$A54,Kit_BOM!$A$2:$A$300,$A$8,Kit_BOM!$G$2:$G$300,"Optional")*$C$8,0)+IF($F$6="Ja",SUMIFS(Kit_BOM!$F$2:$F$300,Kit_BOM!$E$2:$E$300,$A54,Kit_BOM!$A$2:$A$300,$A$8,Kit_BOM!$G$2:$G$300,"DNP")*$C$8,0)+SUMIFS(Kit_BOM!$F$2:$F$300,Kit_BOM!$E$2:$E$300,$A54,Kit_BOM!$A$2:$A$300,$A$9,Kit_BOM!$G$2:$G$300,"Bestücken")*$C$9+SUMIFS(Kit_BOM!$F$2:$F$300,Kit_BOM!$E$2:$E$300,$A54,Kit_BOM!$A$2:$A$300,$A$9,Kit_BOM!$G$2:$G$300,"Mechanical")*$C$9+IF($F$5="Ja",SUMIFS(Kit_BOM!$F$2:$F$300,Kit_BOM!$E$2:$E$300,$A54,Kit_BOM!$A$2:$A$300,$A$9,Kit_BOM!$G$2:$G$300,"Optional")*$C$9,0)+IF($F$6="Ja",SUMIFS(Kit_BOM!$F$2:$F$300,Kit_BOM!$E$2:$E$300,$A54,Kit_BOM!$A$2:$A$300,$A$9,Kit_BOM!$G$2:$G$300,"DNP")*$C$9,0)+SUMIFS(Kit_BOM!$F$2:$F$300,Kit_BOM!$E$2:$E$300,$A54,Kit_BOM!$A$2:$A$300,$A$10,Kit_BOM!$G$2:$G$300,"Bestücken")*$C$10+SUMIFS(Kit_BOM!$F$2:$F$300,Kit_BOM!$E$2:$E$300,$A54,Kit_BOM!$A$2:$A$300,$A$10,Kit_BOM!$G$2:$G$300,"Mechanical")*$C$10+IF($F$5="Ja",SUMIFS(Kit_BOM!$F$2:$F$300,Kit_BOM!$E$2:$E$300,$A54,Kit_BOM!$A$2:$A$300,$A$10,Kit_BOM!$G$2:$G$300,"Optional")*$C$10,0)+IF($F$6="Ja",SUMIFS(Kit_BOM!$F$2:$F$300,Kit_BOM!$E$2:$E$300,$A54,Kit_BOM!$A$2:$A$300,$A$10,Kit_BOM!$G$2:$G$300,"DNP")*$C$10,0)+SUMIFS(Kit_BOM!$F$2:$F$300,Kit_BOM!$E$2:$E$300,$A54,Kit_BOM!$A$2:$A$300,$A$11,Kit_BOM!$G$2:$G$300,"Bestücken")*$C$11+SUMIFS(Kit_BOM!$F$2:$F$300,Kit_BOM!$E$2:$E$300,$A54,Kit_BOM!$A$2:$A$300,$A$11,Kit_BOM!$G$2:$G$300,"Mechanical")*$C$11+IF($F$5="Ja",SUMIFS(Kit_BOM!$F$2:$F$300,Kit_BOM!$E$2:$E$300,$A54,Kit_BOM!$A$2:$A$300,$A$11,Kit_BOM!$G$2:$G$300,"Optional")*$C$11,0)+IF($F$6="Ja",SUMIFS(Kit_BOM!$F$2:$F$300,Kit_BOM!$E$2:$E$300,$A54,Kit_BOM!$A$2:$A$300,$A$11,Kit_BOM!$G$2:$G$300,"DNP")*$C$11,0)+SUMIFS(Kit_BOM!$F$2:$F$300,Kit_BOM!$E$2:$E$300,$A54,Kit_BOM!$A$2:$A$300,$A$12,Kit_BOM!$G$2:$G$300,"Bestücken")*$C$12+SUMIFS(Kit_BOM!$F$2:$F$300,Kit_BOM!$E$2:$E$300,$A54,Kit_BOM!$A$2:$A$300,$A$12,Kit_BOM!$G$2:$G$300,"Mechanical")*$C$12+IF($F$5="Ja",SUMIFS(Kit_BOM!$F$2:$F$300,Kit_BOM!$E$2:$E$300,$A54,Kit_BOM!$A$2:$A$300,$A$12,Kit_BOM!$G$2:$G$300,"Optional")*$C$12,0)+IF($F$6="Ja",SUMIFS(Kit_BOM!$F$2:$F$300,Kit_BOM!$E$2:$E$300,$A54,Kit_BOM!$A$2:$A$300,$A$12,Kit_BOM!$G$2:$G$300,"DNP")*$C$12,0)+SUMIFS(Kit_BOM!$F$2:$F$300,Kit_BOM!$E$2:$E$300,$A54,Kit_BOM!$A$2:$A$300,$H$5,Kit_BOM!$G$2:$G$300,"Bestücken")*$J$5+SUMIFS(Kit_BOM!$F$2:$F$300,Kit_BOM!$E$2:$E$300,$A54,Kit_BOM!$A$2:$A$300,$H$5,Kit_BOM!$G$2:$G$300,"Mechanical")*$J$5+IF($F$5="Ja",SUMIFS(Kit_BOM!$F$2:$F$300,Kit_BOM!$E$2:$E$300,$A54,Kit_BOM!$A$2:$A$300,$H$5,Kit_BOM!$G$2:$G$300,"Optional")*$J$5,0)+IF($F$6="Ja",SUMIFS(Kit_BOM!$F$2:$F$300,Kit_BOM!$E$2:$E$300,$A54,Kit_BOM!$A$2:$A$300,$H$5,Kit_BOM!$G$2:$G$300,"DNP")*$J$5,0)+SUMIFS(Kit_BOM!$F$2:$F$300,Kit_BOM!$E$2:$E$300,$A54,Kit_BOM!$A$2:$A$300,$H$6,Kit_BOM!$G$2:$G$300,"Bestücken")*$J$6+SUMIFS(Kit_BOM!$F$2:$F$300,Kit_BOM!$E$2:$E$300,$A54,Kit_BOM!$A$2:$A$300,$H$6,Kit_BOM!$G$2:$G$300,"Mechanical")*$J$6+IF($F$5="Ja",SUMIFS(Kit_BOM!$F$2:$F$300,Kit_BOM!$E$2:$E$300,$A54,Kit_BOM!$A$2:$A$300,$H$6,Kit_BOM!$G$2:$G$300,"Optional")*$J$6,0)+IF($F$6="Ja",SUMIFS(Kit_BOM!$F$2:$F$300,Kit_BOM!$E$2:$E$300,$A54,Kit_BOM!$A$2:$A$300,$H$6,Kit_BOM!$G$2:$G$300,"DNP")*$J$6,0)</f>
        <v>2</v>
      </c>
      <c r="F54" s="27" t="str">
        <f>IFERROR(IF(_xlfn.XLOOKUP($A54&amp;"|Ja",Part_Suppliers!$L$2:$L$300,Part_Suppliers!$G$2:$G$300,"",0)=0,"",_xlfn.XLOOKUP($A54&amp;"|Ja",Part_Suppliers!$L$2:$L$300,Part_Suppliers!$G$2:$G$300,"",0)),"")</f>
        <v/>
      </c>
      <c r="G54" s="27">
        <f t="shared" si="6"/>
        <v>2</v>
      </c>
      <c r="H54" s="46">
        <f>IFERROR(IF(_xlfn.XLOOKUP($A54&amp;"|Ja",Part_Suppliers!$L$2:$L$300,Part_Suppliers!$E$2:$E$300,"",0)=0,"",_xlfn.XLOOKUP($A54&amp;"|Ja",Part_Suppliers!$L$2:$L$300,Part_Suppliers!$E$2:$E$300,"",0)),"")</f>
        <v>1.19</v>
      </c>
      <c r="I54" s="46">
        <f t="shared" si="7"/>
        <v>2.38</v>
      </c>
      <c r="J54" t="str">
        <f t="shared" si="12"/>
        <v>Gedeckt</v>
      </c>
      <c r="K54" s="26" t="str">
        <f>IFERROR(IF(_xlfn.XLOOKUP($A54&amp;"|Ja",Part_Suppliers!$L$2:$L$300,Part_Suppliers!$D$2:$D$300,"",0)=0,"",_xlfn.XLOOKUP($A54&amp;"|Ja",Part_Suppliers!$L$2:$L$300,Part_Suppliers!$D$2:$D$300,"",0)),"")</f>
        <v>https://www.reichelt.de/de/de/shop/produkt/mlcc_1210_4_7_f_50v_x7r_-10_-438066</v>
      </c>
      <c r="L54" s="47">
        <f>IFERROR(VLOOKUP($A54,Stock!$A$5:$K$200,10,FALSE()),0)</f>
        <v>4</v>
      </c>
      <c r="M54" s="47">
        <f>IFERROR(VLOOKUP($A54,Stock!$A$5:$K$200,11,FALSE()),0)</f>
        <v>0</v>
      </c>
      <c r="N54" s="47">
        <f t="shared" si="9"/>
        <v>2</v>
      </c>
      <c r="O54" s="47">
        <f t="shared" si="10"/>
        <v>0</v>
      </c>
      <c r="P54" s="48">
        <v>0</v>
      </c>
      <c r="Q54" s="49">
        <f t="shared" si="11"/>
        <v>0</v>
      </c>
      <c r="R54" s="82">
        <f>SUMIFS(Part_Alternatives!$H$2:$H$200,Part_Alternatives!$A$2:$A$200,$A54,Part_Alternatives!$E$2:$E$200,"Ja")</f>
        <v>0</v>
      </c>
      <c r="S54" s="82">
        <f>SUMIFS(Part_Alternatives!$I$2:$I$200,Part_Alternatives!$A$2:$A$200,$A54,Part_Alternatives!$E$2:$E$200,"Ja")</f>
        <v>0</v>
      </c>
      <c r="T54" s="80" t="str">
        <f>IFERROR(VLOOKUP($A54,Part_Alternatives!$A$2:$K$200,10,FALSE()),"")</f>
        <v/>
      </c>
    </row>
    <row r="55" spans="1:20" ht="14" customHeight="1" x14ac:dyDescent="0.2">
      <c r="A55" s="26" t="s">
        <v>118</v>
      </c>
      <c r="B55" s="45" t="str">
        <f>IFERROR(VLOOKUP($A55,Parts!$A$2:$M$191,3,FALSE()),"")</f>
        <v>16-Bit ADC mit I²C</v>
      </c>
      <c r="C55" s="87" t="str">
        <f>IFERROR(IF(_xlfn.XLOOKUP($A55&amp;"|Ja",Part_Suppliers!$L$2:$L$300,Part_Suppliers!$B$2:$B$300,"",0)=0,"",_xlfn.XLOOKUP($A55&amp;"|Ja",Part_Suppliers!$L$2:$L$300,Part_Suppliers!$B$2:$B$300,"",0)),"")</f>
        <v>DigiKey</v>
      </c>
      <c r="D55" s="26" t="str">
        <f>IFERROR(IF(_xlfn.XLOOKUP($A55&amp;"|Ja",Part_Suppliers!$L$2:$L$300,Part_Suppliers!$C$2:$C$300,"",0)=0,"",_xlfn.XLOOKUP($A55&amp;"|Ja",Part_Suppliers!$L$2:$L$300,Part_Suppliers!$C$2:$C$300,"",0)),"")</f>
        <v>296-24934-1-ND</v>
      </c>
      <c r="E55" s="27">
        <f>SUMIFS(Kit_BOM!$F$2:$F$300,Kit_BOM!$E$2:$E$300,$A55,Kit_BOM!$A$2:$A$300,$A$5,Kit_BOM!$G$2:$G$300,"Bestücken")*$C$5+SUMIFS(Kit_BOM!$F$2:$F$300,Kit_BOM!$E$2:$E$300,$A55,Kit_BOM!$A$2:$A$300,$A$5,Kit_BOM!$G$2:$G$300,"Mechanical")*$C$5+IF($F$5="Ja",SUMIFS(Kit_BOM!$F$2:$F$300,Kit_BOM!$E$2:$E$300,$A55,Kit_BOM!$A$2:$A$300,$A$5,Kit_BOM!$G$2:$G$300,"Optional")*$C$5,0)+IF($F$6="Ja",SUMIFS(Kit_BOM!$F$2:$F$300,Kit_BOM!$E$2:$E$300,$A55,Kit_BOM!$A$2:$A$300,$A$5,Kit_BOM!$G$2:$G$300,"DNP")*$C$5,0)+SUMIFS(Kit_BOM!$F$2:$F$300,Kit_BOM!$E$2:$E$300,$A55,Kit_BOM!$A$2:$A$300,$A$6,Kit_BOM!$G$2:$G$300,"Bestücken")*$C$6+SUMIFS(Kit_BOM!$F$2:$F$300,Kit_BOM!$E$2:$E$300,$A55,Kit_BOM!$A$2:$A$300,$A$6,Kit_BOM!$G$2:$G$300,"Mechanical")*$C$6+IF($F$5="Ja",SUMIFS(Kit_BOM!$F$2:$F$300,Kit_BOM!$E$2:$E$300,$A55,Kit_BOM!$A$2:$A$300,$A$6,Kit_BOM!$G$2:$G$300,"Optional")*$C$6,0)+IF($F$6="Ja",SUMIFS(Kit_BOM!$F$2:$F$300,Kit_BOM!$E$2:$E$300,$A55,Kit_BOM!$A$2:$A$300,$A$6,Kit_BOM!$G$2:$G$300,"DNP")*$C$6,0)+SUMIFS(Kit_BOM!$F$2:$F$300,Kit_BOM!$E$2:$E$300,$A55,Kit_BOM!$A$2:$A$300,$A$7,Kit_BOM!$G$2:$G$300,"Bestücken")*$C$7+SUMIFS(Kit_BOM!$F$2:$F$300,Kit_BOM!$E$2:$E$300,$A55,Kit_BOM!$A$2:$A$300,$A$7,Kit_BOM!$G$2:$G$300,"Mechanical")*$C$7+IF($F$5="Ja",SUMIFS(Kit_BOM!$F$2:$F$300,Kit_BOM!$E$2:$E$300,$A55,Kit_BOM!$A$2:$A$300,$A$7,Kit_BOM!$G$2:$G$300,"Optional")*$C$7,0)+IF($F$6="Ja",SUMIFS(Kit_BOM!$F$2:$F$300,Kit_BOM!$E$2:$E$300,$A55,Kit_BOM!$A$2:$A$300,$A$7,Kit_BOM!$G$2:$G$300,"DNP")*$C$7,0)+SUMIFS(Kit_BOM!$F$2:$F$300,Kit_BOM!$E$2:$E$300,$A55,Kit_BOM!$A$2:$A$300,$A$8,Kit_BOM!$G$2:$G$300,"Bestücken")*$C$8+SUMIFS(Kit_BOM!$F$2:$F$300,Kit_BOM!$E$2:$E$300,$A55,Kit_BOM!$A$2:$A$300,$A$8,Kit_BOM!$G$2:$G$300,"Mechanical")*$C$8+IF($F$5="Ja",SUMIFS(Kit_BOM!$F$2:$F$300,Kit_BOM!$E$2:$E$300,$A55,Kit_BOM!$A$2:$A$300,$A$8,Kit_BOM!$G$2:$G$300,"Optional")*$C$8,0)+IF($F$6="Ja",SUMIFS(Kit_BOM!$F$2:$F$300,Kit_BOM!$E$2:$E$300,$A55,Kit_BOM!$A$2:$A$300,$A$8,Kit_BOM!$G$2:$G$300,"DNP")*$C$8,0)+SUMIFS(Kit_BOM!$F$2:$F$300,Kit_BOM!$E$2:$E$300,$A55,Kit_BOM!$A$2:$A$300,$A$9,Kit_BOM!$G$2:$G$300,"Bestücken")*$C$9+SUMIFS(Kit_BOM!$F$2:$F$300,Kit_BOM!$E$2:$E$300,$A55,Kit_BOM!$A$2:$A$300,$A$9,Kit_BOM!$G$2:$G$300,"Mechanical")*$C$9+IF($F$5="Ja",SUMIFS(Kit_BOM!$F$2:$F$300,Kit_BOM!$E$2:$E$300,$A55,Kit_BOM!$A$2:$A$300,$A$9,Kit_BOM!$G$2:$G$300,"Optional")*$C$9,0)+IF($F$6="Ja",SUMIFS(Kit_BOM!$F$2:$F$300,Kit_BOM!$E$2:$E$300,$A55,Kit_BOM!$A$2:$A$300,$A$9,Kit_BOM!$G$2:$G$300,"DNP")*$C$9,0)+SUMIFS(Kit_BOM!$F$2:$F$300,Kit_BOM!$E$2:$E$300,$A55,Kit_BOM!$A$2:$A$300,$A$10,Kit_BOM!$G$2:$G$300,"Bestücken")*$C$10+SUMIFS(Kit_BOM!$F$2:$F$300,Kit_BOM!$E$2:$E$300,$A55,Kit_BOM!$A$2:$A$300,$A$10,Kit_BOM!$G$2:$G$300,"Mechanical")*$C$10+IF($F$5="Ja",SUMIFS(Kit_BOM!$F$2:$F$300,Kit_BOM!$E$2:$E$300,$A55,Kit_BOM!$A$2:$A$300,$A$10,Kit_BOM!$G$2:$G$300,"Optional")*$C$10,0)+IF($F$6="Ja",SUMIFS(Kit_BOM!$F$2:$F$300,Kit_BOM!$E$2:$E$300,$A55,Kit_BOM!$A$2:$A$300,$A$10,Kit_BOM!$G$2:$G$300,"DNP")*$C$10,0)+SUMIFS(Kit_BOM!$F$2:$F$300,Kit_BOM!$E$2:$E$300,$A55,Kit_BOM!$A$2:$A$300,$A$11,Kit_BOM!$G$2:$G$300,"Bestücken")*$C$11+SUMIFS(Kit_BOM!$F$2:$F$300,Kit_BOM!$E$2:$E$300,$A55,Kit_BOM!$A$2:$A$300,$A$11,Kit_BOM!$G$2:$G$300,"Mechanical")*$C$11+IF($F$5="Ja",SUMIFS(Kit_BOM!$F$2:$F$300,Kit_BOM!$E$2:$E$300,$A55,Kit_BOM!$A$2:$A$300,$A$11,Kit_BOM!$G$2:$G$300,"Optional")*$C$11,0)+IF($F$6="Ja",SUMIFS(Kit_BOM!$F$2:$F$300,Kit_BOM!$E$2:$E$300,$A55,Kit_BOM!$A$2:$A$300,$A$11,Kit_BOM!$G$2:$G$300,"DNP")*$C$11,0)+SUMIFS(Kit_BOM!$F$2:$F$300,Kit_BOM!$E$2:$E$300,$A55,Kit_BOM!$A$2:$A$300,$A$12,Kit_BOM!$G$2:$G$300,"Bestücken")*$C$12+SUMIFS(Kit_BOM!$F$2:$F$300,Kit_BOM!$E$2:$E$300,$A55,Kit_BOM!$A$2:$A$300,$A$12,Kit_BOM!$G$2:$G$300,"Mechanical")*$C$12+IF($F$5="Ja",SUMIFS(Kit_BOM!$F$2:$F$300,Kit_BOM!$E$2:$E$300,$A55,Kit_BOM!$A$2:$A$300,$A$12,Kit_BOM!$G$2:$G$300,"Optional")*$C$12,0)+IF($F$6="Ja",SUMIFS(Kit_BOM!$F$2:$F$300,Kit_BOM!$E$2:$E$300,$A55,Kit_BOM!$A$2:$A$300,$A$12,Kit_BOM!$G$2:$G$300,"DNP")*$C$12,0)+SUMIFS(Kit_BOM!$F$2:$F$300,Kit_BOM!$E$2:$E$300,$A55,Kit_BOM!$A$2:$A$300,$H$5,Kit_BOM!$G$2:$G$300,"Bestücken")*$J$5+SUMIFS(Kit_BOM!$F$2:$F$300,Kit_BOM!$E$2:$E$300,$A55,Kit_BOM!$A$2:$A$300,$H$5,Kit_BOM!$G$2:$G$300,"Mechanical")*$J$5+IF($F$5="Ja",SUMIFS(Kit_BOM!$F$2:$F$300,Kit_BOM!$E$2:$E$300,$A55,Kit_BOM!$A$2:$A$300,$H$5,Kit_BOM!$G$2:$G$300,"Optional")*$J$5,0)+IF($F$6="Ja",SUMIFS(Kit_BOM!$F$2:$F$300,Kit_BOM!$E$2:$E$300,$A55,Kit_BOM!$A$2:$A$300,$H$5,Kit_BOM!$G$2:$G$300,"DNP")*$J$5,0)+SUMIFS(Kit_BOM!$F$2:$F$300,Kit_BOM!$E$2:$E$300,$A55,Kit_BOM!$A$2:$A$300,$H$6,Kit_BOM!$G$2:$G$300,"Bestücken")*$J$6+SUMIFS(Kit_BOM!$F$2:$F$300,Kit_BOM!$E$2:$E$300,$A55,Kit_BOM!$A$2:$A$300,$H$6,Kit_BOM!$G$2:$G$300,"Mechanical")*$J$6+IF($F$5="Ja",SUMIFS(Kit_BOM!$F$2:$F$300,Kit_BOM!$E$2:$E$300,$A55,Kit_BOM!$A$2:$A$300,$H$6,Kit_BOM!$G$2:$G$300,"Optional")*$J$6,0)+IF($F$6="Ja",SUMIFS(Kit_BOM!$F$2:$F$300,Kit_BOM!$E$2:$E$300,$A55,Kit_BOM!$A$2:$A$300,$H$6,Kit_BOM!$G$2:$G$300,"DNP")*$J$6,0)</f>
        <v>4</v>
      </c>
      <c r="F55" s="27" t="str">
        <f>IFERROR(IF(_xlfn.XLOOKUP($A55&amp;"|Ja",Part_Suppliers!$L$2:$L$300,Part_Suppliers!$G$2:$G$300,"",0)=0,"",_xlfn.XLOOKUP($A55&amp;"|Ja",Part_Suppliers!$L$2:$L$300,Part_Suppliers!$G$2:$G$300,"",0)),"")</f>
        <v/>
      </c>
      <c r="G55" s="27">
        <f t="shared" ref="G55:G91" si="13">IF($E55=0,0,IF(OR($F55="",$F55=0),$E55,CEILING($E55,$F55)))</f>
        <v>4</v>
      </c>
      <c r="H55" s="46">
        <f>IFERROR(IF(_xlfn.XLOOKUP($A55&amp;"|Ja",Part_Suppliers!$L$2:$L$300,Part_Suppliers!$E$2:$E$300,"",0)=0,"",_xlfn.XLOOKUP($A55&amp;"|Ja",Part_Suppliers!$L$2:$L$300,Part_Suppliers!$E$2:$E$300,"",0)),"")</f>
        <v>6.4</v>
      </c>
      <c r="I55" s="46">
        <f t="shared" ref="I55:I86" si="14">IF(H55="","",G55*H55)</f>
        <v>25.6</v>
      </c>
      <c r="J55" t="str">
        <f t="shared" si="12"/>
        <v>Bestellvorschlag prüfen</v>
      </c>
      <c r="K55" s="26" t="str">
        <f>IFERROR(IF(_xlfn.XLOOKUP($A55&amp;"|Ja",Part_Suppliers!$L$2:$L$300,Part_Suppliers!$D$2:$D$300,"",0)=0,"",_xlfn.XLOOKUP($A55&amp;"|Ja",Part_Suppliers!$L$2:$L$300,Part_Suppliers!$D$2:$D$300,"",0)),"")</f>
        <v>https://www.digikey.de/de/products/detail/texas-instruments/ADS1115IDGST/2123284?gclsrc=aw.ds&amp;gad_source=1&amp;gad_campaignid=209928500&amp;gbraid=0AAAAADrbLlgS-dOB0YDx-VkZn72tGSXvA&amp;gclid=CjwKCAjwwfnUBhAtEiwAfQpAYt9h9o_o9RJ5yl52XBFmrX4kV-KOzerja3An3HTIqZwhND3u-dqouBoCopgQAvD_BwE</v>
      </c>
      <c r="L55" s="47">
        <f>IFERROR(VLOOKUP($A55,Stock!$A$5:$K$200,10,FALSE()),0)</f>
        <v>0</v>
      </c>
      <c r="M55" s="47">
        <f>IFERROR(VLOOKUP($A55,Stock!$A$5:$K$200,11,FALSE()),0)</f>
        <v>0</v>
      </c>
      <c r="N55" s="47">
        <f t="shared" ref="N55:N91" si="15">$L55+$M55+$R55+$S55-$E55</f>
        <v>-4</v>
      </c>
      <c r="O55" s="47">
        <f t="shared" ref="O55:O86" si="16">IF(E55=0,0,IF(N55&gt;=0,0,CEILING(-N55,IF(OR(F55="",F55=0),1,F55))))</f>
        <v>4</v>
      </c>
      <c r="P55" s="48">
        <v>0</v>
      </c>
      <c r="Q55" s="49">
        <f t="shared" ref="Q55:Q86" si="17">IF(P55=0,0,IF(H55="","",P55*H55))</f>
        <v>0</v>
      </c>
      <c r="R55" s="82">
        <f>SUMIFS(Part_Alternatives!$H$2:$H$200,Part_Alternatives!$A$2:$A$200,$A55,Part_Alternatives!$E$2:$E$200,"Ja")</f>
        <v>0</v>
      </c>
      <c r="S55" s="82">
        <f>SUMIFS(Part_Alternatives!$I$2:$I$200,Part_Alternatives!$A$2:$A$200,$A55,Part_Alternatives!$E$2:$E$200,"Ja")</f>
        <v>0</v>
      </c>
      <c r="T55" s="80" t="str">
        <f>IFERROR(VLOOKUP($A55,Part_Alternatives!$A$2:$K$200,10,FALSE()),"")</f>
        <v/>
      </c>
    </row>
    <row r="56" spans="1:20" ht="14" hidden="1" customHeight="1" x14ac:dyDescent="0.2">
      <c r="A56" t="s">
        <v>161</v>
      </c>
      <c r="B56" s="45" t="str">
        <f>IFERROR(VLOOKUP($A56,Parts!$A$2:$M$191,3,FALSE()),"")</f>
        <v>Leistungsinduktivität 0,68 µH</v>
      </c>
      <c r="C56" t="str">
        <f>IFERROR(IF(_xlfn.XLOOKUP($A56&amp;"|Ja",Part_Suppliers!$L$2:$L$300,Part_Suppliers!$B$2:$B$300,"",0)=0,"",_xlfn.XLOOKUP($A56&amp;"|Ja",Part_Suppliers!$L$2:$L$300,Part_Suppliers!$B$2:$B$300,"",0)),"")</f>
        <v>DigiKey</v>
      </c>
      <c r="D56" t="str">
        <f>IFERROR(IF(_xlfn.XLOOKUP($A56&amp;"|Ja",Part_Suppliers!$L$2:$L$300,Part_Suppliers!$C$2:$C$300,"",0)=0,"",_xlfn.XLOOKUP($A56&amp;"|Ja",Part_Suppliers!$L$2:$L$300,Part_Suppliers!$C$2:$C$300,"",0)),"")</f>
        <v>732-744383560068HTCT-ND</v>
      </c>
      <c r="E56" s="27">
        <f>SUMIFS(Kit_BOM!$F$2:$F$300,Kit_BOM!$E$2:$E$300,$A56,Kit_BOM!$A$2:$A$300,$A$5,Kit_BOM!$G$2:$G$300,"Bestücken")*$C$5+SUMIFS(Kit_BOM!$F$2:$F$300,Kit_BOM!$E$2:$E$300,$A56,Kit_BOM!$A$2:$A$300,$A$5,Kit_BOM!$G$2:$G$300,"Mechanical")*$C$5+IF($F$5="Ja",SUMIFS(Kit_BOM!$F$2:$F$300,Kit_BOM!$E$2:$E$300,$A56,Kit_BOM!$A$2:$A$300,$A$5,Kit_BOM!$G$2:$G$300,"Optional")*$C$5,0)+IF($F$6="Ja",SUMIFS(Kit_BOM!$F$2:$F$300,Kit_BOM!$E$2:$E$300,$A56,Kit_BOM!$A$2:$A$300,$A$5,Kit_BOM!$G$2:$G$300,"DNP")*$C$5,0)+SUMIFS(Kit_BOM!$F$2:$F$300,Kit_BOM!$E$2:$E$300,$A56,Kit_BOM!$A$2:$A$300,$A$6,Kit_BOM!$G$2:$G$300,"Bestücken")*$C$6+SUMIFS(Kit_BOM!$F$2:$F$300,Kit_BOM!$E$2:$E$300,$A56,Kit_BOM!$A$2:$A$300,$A$6,Kit_BOM!$G$2:$G$300,"Mechanical")*$C$6+IF($F$5="Ja",SUMIFS(Kit_BOM!$F$2:$F$300,Kit_BOM!$E$2:$E$300,$A56,Kit_BOM!$A$2:$A$300,$A$6,Kit_BOM!$G$2:$G$300,"Optional")*$C$6,0)+IF($F$6="Ja",SUMIFS(Kit_BOM!$F$2:$F$300,Kit_BOM!$E$2:$E$300,$A56,Kit_BOM!$A$2:$A$300,$A$6,Kit_BOM!$G$2:$G$300,"DNP")*$C$6,0)+SUMIFS(Kit_BOM!$F$2:$F$300,Kit_BOM!$E$2:$E$300,$A56,Kit_BOM!$A$2:$A$300,$A$7,Kit_BOM!$G$2:$G$300,"Bestücken")*$C$7+SUMIFS(Kit_BOM!$F$2:$F$300,Kit_BOM!$E$2:$E$300,$A56,Kit_BOM!$A$2:$A$300,$A$7,Kit_BOM!$G$2:$G$300,"Mechanical")*$C$7+IF($F$5="Ja",SUMIFS(Kit_BOM!$F$2:$F$300,Kit_BOM!$E$2:$E$300,$A56,Kit_BOM!$A$2:$A$300,$A$7,Kit_BOM!$G$2:$G$300,"Optional")*$C$7,0)+IF($F$6="Ja",SUMIFS(Kit_BOM!$F$2:$F$300,Kit_BOM!$E$2:$E$300,$A56,Kit_BOM!$A$2:$A$300,$A$7,Kit_BOM!$G$2:$G$300,"DNP")*$C$7,0)+SUMIFS(Kit_BOM!$F$2:$F$300,Kit_BOM!$E$2:$E$300,$A56,Kit_BOM!$A$2:$A$300,$A$8,Kit_BOM!$G$2:$G$300,"Bestücken")*$C$8+SUMIFS(Kit_BOM!$F$2:$F$300,Kit_BOM!$E$2:$E$300,$A56,Kit_BOM!$A$2:$A$300,$A$8,Kit_BOM!$G$2:$G$300,"Mechanical")*$C$8+IF($F$5="Ja",SUMIFS(Kit_BOM!$F$2:$F$300,Kit_BOM!$E$2:$E$300,$A56,Kit_BOM!$A$2:$A$300,$A$8,Kit_BOM!$G$2:$G$300,"Optional")*$C$8,0)+IF($F$6="Ja",SUMIFS(Kit_BOM!$F$2:$F$300,Kit_BOM!$E$2:$E$300,$A56,Kit_BOM!$A$2:$A$300,$A$8,Kit_BOM!$G$2:$G$300,"DNP")*$C$8,0)+SUMIFS(Kit_BOM!$F$2:$F$300,Kit_BOM!$E$2:$E$300,$A56,Kit_BOM!$A$2:$A$300,$A$9,Kit_BOM!$G$2:$G$300,"Bestücken")*$C$9+SUMIFS(Kit_BOM!$F$2:$F$300,Kit_BOM!$E$2:$E$300,$A56,Kit_BOM!$A$2:$A$300,$A$9,Kit_BOM!$G$2:$G$300,"Mechanical")*$C$9+IF($F$5="Ja",SUMIFS(Kit_BOM!$F$2:$F$300,Kit_BOM!$E$2:$E$300,$A56,Kit_BOM!$A$2:$A$300,$A$9,Kit_BOM!$G$2:$G$300,"Optional")*$C$9,0)+IF($F$6="Ja",SUMIFS(Kit_BOM!$F$2:$F$300,Kit_BOM!$E$2:$E$300,$A56,Kit_BOM!$A$2:$A$300,$A$9,Kit_BOM!$G$2:$G$300,"DNP")*$C$9,0)+SUMIFS(Kit_BOM!$F$2:$F$300,Kit_BOM!$E$2:$E$300,$A56,Kit_BOM!$A$2:$A$300,$A$10,Kit_BOM!$G$2:$G$300,"Bestücken")*$C$10+SUMIFS(Kit_BOM!$F$2:$F$300,Kit_BOM!$E$2:$E$300,$A56,Kit_BOM!$A$2:$A$300,$A$10,Kit_BOM!$G$2:$G$300,"Mechanical")*$C$10+IF($F$5="Ja",SUMIFS(Kit_BOM!$F$2:$F$300,Kit_BOM!$E$2:$E$300,$A56,Kit_BOM!$A$2:$A$300,$A$10,Kit_BOM!$G$2:$G$300,"Optional")*$C$10,0)+IF($F$6="Ja",SUMIFS(Kit_BOM!$F$2:$F$300,Kit_BOM!$E$2:$E$300,$A56,Kit_BOM!$A$2:$A$300,$A$10,Kit_BOM!$G$2:$G$300,"DNP")*$C$10,0)+SUMIFS(Kit_BOM!$F$2:$F$300,Kit_BOM!$E$2:$E$300,$A56,Kit_BOM!$A$2:$A$300,$A$11,Kit_BOM!$G$2:$G$300,"Bestücken")*$C$11+SUMIFS(Kit_BOM!$F$2:$F$300,Kit_BOM!$E$2:$E$300,$A56,Kit_BOM!$A$2:$A$300,$A$11,Kit_BOM!$G$2:$G$300,"Mechanical")*$C$11+IF($F$5="Ja",SUMIFS(Kit_BOM!$F$2:$F$300,Kit_BOM!$E$2:$E$300,$A56,Kit_BOM!$A$2:$A$300,$A$11,Kit_BOM!$G$2:$G$300,"Optional")*$C$11,0)+IF($F$6="Ja",SUMIFS(Kit_BOM!$F$2:$F$300,Kit_BOM!$E$2:$E$300,$A56,Kit_BOM!$A$2:$A$300,$A$11,Kit_BOM!$G$2:$G$300,"DNP")*$C$11,0)+SUMIFS(Kit_BOM!$F$2:$F$300,Kit_BOM!$E$2:$E$300,$A56,Kit_BOM!$A$2:$A$300,$A$12,Kit_BOM!$G$2:$G$300,"Bestücken")*$C$12+SUMIFS(Kit_BOM!$F$2:$F$300,Kit_BOM!$E$2:$E$300,$A56,Kit_BOM!$A$2:$A$300,$A$12,Kit_BOM!$G$2:$G$300,"Mechanical")*$C$12+IF($F$5="Ja",SUMIFS(Kit_BOM!$F$2:$F$300,Kit_BOM!$E$2:$E$300,$A56,Kit_BOM!$A$2:$A$300,$A$12,Kit_BOM!$G$2:$G$300,"Optional")*$C$12,0)+IF($F$6="Ja",SUMIFS(Kit_BOM!$F$2:$F$300,Kit_BOM!$E$2:$E$300,$A56,Kit_BOM!$A$2:$A$300,$A$12,Kit_BOM!$G$2:$G$300,"DNP")*$C$12,0)+SUMIFS(Kit_BOM!$F$2:$F$300,Kit_BOM!$E$2:$E$300,$A56,Kit_BOM!$A$2:$A$300,$H$5,Kit_BOM!$G$2:$G$300,"Bestücken")*$J$5+SUMIFS(Kit_BOM!$F$2:$F$300,Kit_BOM!$E$2:$E$300,$A56,Kit_BOM!$A$2:$A$300,$H$5,Kit_BOM!$G$2:$G$300,"Mechanical")*$J$5+IF($F$5="Ja",SUMIFS(Kit_BOM!$F$2:$F$300,Kit_BOM!$E$2:$E$300,$A56,Kit_BOM!$A$2:$A$300,$H$5,Kit_BOM!$G$2:$G$300,"Optional")*$J$5,0)+IF($F$6="Ja",SUMIFS(Kit_BOM!$F$2:$F$300,Kit_BOM!$E$2:$E$300,$A56,Kit_BOM!$A$2:$A$300,$H$5,Kit_BOM!$G$2:$G$300,"DNP")*$J$5,0)+SUMIFS(Kit_BOM!$F$2:$F$300,Kit_BOM!$E$2:$E$300,$A56,Kit_BOM!$A$2:$A$300,$H$6,Kit_BOM!$G$2:$G$300,"Bestücken")*$J$6+SUMIFS(Kit_BOM!$F$2:$F$300,Kit_BOM!$E$2:$E$300,$A56,Kit_BOM!$A$2:$A$300,$H$6,Kit_BOM!$G$2:$G$300,"Mechanical")*$J$6+IF($F$5="Ja",SUMIFS(Kit_BOM!$F$2:$F$300,Kit_BOM!$E$2:$E$300,$A56,Kit_BOM!$A$2:$A$300,$H$6,Kit_BOM!$G$2:$G$300,"Optional")*$J$6,0)+IF($F$6="Ja",SUMIFS(Kit_BOM!$F$2:$F$300,Kit_BOM!$E$2:$E$300,$A56,Kit_BOM!$A$2:$A$300,$H$6,Kit_BOM!$G$2:$G$300,"DNP")*$J$6,0)</f>
        <v>2</v>
      </c>
      <c r="F56" s="27" t="str">
        <f>IFERROR(IF(_xlfn.XLOOKUP($A56&amp;"|Ja",Part_Suppliers!$L$2:$L$300,Part_Suppliers!$G$2:$G$300,"",0)=0,"",_xlfn.XLOOKUP($A56&amp;"|Ja",Part_Suppliers!$L$2:$L$300,Part_Suppliers!$G$2:$G$300,"",0)),"")</f>
        <v/>
      </c>
      <c r="G56" s="27">
        <f t="shared" si="13"/>
        <v>2</v>
      </c>
      <c r="H56" s="46">
        <f>IFERROR(IF(_xlfn.XLOOKUP($A56&amp;"|Ja",Part_Suppliers!$L$2:$L$300,Part_Suppliers!$E$2:$E$300,"",0)=0,"",_xlfn.XLOOKUP($A56&amp;"|Ja",Part_Suppliers!$L$2:$L$300,Part_Suppliers!$E$2:$E$300,"",0)),"")</f>
        <v>1.79</v>
      </c>
      <c r="I56" s="46">
        <f t="shared" si="14"/>
        <v>3.58</v>
      </c>
      <c r="J56" t="str">
        <f t="shared" si="12"/>
        <v>Gedeckt</v>
      </c>
      <c r="K56" t="str">
        <f>IFERROR(IF(_xlfn.XLOOKUP($A56&amp;"|Ja",Part_Suppliers!$L$2:$L$300,Part_Suppliers!$D$2:$D$300,"",0)=0,"",_xlfn.XLOOKUP($A56&amp;"|Ja",Part_Suppliers!$L$2:$L$300,Part_Suppliers!$D$2:$D$300,"",0)),"")</f>
        <v/>
      </c>
      <c r="L56" s="47">
        <f>IFERROR(VLOOKUP($A56,Stock!$A$5:$K$200,10,FALSE()),0)</f>
        <v>2</v>
      </c>
      <c r="M56" s="47">
        <f>IFERROR(VLOOKUP($A56,Stock!$A$5:$K$200,11,FALSE()),0)</f>
        <v>0</v>
      </c>
      <c r="N56" s="47">
        <f t="shared" si="15"/>
        <v>0</v>
      </c>
      <c r="O56" s="47">
        <f t="shared" si="16"/>
        <v>0</v>
      </c>
      <c r="P56" s="48">
        <v>0</v>
      </c>
      <c r="Q56" s="49">
        <f t="shared" si="17"/>
        <v>0</v>
      </c>
      <c r="R56" s="82">
        <f>SUMIFS(Part_Alternatives!$H$2:$H$200,Part_Alternatives!$A$2:$A$200,$A56,Part_Alternatives!$E$2:$E$200,"Ja")</f>
        <v>0</v>
      </c>
      <c r="S56" s="82">
        <f>SUMIFS(Part_Alternatives!$I$2:$I$200,Part_Alternatives!$A$2:$A$200,$A56,Part_Alternatives!$E$2:$E$200,"Ja")</f>
        <v>0</v>
      </c>
      <c r="T56" s="80" t="str">
        <f>IFERROR(VLOOKUP($A56,Part_Alternatives!$A$2:$K$200,10,FALSE()),"")</f>
        <v/>
      </c>
    </row>
    <row r="57" spans="1:20" ht="14" hidden="1" customHeight="1" x14ac:dyDescent="0.2">
      <c r="A57" t="s">
        <v>162</v>
      </c>
      <c r="B57" s="45" t="str">
        <f>IFERROR(VLOOKUP($A57,Parts!$A$2:$M$191,3,FALSE()),"")</f>
        <v>Widerstand 1 MΩ SMD</v>
      </c>
      <c r="C57" t="str">
        <f>IFERROR(IF(_xlfn.XLOOKUP($A57&amp;"|Ja",Part_Suppliers!$L$2:$L$300,Part_Suppliers!$B$2:$B$300,"",0)=0,"",_xlfn.XLOOKUP($A57&amp;"|Ja",Part_Suppliers!$L$2:$L$300,Part_Suppliers!$B$2:$B$300,"",0)),"")</f>
        <v>Reichelt</v>
      </c>
      <c r="D57" t="str">
        <f>IFERROR(IF(_xlfn.XLOOKUP($A57&amp;"|Ja",Part_Suppliers!$L$2:$L$300,Part_Suppliers!$C$2:$C$300,"",0)=0,"",_xlfn.XLOOKUP($A57&amp;"|Ja",Part_Suppliers!$L$2:$L$300,Part_Suppliers!$C$2:$C$300,"",0)),"")</f>
        <v>VIS CRCW12061M0</v>
      </c>
      <c r="E57" s="27">
        <f>SUMIFS(Kit_BOM!$F$2:$F$300,Kit_BOM!$E$2:$E$300,$A57,Kit_BOM!$A$2:$A$300,$A$5,Kit_BOM!$G$2:$G$300,"Bestücken")*$C$5+SUMIFS(Kit_BOM!$F$2:$F$300,Kit_BOM!$E$2:$E$300,$A57,Kit_BOM!$A$2:$A$300,$A$5,Kit_BOM!$G$2:$G$300,"Mechanical")*$C$5+IF($F$5="Ja",SUMIFS(Kit_BOM!$F$2:$F$300,Kit_BOM!$E$2:$E$300,$A57,Kit_BOM!$A$2:$A$300,$A$5,Kit_BOM!$G$2:$G$300,"Optional")*$C$5,0)+IF($F$6="Ja",SUMIFS(Kit_BOM!$F$2:$F$300,Kit_BOM!$E$2:$E$300,$A57,Kit_BOM!$A$2:$A$300,$A$5,Kit_BOM!$G$2:$G$300,"DNP")*$C$5,0)+SUMIFS(Kit_BOM!$F$2:$F$300,Kit_BOM!$E$2:$E$300,$A57,Kit_BOM!$A$2:$A$300,$A$6,Kit_BOM!$G$2:$G$300,"Bestücken")*$C$6+SUMIFS(Kit_BOM!$F$2:$F$300,Kit_BOM!$E$2:$E$300,$A57,Kit_BOM!$A$2:$A$300,$A$6,Kit_BOM!$G$2:$G$300,"Mechanical")*$C$6+IF($F$5="Ja",SUMIFS(Kit_BOM!$F$2:$F$300,Kit_BOM!$E$2:$E$300,$A57,Kit_BOM!$A$2:$A$300,$A$6,Kit_BOM!$G$2:$G$300,"Optional")*$C$6,0)+IF($F$6="Ja",SUMIFS(Kit_BOM!$F$2:$F$300,Kit_BOM!$E$2:$E$300,$A57,Kit_BOM!$A$2:$A$300,$A$6,Kit_BOM!$G$2:$G$300,"DNP")*$C$6,0)+SUMIFS(Kit_BOM!$F$2:$F$300,Kit_BOM!$E$2:$E$300,$A57,Kit_BOM!$A$2:$A$300,$A$7,Kit_BOM!$G$2:$G$300,"Bestücken")*$C$7+SUMIFS(Kit_BOM!$F$2:$F$300,Kit_BOM!$E$2:$E$300,$A57,Kit_BOM!$A$2:$A$300,$A$7,Kit_BOM!$G$2:$G$300,"Mechanical")*$C$7+IF($F$5="Ja",SUMIFS(Kit_BOM!$F$2:$F$300,Kit_BOM!$E$2:$E$300,$A57,Kit_BOM!$A$2:$A$300,$A$7,Kit_BOM!$G$2:$G$300,"Optional")*$C$7,0)+IF($F$6="Ja",SUMIFS(Kit_BOM!$F$2:$F$300,Kit_BOM!$E$2:$E$300,$A57,Kit_BOM!$A$2:$A$300,$A$7,Kit_BOM!$G$2:$G$300,"DNP")*$C$7,0)+SUMIFS(Kit_BOM!$F$2:$F$300,Kit_BOM!$E$2:$E$300,$A57,Kit_BOM!$A$2:$A$300,$A$8,Kit_BOM!$G$2:$G$300,"Bestücken")*$C$8+SUMIFS(Kit_BOM!$F$2:$F$300,Kit_BOM!$E$2:$E$300,$A57,Kit_BOM!$A$2:$A$300,$A$8,Kit_BOM!$G$2:$G$300,"Mechanical")*$C$8+IF($F$5="Ja",SUMIFS(Kit_BOM!$F$2:$F$300,Kit_BOM!$E$2:$E$300,$A57,Kit_BOM!$A$2:$A$300,$A$8,Kit_BOM!$G$2:$G$300,"Optional")*$C$8,0)+IF($F$6="Ja",SUMIFS(Kit_BOM!$F$2:$F$300,Kit_BOM!$E$2:$E$300,$A57,Kit_BOM!$A$2:$A$300,$A$8,Kit_BOM!$G$2:$G$300,"DNP")*$C$8,0)+SUMIFS(Kit_BOM!$F$2:$F$300,Kit_BOM!$E$2:$E$300,$A57,Kit_BOM!$A$2:$A$300,$A$9,Kit_BOM!$G$2:$G$300,"Bestücken")*$C$9+SUMIFS(Kit_BOM!$F$2:$F$300,Kit_BOM!$E$2:$E$300,$A57,Kit_BOM!$A$2:$A$300,$A$9,Kit_BOM!$G$2:$G$300,"Mechanical")*$C$9+IF($F$5="Ja",SUMIFS(Kit_BOM!$F$2:$F$300,Kit_BOM!$E$2:$E$300,$A57,Kit_BOM!$A$2:$A$300,$A$9,Kit_BOM!$G$2:$G$300,"Optional")*$C$9,0)+IF($F$6="Ja",SUMIFS(Kit_BOM!$F$2:$F$300,Kit_BOM!$E$2:$E$300,$A57,Kit_BOM!$A$2:$A$300,$A$9,Kit_BOM!$G$2:$G$300,"DNP")*$C$9,0)+SUMIFS(Kit_BOM!$F$2:$F$300,Kit_BOM!$E$2:$E$300,$A57,Kit_BOM!$A$2:$A$300,$A$10,Kit_BOM!$G$2:$G$300,"Bestücken")*$C$10+SUMIFS(Kit_BOM!$F$2:$F$300,Kit_BOM!$E$2:$E$300,$A57,Kit_BOM!$A$2:$A$300,$A$10,Kit_BOM!$G$2:$G$300,"Mechanical")*$C$10+IF($F$5="Ja",SUMIFS(Kit_BOM!$F$2:$F$300,Kit_BOM!$E$2:$E$300,$A57,Kit_BOM!$A$2:$A$300,$A$10,Kit_BOM!$G$2:$G$300,"Optional")*$C$10,0)+IF($F$6="Ja",SUMIFS(Kit_BOM!$F$2:$F$300,Kit_BOM!$E$2:$E$300,$A57,Kit_BOM!$A$2:$A$300,$A$10,Kit_BOM!$G$2:$G$300,"DNP")*$C$10,0)+SUMIFS(Kit_BOM!$F$2:$F$300,Kit_BOM!$E$2:$E$300,$A57,Kit_BOM!$A$2:$A$300,$A$11,Kit_BOM!$G$2:$G$300,"Bestücken")*$C$11+SUMIFS(Kit_BOM!$F$2:$F$300,Kit_BOM!$E$2:$E$300,$A57,Kit_BOM!$A$2:$A$300,$A$11,Kit_BOM!$G$2:$G$300,"Mechanical")*$C$11+IF($F$5="Ja",SUMIFS(Kit_BOM!$F$2:$F$300,Kit_BOM!$E$2:$E$300,$A57,Kit_BOM!$A$2:$A$300,$A$11,Kit_BOM!$G$2:$G$300,"Optional")*$C$11,0)+IF($F$6="Ja",SUMIFS(Kit_BOM!$F$2:$F$300,Kit_BOM!$E$2:$E$300,$A57,Kit_BOM!$A$2:$A$300,$A$11,Kit_BOM!$G$2:$G$300,"DNP")*$C$11,0)+SUMIFS(Kit_BOM!$F$2:$F$300,Kit_BOM!$E$2:$E$300,$A57,Kit_BOM!$A$2:$A$300,$A$12,Kit_BOM!$G$2:$G$300,"Bestücken")*$C$12+SUMIFS(Kit_BOM!$F$2:$F$300,Kit_BOM!$E$2:$E$300,$A57,Kit_BOM!$A$2:$A$300,$A$12,Kit_BOM!$G$2:$G$300,"Mechanical")*$C$12+IF($F$5="Ja",SUMIFS(Kit_BOM!$F$2:$F$300,Kit_BOM!$E$2:$E$300,$A57,Kit_BOM!$A$2:$A$300,$A$12,Kit_BOM!$G$2:$G$300,"Optional")*$C$12,0)+IF($F$6="Ja",SUMIFS(Kit_BOM!$F$2:$F$300,Kit_BOM!$E$2:$E$300,$A57,Kit_BOM!$A$2:$A$300,$A$12,Kit_BOM!$G$2:$G$300,"DNP")*$C$12,0)+SUMIFS(Kit_BOM!$F$2:$F$300,Kit_BOM!$E$2:$E$300,$A57,Kit_BOM!$A$2:$A$300,$H$5,Kit_BOM!$G$2:$G$300,"Bestücken")*$J$5+SUMIFS(Kit_BOM!$F$2:$F$300,Kit_BOM!$E$2:$E$300,$A57,Kit_BOM!$A$2:$A$300,$H$5,Kit_BOM!$G$2:$G$300,"Mechanical")*$J$5+IF($F$5="Ja",SUMIFS(Kit_BOM!$F$2:$F$300,Kit_BOM!$E$2:$E$300,$A57,Kit_BOM!$A$2:$A$300,$H$5,Kit_BOM!$G$2:$G$300,"Optional")*$J$5,0)+IF($F$6="Ja",SUMIFS(Kit_BOM!$F$2:$F$300,Kit_BOM!$E$2:$E$300,$A57,Kit_BOM!$A$2:$A$300,$H$5,Kit_BOM!$G$2:$G$300,"DNP")*$J$5,0)+SUMIFS(Kit_BOM!$F$2:$F$300,Kit_BOM!$E$2:$E$300,$A57,Kit_BOM!$A$2:$A$300,$H$6,Kit_BOM!$G$2:$G$300,"Bestücken")*$J$6+SUMIFS(Kit_BOM!$F$2:$F$300,Kit_BOM!$E$2:$E$300,$A57,Kit_BOM!$A$2:$A$300,$H$6,Kit_BOM!$G$2:$G$300,"Mechanical")*$J$6+IF($F$5="Ja",SUMIFS(Kit_BOM!$F$2:$F$300,Kit_BOM!$E$2:$E$300,$A57,Kit_BOM!$A$2:$A$300,$H$6,Kit_BOM!$G$2:$G$300,"Optional")*$J$6,0)+IF($F$6="Ja",SUMIFS(Kit_BOM!$F$2:$F$300,Kit_BOM!$E$2:$E$300,$A57,Kit_BOM!$A$2:$A$300,$H$6,Kit_BOM!$G$2:$G$300,"DNP")*$J$6,0)</f>
        <v>2</v>
      </c>
      <c r="F57" s="27" t="str">
        <f>IFERROR(IF(_xlfn.XLOOKUP($A57&amp;"|Ja",Part_Suppliers!$L$2:$L$300,Part_Suppliers!$G$2:$G$300,"",0)=0,"",_xlfn.XLOOKUP($A57&amp;"|Ja",Part_Suppliers!$L$2:$L$300,Part_Suppliers!$G$2:$G$300,"",0)),"")</f>
        <v/>
      </c>
      <c r="G57" s="27">
        <f t="shared" si="13"/>
        <v>2</v>
      </c>
      <c r="H57" s="46">
        <f>IFERROR(IF(_xlfn.XLOOKUP($A57&amp;"|Ja",Part_Suppliers!$L$2:$L$300,Part_Suppliers!$E$2:$E$300,"",0)=0,"",_xlfn.XLOOKUP($A57&amp;"|Ja",Part_Suppliers!$L$2:$L$300,Part_Suppliers!$E$2:$E$300,"",0)),"")</f>
        <v>0.18</v>
      </c>
      <c r="I57" s="46">
        <f t="shared" si="14"/>
        <v>0.36</v>
      </c>
      <c r="J57" t="str">
        <f t="shared" si="12"/>
        <v>Gedeckt</v>
      </c>
      <c r="K57" t="str">
        <f>IFERROR(IF(_xlfn.XLOOKUP($A57&amp;"|Ja",Part_Suppliers!$L$2:$L$300,Part_Suppliers!$D$2:$D$300,"",0)=0,"",_xlfn.XLOOKUP($A57&amp;"|Ja",Part_Suppliers!$L$2:$L$300,Part_Suppliers!$D$2:$D$300,"",0)),"")</f>
        <v>https://www.reichelt.de/de/de/shop/produkt/smd-widerstand_1206_1_0_mohm_250_mw_1_-238109</v>
      </c>
      <c r="L57" s="47">
        <f>IFERROR(VLOOKUP($A57,Stock!$A$5:$K$200,10,FALSE()),0)</f>
        <v>20</v>
      </c>
      <c r="M57" s="47">
        <f>IFERROR(VLOOKUP($A57,Stock!$A$5:$K$200,11,FALSE()),0)</f>
        <v>0</v>
      </c>
      <c r="N57" s="47">
        <f t="shared" si="15"/>
        <v>18</v>
      </c>
      <c r="O57" s="47">
        <f t="shared" si="16"/>
        <v>0</v>
      </c>
      <c r="P57" s="48">
        <v>0</v>
      </c>
      <c r="Q57" s="49">
        <f t="shared" si="17"/>
        <v>0</v>
      </c>
      <c r="R57" s="82">
        <f>SUMIFS(Part_Alternatives!$H$2:$H$200,Part_Alternatives!$A$2:$A$200,$A57,Part_Alternatives!$E$2:$E$200,"Ja")</f>
        <v>0</v>
      </c>
      <c r="S57" s="82">
        <f>SUMIFS(Part_Alternatives!$I$2:$I$200,Part_Alternatives!$A$2:$A$200,$A57,Part_Alternatives!$E$2:$E$200,"Ja")</f>
        <v>0</v>
      </c>
      <c r="T57" s="80" t="str">
        <f>IFERROR(VLOOKUP($A57,Part_Alternatives!$A$2:$K$200,10,FALSE()),"")</f>
        <v/>
      </c>
    </row>
    <row r="58" spans="1:20" ht="14" hidden="1" customHeight="1" x14ac:dyDescent="0.2">
      <c r="A58" t="s">
        <v>163</v>
      </c>
      <c r="B58" s="45" t="str">
        <f>IFERROR(VLOOKUP($A58,Parts!$A$2:$M$191,3,FALSE()),"")</f>
        <v>Widerstand 71,5 kΩ SMD</v>
      </c>
      <c r="C58" t="str">
        <f>IFERROR(IF(_xlfn.XLOOKUP($A58&amp;"|Ja",Part_Suppliers!$L$2:$L$300,Part_Suppliers!$B$2:$B$300,"",0)=0,"",_xlfn.XLOOKUP($A58&amp;"|Ja",Part_Suppliers!$L$2:$L$300,Part_Suppliers!$B$2:$B$300,"",0)),"")</f>
        <v>DigiKey</v>
      </c>
      <c r="D58" t="str">
        <f>IFERROR(IF(_xlfn.XLOOKUP($A58&amp;"|Ja",Part_Suppliers!$L$2:$L$300,Part_Suppliers!$C$2:$C$300,"",0)=0,"",_xlfn.XLOOKUP($A58&amp;"|Ja",Part_Suppliers!$L$2:$L$300,Part_Suppliers!$C$2:$C$300,"",0)),"")</f>
        <v>311-71.5KFRCT-ND</v>
      </c>
      <c r="E58" s="27">
        <f>SUMIFS(Kit_BOM!$F$2:$F$300,Kit_BOM!$E$2:$E$300,$A58,Kit_BOM!$A$2:$A$300,$A$5,Kit_BOM!$G$2:$G$300,"Bestücken")*$C$5+SUMIFS(Kit_BOM!$F$2:$F$300,Kit_BOM!$E$2:$E$300,$A58,Kit_BOM!$A$2:$A$300,$A$5,Kit_BOM!$G$2:$G$300,"Mechanical")*$C$5+IF($F$5="Ja",SUMIFS(Kit_BOM!$F$2:$F$300,Kit_BOM!$E$2:$E$300,$A58,Kit_BOM!$A$2:$A$300,$A$5,Kit_BOM!$G$2:$G$300,"Optional")*$C$5,0)+IF($F$6="Ja",SUMIFS(Kit_BOM!$F$2:$F$300,Kit_BOM!$E$2:$E$300,$A58,Kit_BOM!$A$2:$A$300,$A$5,Kit_BOM!$G$2:$G$300,"DNP")*$C$5,0)+SUMIFS(Kit_BOM!$F$2:$F$300,Kit_BOM!$E$2:$E$300,$A58,Kit_BOM!$A$2:$A$300,$A$6,Kit_BOM!$G$2:$G$300,"Bestücken")*$C$6+SUMIFS(Kit_BOM!$F$2:$F$300,Kit_BOM!$E$2:$E$300,$A58,Kit_BOM!$A$2:$A$300,$A$6,Kit_BOM!$G$2:$G$300,"Mechanical")*$C$6+IF($F$5="Ja",SUMIFS(Kit_BOM!$F$2:$F$300,Kit_BOM!$E$2:$E$300,$A58,Kit_BOM!$A$2:$A$300,$A$6,Kit_BOM!$G$2:$G$300,"Optional")*$C$6,0)+IF($F$6="Ja",SUMIFS(Kit_BOM!$F$2:$F$300,Kit_BOM!$E$2:$E$300,$A58,Kit_BOM!$A$2:$A$300,$A$6,Kit_BOM!$G$2:$G$300,"DNP")*$C$6,0)+SUMIFS(Kit_BOM!$F$2:$F$300,Kit_BOM!$E$2:$E$300,$A58,Kit_BOM!$A$2:$A$300,$A$7,Kit_BOM!$G$2:$G$300,"Bestücken")*$C$7+SUMIFS(Kit_BOM!$F$2:$F$300,Kit_BOM!$E$2:$E$300,$A58,Kit_BOM!$A$2:$A$300,$A$7,Kit_BOM!$G$2:$G$300,"Mechanical")*$C$7+IF($F$5="Ja",SUMIFS(Kit_BOM!$F$2:$F$300,Kit_BOM!$E$2:$E$300,$A58,Kit_BOM!$A$2:$A$300,$A$7,Kit_BOM!$G$2:$G$300,"Optional")*$C$7,0)+IF($F$6="Ja",SUMIFS(Kit_BOM!$F$2:$F$300,Kit_BOM!$E$2:$E$300,$A58,Kit_BOM!$A$2:$A$300,$A$7,Kit_BOM!$G$2:$G$300,"DNP")*$C$7,0)+SUMIFS(Kit_BOM!$F$2:$F$300,Kit_BOM!$E$2:$E$300,$A58,Kit_BOM!$A$2:$A$300,$A$8,Kit_BOM!$G$2:$G$300,"Bestücken")*$C$8+SUMIFS(Kit_BOM!$F$2:$F$300,Kit_BOM!$E$2:$E$300,$A58,Kit_BOM!$A$2:$A$300,$A$8,Kit_BOM!$G$2:$G$300,"Mechanical")*$C$8+IF($F$5="Ja",SUMIFS(Kit_BOM!$F$2:$F$300,Kit_BOM!$E$2:$E$300,$A58,Kit_BOM!$A$2:$A$300,$A$8,Kit_BOM!$G$2:$G$300,"Optional")*$C$8,0)+IF($F$6="Ja",SUMIFS(Kit_BOM!$F$2:$F$300,Kit_BOM!$E$2:$E$300,$A58,Kit_BOM!$A$2:$A$300,$A$8,Kit_BOM!$G$2:$G$300,"DNP")*$C$8,0)+SUMIFS(Kit_BOM!$F$2:$F$300,Kit_BOM!$E$2:$E$300,$A58,Kit_BOM!$A$2:$A$300,$A$9,Kit_BOM!$G$2:$G$300,"Bestücken")*$C$9+SUMIFS(Kit_BOM!$F$2:$F$300,Kit_BOM!$E$2:$E$300,$A58,Kit_BOM!$A$2:$A$300,$A$9,Kit_BOM!$G$2:$G$300,"Mechanical")*$C$9+IF($F$5="Ja",SUMIFS(Kit_BOM!$F$2:$F$300,Kit_BOM!$E$2:$E$300,$A58,Kit_BOM!$A$2:$A$300,$A$9,Kit_BOM!$G$2:$G$300,"Optional")*$C$9,0)+IF($F$6="Ja",SUMIFS(Kit_BOM!$F$2:$F$300,Kit_BOM!$E$2:$E$300,$A58,Kit_BOM!$A$2:$A$300,$A$9,Kit_BOM!$G$2:$G$300,"DNP")*$C$9,0)+SUMIFS(Kit_BOM!$F$2:$F$300,Kit_BOM!$E$2:$E$300,$A58,Kit_BOM!$A$2:$A$300,$A$10,Kit_BOM!$G$2:$G$300,"Bestücken")*$C$10+SUMIFS(Kit_BOM!$F$2:$F$300,Kit_BOM!$E$2:$E$300,$A58,Kit_BOM!$A$2:$A$300,$A$10,Kit_BOM!$G$2:$G$300,"Mechanical")*$C$10+IF($F$5="Ja",SUMIFS(Kit_BOM!$F$2:$F$300,Kit_BOM!$E$2:$E$300,$A58,Kit_BOM!$A$2:$A$300,$A$10,Kit_BOM!$G$2:$G$300,"Optional")*$C$10,0)+IF($F$6="Ja",SUMIFS(Kit_BOM!$F$2:$F$300,Kit_BOM!$E$2:$E$300,$A58,Kit_BOM!$A$2:$A$300,$A$10,Kit_BOM!$G$2:$G$300,"DNP")*$C$10,0)+SUMIFS(Kit_BOM!$F$2:$F$300,Kit_BOM!$E$2:$E$300,$A58,Kit_BOM!$A$2:$A$300,$A$11,Kit_BOM!$G$2:$G$300,"Bestücken")*$C$11+SUMIFS(Kit_BOM!$F$2:$F$300,Kit_BOM!$E$2:$E$300,$A58,Kit_BOM!$A$2:$A$300,$A$11,Kit_BOM!$G$2:$G$300,"Mechanical")*$C$11+IF($F$5="Ja",SUMIFS(Kit_BOM!$F$2:$F$300,Kit_BOM!$E$2:$E$300,$A58,Kit_BOM!$A$2:$A$300,$A$11,Kit_BOM!$G$2:$G$300,"Optional")*$C$11,0)+IF($F$6="Ja",SUMIFS(Kit_BOM!$F$2:$F$300,Kit_BOM!$E$2:$E$300,$A58,Kit_BOM!$A$2:$A$300,$A$11,Kit_BOM!$G$2:$G$300,"DNP")*$C$11,0)+SUMIFS(Kit_BOM!$F$2:$F$300,Kit_BOM!$E$2:$E$300,$A58,Kit_BOM!$A$2:$A$300,$A$12,Kit_BOM!$G$2:$G$300,"Bestücken")*$C$12+SUMIFS(Kit_BOM!$F$2:$F$300,Kit_BOM!$E$2:$E$300,$A58,Kit_BOM!$A$2:$A$300,$A$12,Kit_BOM!$G$2:$G$300,"Mechanical")*$C$12+IF($F$5="Ja",SUMIFS(Kit_BOM!$F$2:$F$300,Kit_BOM!$E$2:$E$300,$A58,Kit_BOM!$A$2:$A$300,$A$12,Kit_BOM!$G$2:$G$300,"Optional")*$C$12,0)+IF($F$6="Ja",SUMIFS(Kit_BOM!$F$2:$F$300,Kit_BOM!$E$2:$E$300,$A58,Kit_BOM!$A$2:$A$300,$A$12,Kit_BOM!$G$2:$G$300,"DNP")*$C$12,0)+SUMIFS(Kit_BOM!$F$2:$F$300,Kit_BOM!$E$2:$E$300,$A58,Kit_BOM!$A$2:$A$300,$H$5,Kit_BOM!$G$2:$G$300,"Bestücken")*$J$5+SUMIFS(Kit_BOM!$F$2:$F$300,Kit_BOM!$E$2:$E$300,$A58,Kit_BOM!$A$2:$A$300,$H$5,Kit_BOM!$G$2:$G$300,"Mechanical")*$J$5+IF($F$5="Ja",SUMIFS(Kit_BOM!$F$2:$F$300,Kit_BOM!$E$2:$E$300,$A58,Kit_BOM!$A$2:$A$300,$H$5,Kit_BOM!$G$2:$G$300,"Optional")*$J$5,0)+IF($F$6="Ja",SUMIFS(Kit_BOM!$F$2:$F$300,Kit_BOM!$E$2:$E$300,$A58,Kit_BOM!$A$2:$A$300,$H$5,Kit_BOM!$G$2:$G$300,"DNP")*$J$5,0)+SUMIFS(Kit_BOM!$F$2:$F$300,Kit_BOM!$E$2:$E$300,$A58,Kit_BOM!$A$2:$A$300,$H$6,Kit_BOM!$G$2:$G$300,"Bestücken")*$J$6+SUMIFS(Kit_BOM!$F$2:$F$300,Kit_BOM!$E$2:$E$300,$A58,Kit_BOM!$A$2:$A$300,$H$6,Kit_BOM!$G$2:$G$300,"Mechanical")*$J$6+IF($F$5="Ja",SUMIFS(Kit_BOM!$F$2:$F$300,Kit_BOM!$E$2:$E$300,$A58,Kit_BOM!$A$2:$A$300,$H$6,Kit_BOM!$G$2:$G$300,"Optional")*$J$6,0)+IF($F$6="Ja",SUMIFS(Kit_BOM!$F$2:$F$300,Kit_BOM!$E$2:$E$300,$A58,Kit_BOM!$A$2:$A$300,$H$6,Kit_BOM!$G$2:$G$300,"DNP")*$J$6,0)</f>
        <v>2</v>
      </c>
      <c r="F58" s="27" t="str">
        <f>IFERROR(IF(_xlfn.XLOOKUP($A58&amp;"|Ja",Part_Suppliers!$L$2:$L$300,Part_Suppliers!$G$2:$G$300,"",0)=0,"",_xlfn.XLOOKUP($A58&amp;"|Ja",Part_Suppliers!$L$2:$L$300,Part_Suppliers!$G$2:$G$300,"",0)),"")</f>
        <v/>
      </c>
      <c r="G58" s="27">
        <f t="shared" si="13"/>
        <v>2</v>
      </c>
      <c r="H58" s="46">
        <f>IFERROR(IF(_xlfn.XLOOKUP($A58&amp;"|Ja",Part_Suppliers!$L$2:$L$300,Part_Suppliers!$E$2:$E$300,"",0)=0,"",_xlfn.XLOOKUP($A58&amp;"|Ja",Part_Suppliers!$L$2:$L$300,Part_Suppliers!$E$2:$E$300,"",0)),"")</f>
        <v>0.09</v>
      </c>
      <c r="I58" s="46">
        <f t="shared" si="14"/>
        <v>0.18</v>
      </c>
      <c r="J58" t="str">
        <f t="shared" si="12"/>
        <v>Gedeckt</v>
      </c>
      <c r="K58" t="str">
        <f>IFERROR(IF(_xlfn.XLOOKUP($A58&amp;"|Ja",Part_Suppliers!$L$2:$L$300,Part_Suppliers!$D$2:$D$300,"",0)=0,"",_xlfn.XLOOKUP($A58&amp;"|Ja",Part_Suppliers!$L$2:$L$300,Part_Suppliers!$D$2:$D$300,"",0)),"")</f>
        <v>https://www.digikey.com/en/products/detail/yageo/RC1206FR-0771K5L/729088</v>
      </c>
      <c r="L58" s="47">
        <f>IFERROR(VLOOKUP($A58,Stock!$A$5:$K$200,10,FALSE()),0)</f>
        <v>2</v>
      </c>
      <c r="M58" s="47">
        <f>IFERROR(VLOOKUP($A58,Stock!$A$5:$K$200,11,FALSE()),0)</f>
        <v>0</v>
      </c>
      <c r="N58" s="47">
        <f t="shared" si="15"/>
        <v>0</v>
      </c>
      <c r="O58" s="47">
        <f t="shared" si="16"/>
        <v>0</v>
      </c>
      <c r="P58" s="48">
        <v>0</v>
      </c>
      <c r="Q58" s="49">
        <f t="shared" si="17"/>
        <v>0</v>
      </c>
      <c r="R58" s="82">
        <f>SUMIFS(Part_Alternatives!$H$2:$H$200,Part_Alternatives!$A$2:$A$200,$A58,Part_Alternatives!$E$2:$E$200,"Ja")</f>
        <v>0</v>
      </c>
      <c r="S58" s="82">
        <f>SUMIFS(Part_Alternatives!$I$2:$I$200,Part_Alternatives!$A$2:$A$200,$A58,Part_Alternatives!$E$2:$E$200,"Ja")</f>
        <v>0</v>
      </c>
      <c r="T58" s="80" t="str">
        <f>IFERROR(VLOOKUP($A58,Part_Alternatives!$A$2:$K$200,10,FALSE()),"")</f>
        <v/>
      </c>
    </row>
    <row r="59" spans="1:20" ht="14" hidden="1" customHeight="1" x14ac:dyDescent="0.2">
      <c r="A59" t="s">
        <v>164</v>
      </c>
      <c r="B59" s="45" t="str">
        <f>IFERROR(VLOOKUP($A59,Parts!$A$2:$M$191,3,FALSE()),"")</f>
        <v>Widerstand 220 kΩ SMD</v>
      </c>
      <c r="C59" t="str">
        <f>IFERROR(IF(_xlfn.XLOOKUP($A59&amp;"|Ja",Part_Suppliers!$L$2:$L$300,Part_Suppliers!$B$2:$B$300,"",0)=0,"",_xlfn.XLOOKUP($A59&amp;"|Ja",Part_Suppliers!$L$2:$L$300,Part_Suppliers!$B$2:$B$300,"",0)),"")</f>
        <v>DigiKey</v>
      </c>
      <c r="D59" t="str">
        <f>IFERROR(IF(_xlfn.XLOOKUP($A59&amp;"|Ja",Part_Suppliers!$L$2:$L$300,Part_Suppliers!$C$2:$C$300,"",0)=0,"",_xlfn.XLOOKUP($A59&amp;"|Ja",Part_Suppliers!$L$2:$L$300,Part_Suppliers!$C$2:$C$300,"",0)),"")</f>
        <v>541-RCV1206220KFKEACT-ND</v>
      </c>
      <c r="E59" s="27">
        <f>SUMIFS(Kit_BOM!$F$2:$F$300,Kit_BOM!$E$2:$E$300,$A59,Kit_BOM!$A$2:$A$300,$A$5,Kit_BOM!$G$2:$G$300,"Bestücken")*$C$5+SUMIFS(Kit_BOM!$F$2:$F$300,Kit_BOM!$E$2:$E$300,$A59,Kit_BOM!$A$2:$A$300,$A$5,Kit_BOM!$G$2:$G$300,"Mechanical")*$C$5+IF($F$5="Ja",SUMIFS(Kit_BOM!$F$2:$F$300,Kit_BOM!$E$2:$E$300,$A59,Kit_BOM!$A$2:$A$300,$A$5,Kit_BOM!$G$2:$G$300,"Optional")*$C$5,0)+IF($F$6="Ja",SUMIFS(Kit_BOM!$F$2:$F$300,Kit_BOM!$E$2:$E$300,$A59,Kit_BOM!$A$2:$A$300,$A$5,Kit_BOM!$G$2:$G$300,"DNP")*$C$5,0)+SUMIFS(Kit_BOM!$F$2:$F$300,Kit_BOM!$E$2:$E$300,$A59,Kit_BOM!$A$2:$A$300,$A$6,Kit_BOM!$G$2:$G$300,"Bestücken")*$C$6+SUMIFS(Kit_BOM!$F$2:$F$300,Kit_BOM!$E$2:$E$300,$A59,Kit_BOM!$A$2:$A$300,$A$6,Kit_BOM!$G$2:$G$300,"Mechanical")*$C$6+IF($F$5="Ja",SUMIFS(Kit_BOM!$F$2:$F$300,Kit_BOM!$E$2:$E$300,$A59,Kit_BOM!$A$2:$A$300,$A$6,Kit_BOM!$G$2:$G$300,"Optional")*$C$6,0)+IF($F$6="Ja",SUMIFS(Kit_BOM!$F$2:$F$300,Kit_BOM!$E$2:$E$300,$A59,Kit_BOM!$A$2:$A$300,$A$6,Kit_BOM!$G$2:$G$300,"DNP")*$C$6,0)+SUMIFS(Kit_BOM!$F$2:$F$300,Kit_BOM!$E$2:$E$300,$A59,Kit_BOM!$A$2:$A$300,$A$7,Kit_BOM!$G$2:$G$300,"Bestücken")*$C$7+SUMIFS(Kit_BOM!$F$2:$F$300,Kit_BOM!$E$2:$E$300,$A59,Kit_BOM!$A$2:$A$300,$A$7,Kit_BOM!$G$2:$G$300,"Mechanical")*$C$7+IF($F$5="Ja",SUMIFS(Kit_BOM!$F$2:$F$300,Kit_BOM!$E$2:$E$300,$A59,Kit_BOM!$A$2:$A$300,$A$7,Kit_BOM!$G$2:$G$300,"Optional")*$C$7,0)+IF($F$6="Ja",SUMIFS(Kit_BOM!$F$2:$F$300,Kit_BOM!$E$2:$E$300,$A59,Kit_BOM!$A$2:$A$300,$A$7,Kit_BOM!$G$2:$G$300,"DNP")*$C$7,0)+SUMIFS(Kit_BOM!$F$2:$F$300,Kit_BOM!$E$2:$E$300,$A59,Kit_BOM!$A$2:$A$300,$A$8,Kit_BOM!$G$2:$G$300,"Bestücken")*$C$8+SUMIFS(Kit_BOM!$F$2:$F$300,Kit_BOM!$E$2:$E$300,$A59,Kit_BOM!$A$2:$A$300,$A$8,Kit_BOM!$G$2:$G$300,"Mechanical")*$C$8+IF($F$5="Ja",SUMIFS(Kit_BOM!$F$2:$F$300,Kit_BOM!$E$2:$E$300,$A59,Kit_BOM!$A$2:$A$300,$A$8,Kit_BOM!$G$2:$G$300,"Optional")*$C$8,0)+IF($F$6="Ja",SUMIFS(Kit_BOM!$F$2:$F$300,Kit_BOM!$E$2:$E$300,$A59,Kit_BOM!$A$2:$A$300,$A$8,Kit_BOM!$G$2:$G$300,"DNP")*$C$8,0)+SUMIFS(Kit_BOM!$F$2:$F$300,Kit_BOM!$E$2:$E$300,$A59,Kit_BOM!$A$2:$A$300,$A$9,Kit_BOM!$G$2:$G$300,"Bestücken")*$C$9+SUMIFS(Kit_BOM!$F$2:$F$300,Kit_BOM!$E$2:$E$300,$A59,Kit_BOM!$A$2:$A$300,$A$9,Kit_BOM!$G$2:$G$300,"Mechanical")*$C$9+IF($F$5="Ja",SUMIFS(Kit_BOM!$F$2:$F$300,Kit_BOM!$E$2:$E$300,$A59,Kit_BOM!$A$2:$A$300,$A$9,Kit_BOM!$G$2:$G$300,"Optional")*$C$9,0)+IF($F$6="Ja",SUMIFS(Kit_BOM!$F$2:$F$300,Kit_BOM!$E$2:$E$300,$A59,Kit_BOM!$A$2:$A$300,$A$9,Kit_BOM!$G$2:$G$300,"DNP")*$C$9,0)+SUMIFS(Kit_BOM!$F$2:$F$300,Kit_BOM!$E$2:$E$300,$A59,Kit_BOM!$A$2:$A$300,$A$10,Kit_BOM!$G$2:$G$300,"Bestücken")*$C$10+SUMIFS(Kit_BOM!$F$2:$F$300,Kit_BOM!$E$2:$E$300,$A59,Kit_BOM!$A$2:$A$300,$A$10,Kit_BOM!$G$2:$G$300,"Mechanical")*$C$10+IF($F$5="Ja",SUMIFS(Kit_BOM!$F$2:$F$300,Kit_BOM!$E$2:$E$300,$A59,Kit_BOM!$A$2:$A$300,$A$10,Kit_BOM!$G$2:$G$300,"Optional")*$C$10,0)+IF($F$6="Ja",SUMIFS(Kit_BOM!$F$2:$F$300,Kit_BOM!$E$2:$E$300,$A59,Kit_BOM!$A$2:$A$300,$A$10,Kit_BOM!$G$2:$G$300,"DNP")*$C$10,0)+SUMIFS(Kit_BOM!$F$2:$F$300,Kit_BOM!$E$2:$E$300,$A59,Kit_BOM!$A$2:$A$300,$A$11,Kit_BOM!$G$2:$G$300,"Bestücken")*$C$11+SUMIFS(Kit_BOM!$F$2:$F$300,Kit_BOM!$E$2:$E$300,$A59,Kit_BOM!$A$2:$A$300,$A$11,Kit_BOM!$G$2:$G$300,"Mechanical")*$C$11+IF($F$5="Ja",SUMIFS(Kit_BOM!$F$2:$F$300,Kit_BOM!$E$2:$E$300,$A59,Kit_BOM!$A$2:$A$300,$A$11,Kit_BOM!$G$2:$G$300,"Optional")*$C$11,0)+IF($F$6="Ja",SUMIFS(Kit_BOM!$F$2:$F$300,Kit_BOM!$E$2:$E$300,$A59,Kit_BOM!$A$2:$A$300,$A$11,Kit_BOM!$G$2:$G$300,"DNP")*$C$11,0)+SUMIFS(Kit_BOM!$F$2:$F$300,Kit_BOM!$E$2:$E$300,$A59,Kit_BOM!$A$2:$A$300,$A$12,Kit_BOM!$G$2:$G$300,"Bestücken")*$C$12+SUMIFS(Kit_BOM!$F$2:$F$300,Kit_BOM!$E$2:$E$300,$A59,Kit_BOM!$A$2:$A$300,$A$12,Kit_BOM!$G$2:$G$300,"Mechanical")*$C$12+IF($F$5="Ja",SUMIFS(Kit_BOM!$F$2:$F$300,Kit_BOM!$E$2:$E$300,$A59,Kit_BOM!$A$2:$A$300,$A$12,Kit_BOM!$G$2:$G$300,"Optional")*$C$12,0)+IF($F$6="Ja",SUMIFS(Kit_BOM!$F$2:$F$300,Kit_BOM!$E$2:$E$300,$A59,Kit_BOM!$A$2:$A$300,$A$12,Kit_BOM!$G$2:$G$300,"DNP")*$C$12,0)+SUMIFS(Kit_BOM!$F$2:$F$300,Kit_BOM!$E$2:$E$300,$A59,Kit_BOM!$A$2:$A$300,$H$5,Kit_BOM!$G$2:$G$300,"Bestücken")*$J$5+SUMIFS(Kit_BOM!$F$2:$F$300,Kit_BOM!$E$2:$E$300,$A59,Kit_BOM!$A$2:$A$300,$H$5,Kit_BOM!$G$2:$G$300,"Mechanical")*$J$5+IF($F$5="Ja",SUMIFS(Kit_BOM!$F$2:$F$300,Kit_BOM!$E$2:$E$300,$A59,Kit_BOM!$A$2:$A$300,$H$5,Kit_BOM!$G$2:$G$300,"Optional")*$J$5,0)+IF($F$6="Ja",SUMIFS(Kit_BOM!$F$2:$F$300,Kit_BOM!$E$2:$E$300,$A59,Kit_BOM!$A$2:$A$300,$H$5,Kit_BOM!$G$2:$G$300,"DNP")*$J$5,0)+SUMIFS(Kit_BOM!$F$2:$F$300,Kit_BOM!$E$2:$E$300,$A59,Kit_BOM!$A$2:$A$300,$H$6,Kit_BOM!$G$2:$G$300,"Bestücken")*$J$6+SUMIFS(Kit_BOM!$F$2:$F$300,Kit_BOM!$E$2:$E$300,$A59,Kit_BOM!$A$2:$A$300,$H$6,Kit_BOM!$G$2:$G$300,"Mechanical")*$J$6+IF($F$5="Ja",SUMIFS(Kit_BOM!$F$2:$F$300,Kit_BOM!$E$2:$E$300,$A59,Kit_BOM!$A$2:$A$300,$H$6,Kit_BOM!$G$2:$G$300,"Optional")*$J$6,0)+IF($F$6="Ja",SUMIFS(Kit_BOM!$F$2:$F$300,Kit_BOM!$E$2:$E$300,$A59,Kit_BOM!$A$2:$A$300,$H$6,Kit_BOM!$G$2:$G$300,"DNP")*$J$6,0)</f>
        <v>2</v>
      </c>
      <c r="F59" s="27" t="str">
        <f>IFERROR(IF(_xlfn.XLOOKUP($A59&amp;"|Ja",Part_Suppliers!$L$2:$L$300,Part_Suppliers!$G$2:$G$300,"",0)=0,"",_xlfn.XLOOKUP($A59&amp;"|Ja",Part_Suppliers!$L$2:$L$300,Part_Suppliers!$G$2:$G$300,"",0)),"")</f>
        <v/>
      </c>
      <c r="G59" s="27">
        <f t="shared" si="13"/>
        <v>2</v>
      </c>
      <c r="H59" s="46">
        <f>IFERROR(IF(_xlfn.XLOOKUP($A59&amp;"|Ja",Part_Suppliers!$L$2:$L$300,Part_Suppliers!$E$2:$E$300,"",0)=0,"",_xlfn.XLOOKUP($A59&amp;"|Ja",Part_Suppliers!$L$2:$L$300,Part_Suppliers!$E$2:$E$300,"",0)),"")</f>
        <v>7.0000000000000007E-2</v>
      </c>
      <c r="I59" s="46">
        <f t="shared" si="14"/>
        <v>0.14000000000000001</v>
      </c>
      <c r="J59" t="str">
        <f t="shared" si="12"/>
        <v>Gedeckt</v>
      </c>
      <c r="K59" t="str">
        <f>IFERROR(IF(_xlfn.XLOOKUP($A59&amp;"|Ja",Part_Suppliers!$L$2:$L$300,Part_Suppliers!$D$2:$D$300,"",0)=0,"",_xlfn.XLOOKUP($A59&amp;"|Ja",Part_Suppliers!$L$2:$L$300,Part_Suppliers!$D$2:$D$300,"",0)),"")</f>
        <v>https://www.digikey.de/de/products/detail/vishay-dale/RCV1206220KFKEA/7355256</v>
      </c>
      <c r="L59" s="47">
        <f>IFERROR(VLOOKUP($A59,Stock!$A$5:$K$200,10,FALSE()),0)</f>
        <v>2</v>
      </c>
      <c r="M59" s="47">
        <f>IFERROR(VLOOKUP($A59,Stock!$A$5:$K$200,11,FALSE()),0)</f>
        <v>0</v>
      </c>
      <c r="N59" s="47">
        <f t="shared" si="15"/>
        <v>0</v>
      </c>
      <c r="O59" s="47">
        <f t="shared" si="16"/>
        <v>0</v>
      </c>
      <c r="P59" s="48">
        <v>0</v>
      </c>
      <c r="Q59" s="49">
        <f t="shared" si="17"/>
        <v>0</v>
      </c>
      <c r="R59" s="82">
        <f>SUMIFS(Part_Alternatives!$H$2:$H$200,Part_Alternatives!$A$2:$A$200,$A59,Part_Alternatives!$E$2:$E$200,"Ja")</f>
        <v>0</v>
      </c>
      <c r="S59" s="82">
        <f>SUMIFS(Part_Alternatives!$I$2:$I$200,Part_Alternatives!$A$2:$A$200,$A59,Part_Alternatives!$E$2:$E$200,"Ja")</f>
        <v>0</v>
      </c>
      <c r="T59" s="80" t="str">
        <f>IFERROR(VLOOKUP($A59,Part_Alternatives!$A$2:$K$200,10,FALSE()),"")</f>
        <v/>
      </c>
    </row>
    <row r="60" spans="1:20" ht="14" hidden="1" customHeight="1" x14ac:dyDescent="0.2">
      <c r="A60" t="s">
        <v>201</v>
      </c>
      <c r="B60" s="45" t="str">
        <f>IFERROR(VLOOKUP($A60,Parts!$A$2:$M$191,3,FALSE()),"")</f>
        <v>Stiftleiste 1x4, 2,54 mm, vertikal</v>
      </c>
      <c r="C60" t="str">
        <f>IFERROR(IF(_xlfn.XLOOKUP($A60&amp;"|Ja",Part_Suppliers!$L$2:$L$300,Part_Suppliers!$B$2:$B$300,"",0)=0,"",_xlfn.XLOOKUP($A60&amp;"|Ja",Part_Suppliers!$L$2:$L$300,Part_Suppliers!$B$2:$B$300,"",0)),"")</f>
        <v>Reichelt</v>
      </c>
      <c r="D60" t="str">
        <f>IFERROR(IF(_xlfn.XLOOKUP($A60&amp;"|Ja",Part_Suppliers!$L$2:$L$300,Part_Suppliers!$C$2:$C$300,"",0)=0,"",_xlfn.XLOOKUP($A60&amp;"|Ja",Part_Suppliers!$L$2:$L$300,Part_Suppliers!$C$2:$C$300,"",0)),"")</f>
        <v>ECON SL4G1</v>
      </c>
      <c r="E60" s="27">
        <f>SUMIFS(Kit_BOM!$F$2:$F$300,Kit_BOM!$E$2:$E$300,$A60,Kit_BOM!$A$2:$A$300,$A$5,Kit_BOM!$G$2:$G$300,"Bestücken")*$C$5+SUMIFS(Kit_BOM!$F$2:$F$300,Kit_BOM!$E$2:$E$300,$A60,Kit_BOM!$A$2:$A$300,$A$5,Kit_BOM!$G$2:$G$300,"Mechanical")*$C$5+IF($F$5="Ja",SUMIFS(Kit_BOM!$F$2:$F$300,Kit_BOM!$E$2:$E$300,$A60,Kit_BOM!$A$2:$A$300,$A$5,Kit_BOM!$G$2:$G$300,"Optional")*$C$5,0)+IF($F$6="Ja",SUMIFS(Kit_BOM!$F$2:$F$300,Kit_BOM!$E$2:$E$300,$A60,Kit_BOM!$A$2:$A$300,$A$5,Kit_BOM!$G$2:$G$300,"DNP")*$C$5,0)+SUMIFS(Kit_BOM!$F$2:$F$300,Kit_BOM!$E$2:$E$300,$A60,Kit_BOM!$A$2:$A$300,$A$6,Kit_BOM!$G$2:$G$300,"Bestücken")*$C$6+SUMIFS(Kit_BOM!$F$2:$F$300,Kit_BOM!$E$2:$E$300,$A60,Kit_BOM!$A$2:$A$300,$A$6,Kit_BOM!$G$2:$G$300,"Mechanical")*$C$6+IF($F$5="Ja",SUMIFS(Kit_BOM!$F$2:$F$300,Kit_BOM!$E$2:$E$300,$A60,Kit_BOM!$A$2:$A$300,$A$6,Kit_BOM!$G$2:$G$300,"Optional")*$C$6,0)+IF($F$6="Ja",SUMIFS(Kit_BOM!$F$2:$F$300,Kit_BOM!$E$2:$E$300,$A60,Kit_BOM!$A$2:$A$300,$A$6,Kit_BOM!$G$2:$G$300,"DNP")*$C$6,0)+SUMIFS(Kit_BOM!$F$2:$F$300,Kit_BOM!$E$2:$E$300,$A60,Kit_BOM!$A$2:$A$300,$A$7,Kit_BOM!$G$2:$G$300,"Bestücken")*$C$7+SUMIFS(Kit_BOM!$F$2:$F$300,Kit_BOM!$E$2:$E$300,$A60,Kit_BOM!$A$2:$A$300,$A$7,Kit_BOM!$G$2:$G$300,"Mechanical")*$C$7+IF($F$5="Ja",SUMIFS(Kit_BOM!$F$2:$F$300,Kit_BOM!$E$2:$E$300,$A60,Kit_BOM!$A$2:$A$300,$A$7,Kit_BOM!$G$2:$G$300,"Optional")*$C$7,0)+IF($F$6="Ja",SUMIFS(Kit_BOM!$F$2:$F$300,Kit_BOM!$E$2:$E$300,$A60,Kit_BOM!$A$2:$A$300,$A$7,Kit_BOM!$G$2:$G$300,"DNP")*$C$7,0)+SUMIFS(Kit_BOM!$F$2:$F$300,Kit_BOM!$E$2:$E$300,$A60,Kit_BOM!$A$2:$A$300,$A$8,Kit_BOM!$G$2:$G$300,"Bestücken")*$C$8+SUMIFS(Kit_BOM!$F$2:$F$300,Kit_BOM!$E$2:$E$300,$A60,Kit_BOM!$A$2:$A$300,$A$8,Kit_BOM!$G$2:$G$300,"Mechanical")*$C$8+IF($F$5="Ja",SUMIFS(Kit_BOM!$F$2:$F$300,Kit_BOM!$E$2:$E$300,$A60,Kit_BOM!$A$2:$A$300,$A$8,Kit_BOM!$G$2:$G$300,"Optional")*$C$8,0)+IF($F$6="Ja",SUMIFS(Kit_BOM!$F$2:$F$300,Kit_BOM!$E$2:$E$300,$A60,Kit_BOM!$A$2:$A$300,$A$8,Kit_BOM!$G$2:$G$300,"DNP")*$C$8,0)+SUMIFS(Kit_BOM!$F$2:$F$300,Kit_BOM!$E$2:$E$300,$A60,Kit_BOM!$A$2:$A$300,$A$9,Kit_BOM!$G$2:$G$300,"Bestücken")*$C$9+SUMIFS(Kit_BOM!$F$2:$F$300,Kit_BOM!$E$2:$E$300,$A60,Kit_BOM!$A$2:$A$300,$A$9,Kit_BOM!$G$2:$G$300,"Mechanical")*$C$9+IF($F$5="Ja",SUMIFS(Kit_BOM!$F$2:$F$300,Kit_BOM!$E$2:$E$300,$A60,Kit_BOM!$A$2:$A$300,$A$9,Kit_BOM!$G$2:$G$300,"Optional")*$C$9,0)+IF($F$6="Ja",SUMIFS(Kit_BOM!$F$2:$F$300,Kit_BOM!$E$2:$E$300,$A60,Kit_BOM!$A$2:$A$300,$A$9,Kit_BOM!$G$2:$G$300,"DNP")*$C$9,0)+SUMIFS(Kit_BOM!$F$2:$F$300,Kit_BOM!$E$2:$E$300,$A60,Kit_BOM!$A$2:$A$300,$A$10,Kit_BOM!$G$2:$G$300,"Bestücken")*$C$10+SUMIFS(Kit_BOM!$F$2:$F$300,Kit_BOM!$E$2:$E$300,$A60,Kit_BOM!$A$2:$A$300,$A$10,Kit_BOM!$G$2:$G$300,"Mechanical")*$C$10+IF($F$5="Ja",SUMIFS(Kit_BOM!$F$2:$F$300,Kit_BOM!$E$2:$E$300,$A60,Kit_BOM!$A$2:$A$300,$A$10,Kit_BOM!$G$2:$G$300,"Optional")*$C$10,0)+IF($F$6="Ja",SUMIFS(Kit_BOM!$F$2:$F$300,Kit_BOM!$E$2:$E$300,$A60,Kit_BOM!$A$2:$A$300,$A$10,Kit_BOM!$G$2:$G$300,"DNP")*$C$10,0)+SUMIFS(Kit_BOM!$F$2:$F$300,Kit_BOM!$E$2:$E$300,$A60,Kit_BOM!$A$2:$A$300,$A$11,Kit_BOM!$G$2:$G$300,"Bestücken")*$C$11+SUMIFS(Kit_BOM!$F$2:$F$300,Kit_BOM!$E$2:$E$300,$A60,Kit_BOM!$A$2:$A$300,$A$11,Kit_BOM!$G$2:$G$300,"Mechanical")*$C$11+IF($F$5="Ja",SUMIFS(Kit_BOM!$F$2:$F$300,Kit_BOM!$E$2:$E$300,$A60,Kit_BOM!$A$2:$A$300,$A$11,Kit_BOM!$G$2:$G$300,"Optional")*$C$11,0)+IF($F$6="Ja",SUMIFS(Kit_BOM!$F$2:$F$300,Kit_BOM!$E$2:$E$300,$A60,Kit_BOM!$A$2:$A$300,$A$11,Kit_BOM!$G$2:$G$300,"DNP")*$C$11,0)+SUMIFS(Kit_BOM!$F$2:$F$300,Kit_BOM!$E$2:$E$300,$A60,Kit_BOM!$A$2:$A$300,$A$12,Kit_BOM!$G$2:$G$300,"Bestücken")*$C$12+SUMIFS(Kit_BOM!$F$2:$F$300,Kit_BOM!$E$2:$E$300,$A60,Kit_BOM!$A$2:$A$300,$A$12,Kit_BOM!$G$2:$G$300,"Mechanical")*$C$12+IF($F$5="Ja",SUMIFS(Kit_BOM!$F$2:$F$300,Kit_BOM!$E$2:$E$300,$A60,Kit_BOM!$A$2:$A$300,$A$12,Kit_BOM!$G$2:$G$300,"Optional")*$C$12,0)+IF($F$6="Ja",SUMIFS(Kit_BOM!$F$2:$F$300,Kit_BOM!$E$2:$E$300,$A60,Kit_BOM!$A$2:$A$300,$A$12,Kit_BOM!$G$2:$G$300,"DNP")*$C$12,0)+SUMIFS(Kit_BOM!$F$2:$F$300,Kit_BOM!$E$2:$E$300,$A60,Kit_BOM!$A$2:$A$300,$H$5,Kit_BOM!$G$2:$G$300,"Bestücken")*$J$5+SUMIFS(Kit_BOM!$F$2:$F$300,Kit_BOM!$E$2:$E$300,$A60,Kit_BOM!$A$2:$A$300,$H$5,Kit_BOM!$G$2:$G$300,"Mechanical")*$J$5+IF($F$5="Ja",SUMIFS(Kit_BOM!$F$2:$F$300,Kit_BOM!$E$2:$E$300,$A60,Kit_BOM!$A$2:$A$300,$H$5,Kit_BOM!$G$2:$G$300,"Optional")*$J$5,0)+IF($F$6="Ja",SUMIFS(Kit_BOM!$F$2:$F$300,Kit_BOM!$E$2:$E$300,$A60,Kit_BOM!$A$2:$A$300,$H$5,Kit_BOM!$G$2:$G$300,"DNP")*$J$5,0)+SUMIFS(Kit_BOM!$F$2:$F$300,Kit_BOM!$E$2:$E$300,$A60,Kit_BOM!$A$2:$A$300,$H$6,Kit_BOM!$G$2:$G$300,"Bestücken")*$J$6+SUMIFS(Kit_BOM!$F$2:$F$300,Kit_BOM!$E$2:$E$300,$A60,Kit_BOM!$A$2:$A$300,$H$6,Kit_BOM!$G$2:$G$300,"Mechanical")*$J$6+IF($F$5="Ja",SUMIFS(Kit_BOM!$F$2:$F$300,Kit_BOM!$E$2:$E$300,$A60,Kit_BOM!$A$2:$A$300,$H$6,Kit_BOM!$G$2:$G$300,"Optional")*$J$6,0)+IF($F$6="Ja",SUMIFS(Kit_BOM!$F$2:$F$300,Kit_BOM!$E$2:$E$300,$A60,Kit_BOM!$A$2:$A$300,$H$6,Kit_BOM!$G$2:$G$300,"DNP")*$J$6,0)</f>
        <v>0</v>
      </c>
      <c r="F60" s="27" t="str">
        <f>IFERROR(IF(_xlfn.XLOOKUP($A60&amp;"|Ja",Part_Suppliers!$L$2:$L$300,Part_Suppliers!$G$2:$G$300,"",0)=0,"",_xlfn.XLOOKUP($A60&amp;"|Ja",Part_Suppliers!$L$2:$L$300,Part_Suppliers!$G$2:$G$300,"",0)),"")</f>
        <v/>
      </c>
      <c r="G60" s="27">
        <f t="shared" si="13"/>
        <v>0</v>
      </c>
      <c r="H60" s="46">
        <f>IFERROR(IF(_xlfn.XLOOKUP($A60&amp;"|Ja",Part_Suppliers!$L$2:$L$300,Part_Suppliers!$E$2:$E$300,"",0)=0,"",_xlfn.XLOOKUP($A60&amp;"|Ja",Part_Suppliers!$L$2:$L$300,Part_Suppliers!$E$2:$E$300,"",0)),"")</f>
        <v>0.13</v>
      </c>
      <c r="I60" s="46">
        <f t="shared" si="14"/>
        <v>0</v>
      </c>
      <c r="J60" t="str">
        <f t="shared" si="12"/>
        <v>Nicht benötigt</v>
      </c>
      <c r="K60" t="str">
        <f>IFERROR(IF(_xlfn.XLOOKUP($A60&amp;"|Ja",Part_Suppliers!$L$2:$L$300,Part_Suppliers!$D$2:$D$300,"",0)=0,"",_xlfn.XLOOKUP($A60&amp;"|Ja",Part_Suppliers!$L$2:$L$300,Part_Suppliers!$D$2:$D$300,"",0)),"")</f>
        <v>https://www.reichelt.de/de/de/shop/produkt/stiftleiste_1_x_4_polig_gerade_rastermass_2_54_mm-404280</v>
      </c>
      <c r="L60" s="47">
        <f>IFERROR(VLOOKUP($A60,Stock!$A$5:$K$200,10,FALSE()),0)</f>
        <v>0</v>
      </c>
      <c r="M60" s="47">
        <f>IFERROR(VLOOKUP($A60,Stock!$A$5:$K$200,11,FALSE()),0)</f>
        <v>0</v>
      </c>
      <c r="N60" s="47">
        <f t="shared" si="15"/>
        <v>0</v>
      </c>
      <c r="O60" s="47">
        <f t="shared" si="16"/>
        <v>0</v>
      </c>
      <c r="P60" s="48">
        <v>0</v>
      </c>
      <c r="Q60" s="49">
        <f t="shared" si="17"/>
        <v>0</v>
      </c>
      <c r="R60" s="82">
        <f>SUMIFS(Part_Alternatives!$H$2:$H$200,Part_Alternatives!$A$2:$A$200,$A60,Part_Alternatives!$E$2:$E$200,"Ja")</f>
        <v>0</v>
      </c>
      <c r="S60" s="82">
        <f>SUMIFS(Part_Alternatives!$I$2:$I$200,Part_Alternatives!$A$2:$A$200,$A60,Part_Alternatives!$E$2:$E$200,"Ja")</f>
        <v>0</v>
      </c>
      <c r="T60" s="80" t="str">
        <f>IFERROR(VLOOKUP($A60,Part_Alternatives!$A$2:$K$200,10,FALSE()),"")</f>
        <v/>
      </c>
    </row>
    <row r="61" spans="1:20" ht="14" hidden="1" customHeight="1" x14ac:dyDescent="0.2">
      <c r="A61" t="s">
        <v>166</v>
      </c>
      <c r="B61" s="45" t="str">
        <f>IFERROR(VLOOKUP($A61,Parts!$A$2:$M$191,3,FALSE()),"")</f>
        <v>Boost-Regler LT8330</v>
      </c>
      <c r="C61" t="str">
        <f>IFERROR(IF(_xlfn.XLOOKUP($A61&amp;"|Ja",Part_Suppliers!$L$2:$L$300,Part_Suppliers!$B$2:$B$300,"",0)=0,"",_xlfn.XLOOKUP($A61&amp;"|Ja",Part_Suppliers!$L$2:$L$300,Part_Suppliers!$B$2:$B$300,"",0)),"")</f>
        <v>DigiKey</v>
      </c>
      <c r="D61" t="str">
        <f>IFERROR(IF(_xlfn.XLOOKUP($A61&amp;"|Ja",Part_Suppliers!$L$2:$L$300,Part_Suppliers!$C$2:$C$300,"",0)=0,"",_xlfn.XLOOKUP($A61&amp;"|Ja",Part_Suppliers!$L$2:$L$300,Part_Suppliers!$C$2:$C$300,"",0)),"")</f>
        <v>505-LT8330ES6#TRMPBFCT-ND</v>
      </c>
      <c r="E61" s="27">
        <f>SUMIFS(Kit_BOM!$F$2:$F$300,Kit_BOM!$E$2:$E$300,$A61,Kit_BOM!$A$2:$A$300,$A$5,Kit_BOM!$G$2:$G$300,"Bestücken")*$C$5+SUMIFS(Kit_BOM!$F$2:$F$300,Kit_BOM!$E$2:$E$300,$A61,Kit_BOM!$A$2:$A$300,$A$5,Kit_BOM!$G$2:$G$300,"Mechanical")*$C$5+IF($F$5="Ja",SUMIFS(Kit_BOM!$F$2:$F$300,Kit_BOM!$E$2:$E$300,$A61,Kit_BOM!$A$2:$A$300,$A$5,Kit_BOM!$G$2:$G$300,"Optional")*$C$5,0)+IF($F$6="Ja",SUMIFS(Kit_BOM!$F$2:$F$300,Kit_BOM!$E$2:$E$300,$A61,Kit_BOM!$A$2:$A$300,$A$5,Kit_BOM!$G$2:$G$300,"DNP")*$C$5,0)+SUMIFS(Kit_BOM!$F$2:$F$300,Kit_BOM!$E$2:$E$300,$A61,Kit_BOM!$A$2:$A$300,$A$6,Kit_BOM!$G$2:$G$300,"Bestücken")*$C$6+SUMIFS(Kit_BOM!$F$2:$F$300,Kit_BOM!$E$2:$E$300,$A61,Kit_BOM!$A$2:$A$300,$A$6,Kit_BOM!$G$2:$G$300,"Mechanical")*$C$6+IF($F$5="Ja",SUMIFS(Kit_BOM!$F$2:$F$300,Kit_BOM!$E$2:$E$300,$A61,Kit_BOM!$A$2:$A$300,$A$6,Kit_BOM!$G$2:$G$300,"Optional")*$C$6,0)+IF($F$6="Ja",SUMIFS(Kit_BOM!$F$2:$F$300,Kit_BOM!$E$2:$E$300,$A61,Kit_BOM!$A$2:$A$300,$A$6,Kit_BOM!$G$2:$G$300,"DNP")*$C$6,0)+SUMIFS(Kit_BOM!$F$2:$F$300,Kit_BOM!$E$2:$E$300,$A61,Kit_BOM!$A$2:$A$300,$A$7,Kit_BOM!$G$2:$G$300,"Bestücken")*$C$7+SUMIFS(Kit_BOM!$F$2:$F$300,Kit_BOM!$E$2:$E$300,$A61,Kit_BOM!$A$2:$A$300,$A$7,Kit_BOM!$G$2:$G$300,"Mechanical")*$C$7+IF($F$5="Ja",SUMIFS(Kit_BOM!$F$2:$F$300,Kit_BOM!$E$2:$E$300,$A61,Kit_BOM!$A$2:$A$300,$A$7,Kit_BOM!$G$2:$G$300,"Optional")*$C$7,0)+IF($F$6="Ja",SUMIFS(Kit_BOM!$F$2:$F$300,Kit_BOM!$E$2:$E$300,$A61,Kit_BOM!$A$2:$A$300,$A$7,Kit_BOM!$G$2:$G$300,"DNP")*$C$7,0)+SUMIFS(Kit_BOM!$F$2:$F$300,Kit_BOM!$E$2:$E$300,$A61,Kit_BOM!$A$2:$A$300,$A$8,Kit_BOM!$G$2:$G$300,"Bestücken")*$C$8+SUMIFS(Kit_BOM!$F$2:$F$300,Kit_BOM!$E$2:$E$300,$A61,Kit_BOM!$A$2:$A$300,$A$8,Kit_BOM!$G$2:$G$300,"Mechanical")*$C$8+IF($F$5="Ja",SUMIFS(Kit_BOM!$F$2:$F$300,Kit_BOM!$E$2:$E$300,$A61,Kit_BOM!$A$2:$A$300,$A$8,Kit_BOM!$G$2:$G$300,"Optional")*$C$8,0)+IF($F$6="Ja",SUMIFS(Kit_BOM!$F$2:$F$300,Kit_BOM!$E$2:$E$300,$A61,Kit_BOM!$A$2:$A$300,$A$8,Kit_BOM!$G$2:$G$300,"DNP")*$C$8,0)+SUMIFS(Kit_BOM!$F$2:$F$300,Kit_BOM!$E$2:$E$300,$A61,Kit_BOM!$A$2:$A$300,$A$9,Kit_BOM!$G$2:$G$300,"Bestücken")*$C$9+SUMIFS(Kit_BOM!$F$2:$F$300,Kit_BOM!$E$2:$E$300,$A61,Kit_BOM!$A$2:$A$300,$A$9,Kit_BOM!$G$2:$G$300,"Mechanical")*$C$9+IF($F$5="Ja",SUMIFS(Kit_BOM!$F$2:$F$300,Kit_BOM!$E$2:$E$300,$A61,Kit_BOM!$A$2:$A$300,$A$9,Kit_BOM!$G$2:$G$300,"Optional")*$C$9,0)+IF($F$6="Ja",SUMIFS(Kit_BOM!$F$2:$F$300,Kit_BOM!$E$2:$E$300,$A61,Kit_BOM!$A$2:$A$300,$A$9,Kit_BOM!$G$2:$G$300,"DNP")*$C$9,0)+SUMIFS(Kit_BOM!$F$2:$F$300,Kit_BOM!$E$2:$E$300,$A61,Kit_BOM!$A$2:$A$300,$A$10,Kit_BOM!$G$2:$G$300,"Bestücken")*$C$10+SUMIFS(Kit_BOM!$F$2:$F$300,Kit_BOM!$E$2:$E$300,$A61,Kit_BOM!$A$2:$A$300,$A$10,Kit_BOM!$G$2:$G$300,"Mechanical")*$C$10+IF($F$5="Ja",SUMIFS(Kit_BOM!$F$2:$F$300,Kit_BOM!$E$2:$E$300,$A61,Kit_BOM!$A$2:$A$300,$A$10,Kit_BOM!$G$2:$G$300,"Optional")*$C$10,0)+IF($F$6="Ja",SUMIFS(Kit_BOM!$F$2:$F$300,Kit_BOM!$E$2:$E$300,$A61,Kit_BOM!$A$2:$A$300,$A$10,Kit_BOM!$G$2:$G$300,"DNP")*$C$10,0)+SUMIFS(Kit_BOM!$F$2:$F$300,Kit_BOM!$E$2:$E$300,$A61,Kit_BOM!$A$2:$A$300,$A$11,Kit_BOM!$G$2:$G$300,"Bestücken")*$C$11+SUMIFS(Kit_BOM!$F$2:$F$300,Kit_BOM!$E$2:$E$300,$A61,Kit_BOM!$A$2:$A$300,$A$11,Kit_BOM!$G$2:$G$300,"Mechanical")*$C$11+IF($F$5="Ja",SUMIFS(Kit_BOM!$F$2:$F$300,Kit_BOM!$E$2:$E$300,$A61,Kit_BOM!$A$2:$A$300,$A$11,Kit_BOM!$G$2:$G$300,"Optional")*$C$11,0)+IF($F$6="Ja",SUMIFS(Kit_BOM!$F$2:$F$300,Kit_BOM!$E$2:$E$300,$A61,Kit_BOM!$A$2:$A$300,$A$11,Kit_BOM!$G$2:$G$300,"DNP")*$C$11,0)+SUMIFS(Kit_BOM!$F$2:$F$300,Kit_BOM!$E$2:$E$300,$A61,Kit_BOM!$A$2:$A$300,$A$12,Kit_BOM!$G$2:$G$300,"Bestücken")*$C$12+SUMIFS(Kit_BOM!$F$2:$F$300,Kit_BOM!$E$2:$E$300,$A61,Kit_BOM!$A$2:$A$300,$A$12,Kit_BOM!$G$2:$G$300,"Mechanical")*$C$12+IF($F$5="Ja",SUMIFS(Kit_BOM!$F$2:$F$300,Kit_BOM!$E$2:$E$300,$A61,Kit_BOM!$A$2:$A$300,$A$12,Kit_BOM!$G$2:$G$300,"Optional")*$C$12,0)+IF($F$6="Ja",SUMIFS(Kit_BOM!$F$2:$F$300,Kit_BOM!$E$2:$E$300,$A61,Kit_BOM!$A$2:$A$300,$A$12,Kit_BOM!$G$2:$G$300,"DNP")*$C$12,0)+SUMIFS(Kit_BOM!$F$2:$F$300,Kit_BOM!$E$2:$E$300,$A61,Kit_BOM!$A$2:$A$300,$H$5,Kit_BOM!$G$2:$G$300,"Bestücken")*$J$5+SUMIFS(Kit_BOM!$F$2:$F$300,Kit_BOM!$E$2:$E$300,$A61,Kit_BOM!$A$2:$A$300,$H$5,Kit_BOM!$G$2:$G$300,"Mechanical")*$J$5+IF($F$5="Ja",SUMIFS(Kit_BOM!$F$2:$F$300,Kit_BOM!$E$2:$E$300,$A61,Kit_BOM!$A$2:$A$300,$H$5,Kit_BOM!$G$2:$G$300,"Optional")*$J$5,0)+IF($F$6="Ja",SUMIFS(Kit_BOM!$F$2:$F$300,Kit_BOM!$E$2:$E$300,$A61,Kit_BOM!$A$2:$A$300,$H$5,Kit_BOM!$G$2:$G$300,"DNP")*$J$5,0)+SUMIFS(Kit_BOM!$F$2:$F$300,Kit_BOM!$E$2:$E$300,$A61,Kit_BOM!$A$2:$A$300,$H$6,Kit_BOM!$G$2:$G$300,"Bestücken")*$J$6+SUMIFS(Kit_BOM!$F$2:$F$300,Kit_BOM!$E$2:$E$300,$A61,Kit_BOM!$A$2:$A$300,$H$6,Kit_BOM!$G$2:$G$300,"Mechanical")*$J$6+IF($F$5="Ja",SUMIFS(Kit_BOM!$F$2:$F$300,Kit_BOM!$E$2:$E$300,$A61,Kit_BOM!$A$2:$A$300,$H$6,Kit_BOM!$G$2:$G$300,"Optional")*$J$6,0)+IF($F$6="Ja",SUMIFS(Kit_BOM!$F$2:$F$300,Kit_BOM!$E$2:$E$300,$A61,Kit_BOM!$A$2:$A$300,$H$6,Kit_BOM!$G$2:$G$300,"DNP")*$J$6,0)</f>
        <v>2</v>
      </c>
      <c r="F61" s="27" t="str">
        <f>IFERROR(IF(_xlfn.XLOOKUP($A61&amp;"|Ja",Part_Suppliers!$L$2:$L$300,Part_Suppliers!$G$2:$G$300,"",0)=0,"",_xlfn.XLOOKUP($A61&amp;"|Ja",Part_Suppliers!$L$2:$L$300,Part_Suppliers!$G$2:$G$300,"",0)),"")</f>
        <v/>
      </c>
      <c r="G61" s="27">
        <f t="shared" si="13"/>
        <v>2</v>
      </c>
      <c r="H61" s="46">
        <f>IFERROR(IF(_xlfn.XLOOKUP($A61&amp;"|Ja",Part_Suppliers!$L$2:$L$300,Part_Suppliers!$E$2:$E$300,"",0)=0,"",_xlfn.XLOOKUP($A61&amp;"|Ja",Part_Suppliers!$L$2:$L$300,Part_Suppliers!$E$2:$E$300,"",0)),"")</f>
        <v>7.25</v>
      </c>
      <c r="I61" s="46">
        <f t="shared" si="14"/>
        <v>14.5</v>
      </c>
      <c r="J61" t="str">
        <f t="shared" si="12"/>
        <v>Gedeckt</v>
      </c>
      <c r="K61" t="str">
        <f>IFERROR(IF(_xlfn.XLOOKUP($A61&amp;"|Ja",Part_Suppliers!$L$2:$L$300,Part_Suppliers!$D$2:$D$300,"",0)=0,"",_xlfn.XLOOKUP($A61&amp;"|Ja",Part_Suppliers!$L$2:$L$300,Part_Suppliers!$D$2:$D$300,"",0)),"")</f>
        <v>https://www.digikey.de/en/products/detail/analog-devices-inc/LT8330ES6-TRMPBF/5361665</v>
      </c>
      <c r="L61" s="47">
        <f>IFERROR(VLOOKUP($A61,Stock!$A$5:$K$200,10,FALSE()),0)</f>
        <v>3</v>
      </c>
      <c r="M61" s="47">
        <f>IFERROR(VLOOKUP($A61,Stock!$A$5:$K$200,11,FALSE()),0)</f>
        <v>0</v>
      </c>
      <c r="N61" s="47">
        <f t="shared" si="15"/>
        <v>1</v>
      </c>
      <c r="O61" s="47">
        <f t="shared" si="16"/>
        <v>0</v>
      </c>
      <c r="P61" s="48">
        <v>0</v>
      </c>
      <c r="Q61" s="49">
        <f t="shared" si="17"/>
        <v>0</v>
      </c>
      <c r="R61" s="82">
        <f>SUMIFS(Part_Alternatives!$H$2:$H$200,Part_Alternatives!$A$2:$A$200,$A61,Part_Alternatives!$E$2:$E$200,"Ja")</f>
        <v>0</v>
      </c>
      <c r="S61" s="82">
        <f>SUMIFS(Part_Alternatives!$I$2:$I$200,Part_Alternatives!$A$2:$A$200,$A61,Part_Alternatives!$E$2:$E$200,"Ja")</f>
        <v>0</v>
      </c>
      <c r="T61" s="80" t="str">
        <f>IFERROR(VLOOKUP($A61,Part_Alternatives!$A$2:$K$200,10,FALSE()),"")</f>
        <v/>
      </c>
    </row>
    <row r="62" spans="1:20" ht="14" hidden="1" customHeight="1" x14ac:dyDescent="0.2">
      <c r="A62" t="s">
        <v>200</v>
      </c>
      <c r="B62" s="45" t="str">
        <f>IFERROR(VLOOKUP($A62,Parts!$A$2:$M$191,3,FALSE()),"")</f>
        <v>AnalogHydroPressure FullSize PCB Rev 0.4</v>
      </c>
      <c r="C62" t="str">
        <f>IFERROR(IF(_xlfn.XLOOKUP($A62&amp;"|Ja",Part_Suppliers!$L$2:$L$300,Part_Suppliers!$B$2:$B$300,"",0)=0,"",_xlfn.XLOOKUP($A62&amp;"|Ja",Part_Suppliers!$L$2:$L$300,Part_Suppliers!$B$2:$B$300,"",0)),"")</f>
        <v>JLCPCB</v>
      </c>
      <c r="D62" t="str">
        <f>IFERROR(IF(_xlfn.XLOOKUP($A62&amp;"|Ja",Part_Suppliers!$L$2:$L$300,Part_Suppliers!$C$2:$C$300,"",0)=0,"",_xlfn.XLOOKUP($A62&amp;"|Ja",Part_Suppliers!$L$2:$L$300,Part_Suppliers!$C$2:$C$300,"",0)),"")</f>
        <v>Y38-4808750A</v>
      </c>
      <c r="E62" s="27">
        <f>SUMIFS(Kit_BOM!$F$2:$F$300,Kit_BOM!$E$2:$E$300,$A62,Kit_BOM!$A$2:$A$300,$A$5,Kit_BOM!$G$2:$G$300,"Bestücken")*$C$5+SUMIFS(Kit_BOM!$F$2:$F$300,Kit_BOM!$E$2:$E$300,$A62,Kit_BOM!$A$2:$A$300,$A$5,Kit_BOM!$G$2:$G$300,"Mechanical")*$C$5+IF($F$5="Ja",SUMIFS(Kit_BOM!$F$2:$F$300,Kit_BOM!$E$2:$E$300,$A62,Kit_BOM!$A$2:$A$300,$A$5,Kit_BOM!$G$2:$G$300,"Optional")*$C$5,0)+IF($F$6="Ja",SUMIFS(Kit_BOM!$F$2:$F$300,Kit_BOM!$E$2:$E$300,$A62,Kit_BOM!$A$2:$A$300,$A$5,Kit_BOM!$G$2:$G$300,"DNP")*$C$5,0)+SUMIFS(Kit_BOM!$F$2:$F$300,Kit_BOM!$E$2:$E$300,$A62,Kit_BOM!$A$2:$A$300,$A$6,Kit_BOM!$G$2:$G$300,"Bestücken")*$C$6+SUMIFS(Kit_BOM!$F$2:$F$300,Kit_BOM!$E$2:$E$300,$A62,Kit_BOM!$A$2:$A$300,$A$6,Kit_BOM!$G$2:$G$300,"Mechanical")*$C$6+IF($F$5="Ja",SUMIFS(Kit_BOM!$F$2:$F$300,Kit_BOM!$E$2:$E$300,$A62,Kit_BOM!$A$2:$A$300,$A$6,Kit_BOM!$G$2:$G$300,"Optional")*$C$6,0)+IF($F$6="Ja",SUMIFS(Kit_BOM!$F$2:$F$300,Kit_BOM!$E$2:$E$300,$A62,Kit_BOM!$A$2:$A$300,$A$6,Kit_BOM!$G$2:$G$300,"DNP")*$C$6,0)+SUMIFS(Kit_BOM!$F$2:$F$300,Kit_BOM!$E$2:$E$300,$A62,Kit_BOM!$A$2:$A$300,$A$7,Kit_BOM!$G$2:$G$300,"Bestücken")*$C$7+SUMIFS(Kit_BOM!$F$2:$F$300,Kit_BOM!$E$2:$E$300,$A62,Kit_BOM!$A$2:$A$300,$A$7,Kit_BOM!$G$2:$G$300,"Mechanical")*$C$7+IF($F$5="Ja",SUMIFS(Kit_BOM!$F$2:$F$300,Kit_BOM!$E$2:$E$300,$A62,Kit_BOM!$A$2:$A$300,$A$7,Kit_BOM!$G$2:$G$300,"Optional")*$C$7,0)+IF($F$6="Ja",SUMIFS(Kit_BOM!$F$2:$F$300,Kit_BOM!$E$2:$E$300,$A62,Kit_BOM!$A$2:$A$300,$A$7,Kit_BOM!$G$2:$G$300,"DNP")*$C$7,0)+SUMIFS(Kit_BOM!$F$2:$F$300,Kit_BOM!$E$2:$E$300,$A62,Kit_BOM!$A$2:$A$300,$A$8,Kit_BOM!$G$2:$G$300,"Bestücken")*$C$8+SUMIFS(Kit_BOM!$F$2:$F$300,Kit_BOM!$E$2:$E$300,$A62,Kit_BOM!$A$2:$A$300,$A$8,Kit_BOM!$G$2:$G$300,"Mechanical")*$C$8+IF($F$5="Ja",SUMIFS(Kit_BOM!$F$2:$F$300,Kit_BOM!$E$2:$E$300,$A62,Kit_BOM!$A$2:$A$300,$A$8,Kit_BOM!$G$2:$G$300,"Optional")*$C$8,0)+IF($F$6="Ja",SUMIFS(Kit_BOM!$F$2:$F$300,Kit_BOM!$E$2:$E$300,$A62,Kit_BOM!$A$2:$A$300,$A$8,Kit_BOM!$G$2:$G$300,"DNP")*$C$8,0)+SUMIFS(Kit_BOM!$F$2:$F$300,Kit_BOM!$E$2:$E$300,$A62,Kit_BOM!$A$2:$A$300,$A$9,Kit_BOM!$G$2:$G$300,"Bestücken")*$C$9+SUMIFS(Kit_BOM!$F$2:$F$300,Kit_BOM!$E$2:$E$300,$A62,Kit_BOM!$A$2:$A$300,$A$9,Kit_BOM!$G$2:$G$300,"Mechanical")*$C$9+IF($F$5="Ja",SUMIFS(Kit_BOM!$F$2:$F$300,Kit_BOM!$E$2:$E$300,$A62,Kit_BOM!$A$2:$A$300,$A$9,Kit_BOM!$G$2:$G$300,"Optional")*$C$9,0)+IF($F$6="Ja",SUMIFS(Kit_BOM!$F$2:$F$300,Kit_BOM!$E$2:$E$300,$A62,Kit_BOM!$A$2:$A$300,$A$9,Kit_BOM!$G$2:$G$300,"DNP")*$C$9,0)+SUMIFS(Kit_BOM!$F$2:$F$300,Kit_BOM!$E$2:$E$300,$A62,Kit_BOM!$A$2:$A$300,$A$10,Kit_BOM!$G$2:$G$300,"Bestücken")*$C$10+SUMIFS(Kit_BOM!$F$2:$F$300,Kit_BOM!$E$2:$E$300,$A62,Kit_BOM!$A$2:$A$300,$A$10,Kit_BOM!$G$2:$G$300,"Mechanical")*$C$10+IF($F$5="Ja",SUMIFS(Kit_BOM!$F$2:$F$300,Kit_BOM!$E$2:$E$300,$A62,Kit_BOM!$A$2:$A$300,$A$10,Kit_BOM!$G$2:$G$300,"Optional")*$C$10,0)+IF($F$6="Ja",SUMIFS(Kit_BOM!$F$2:$F$300,Kit_BOM!$E$2:$E$300,$A62,Kit_BOM!$A$2:$A$300,$A$10,Kit_BOM!$G$2:$G$300,"DNP")*$C$10,0)+SUMIFS(Kit_BOM!$F$2:$F$300,Kit_BOM!$E$2:$E$300,$A62,Kit_BOM!$A$2:$A$300,$A$11,Kit_BOM!$G$2:$G$300,"Bestücken")*$C$11+SUMIFS(Kit_BOM!$F$2:$F$300,Kit_BOM!$E$2:$E$300,$A62,Kit_BOM!$A$2:$A$300,$A$11,Kit_BOM!$G$2:$G$300,"Mechanical")*$C$11+IF($F$5="Ja",SUMIFS(Kit_BOM!$F$2:$F$300,Kit_BOM!$E$2:$E$300,$A62,Kit_BOM!$A$2:$A$300,$A$11,Kit_BOM!$G$2:$G$300,"Optional")*$C$11,0)+IF($F$6="Ja",SUMIFS(Kit_BOM!$F$2:$F$300,Kit_BOM!$E$2:$E$300,$A62,Kit_BOM!$A$2:$A$300,$A$11,Kit_BOM!$G$2:$G$300,"DNP")*$C$11,0)+SUMIFS(Kit_BOM!$F$2:$F$300,Kit_BOM!$E$2:$E$300,$A62,Kit_BOM!$A$2:$A$300,$A$12,Kit_BOM!$G$2:$G$300,"Bestücken")*$C$12+SUMIFS(Kit_BOM!$F$2:$F$300,Kit_BOM!$E$2:$E$300,$A62,Kit_BOM!$A$2:$A$300,$A$12,Kit_BOM!$G$2:$G$300,"Mechanical")*$C$12+IF($F$5="Ja",SUMIFS(Kit_BOM!$F$2:$F$300,Kit_BOM!$E$2:$E$300,$A62,Kit_BOM!$A$2:$A$300,$A$12,Kit_BOM!$G$2:$G$300,"Optional")*$C$12,0)+IF($F$6="Ja",SUMIFS(Kit_BOM!$F$2:$F$300,Kit_BOM!$E$2:$E$300,$A62,Kit_BOM!$A$2:$A$300,$A$12,Kit_BOM!$G$2:$G$300,"DNP")*$C$12,0)+SUMIFS(Kit_BOM!$F$2:$F$300,Kit_BOM!$E$2:$E$300,$A62,Kit_BOM!$A$2:$A$300,$H$5,Kit_BOM!$G$2:$G$300,"Bestücken")*$J$5+SUMIFS(Kit_BOM!$F$2:$F$300,Kit_BOM!$E$2:$E$300,$A62,Kit_BOM!$A$2:$A$300,$H$5,Kit_BOM!$G$2:$G$300,"Mechanical")*$J$5+IF($F$5="Ja",SUMIFS(Kit_BOM!$F$2:$F$300,Kit_BOM!$E$2:$E$300,$A62,Kit_BOM!$A$2:$A$300,$H$5,Kit_BOM!$G$2:$G$300,"Optional")*$J$5,0)+IF($F$6="Ja",SUMIFS(Kit_BOM!$F$2:$F$300,Kit_BOM!$E$2:$E$300,$A62,Kit_BOM!$A$2:$A$300,$H$5,Kit_BOM!$G$2:$G$300,"DNP")*$J$5,0)+SUMIFS(Kit_BOM!$F$2:$F$300,Kit_BOM!$E$2:$E$300,$A62,Kit_BOM!$A$2:$A$300,$H$6,Kit_BOM!$G$2:$G$300,"Bestücken")*$J$6+SUMIFS(Kit_BOM!$F$2:$F$300,Kit_BOM!$E$2:$E$300,$A62,Kit_BOM!$A$2:$A$300,$H$6,Kit_BOM!$G$2:$G$300,"Mechanical")*$J$6+IF($F$5="Ja",SUMIFS(Kit_BOM!$F$2:$F$300,Kit_BOM!$E$2:$E$300,$A62,Kit_BOM!$A$2:$A$300,$H$6,Kit_BOM!$G$2:$G$300,"Optional")*$J$6,0)+IF($F$6="Ja",SUMIFS(Kit_BOM!$F$2:$F$300,Kit_BOM!$E$2:$E$300,$A62,Kit_BOM!$A$2:$A$300,$H$6,Kit_BOM!$G$2:$G$300,"DNP")*$J$6,0)</f>
        <v>2</v>
      </c>
      <c r="F62" s="27">
        <f>IFERROR(IF(_xlfn.XLOOKUP($A62&amp;"|Ja",Part_Suppliers!$L$2:$L$300,Part_Suppliers!$G$2:$G$300,"",0)=0,"",_xlfn.XLOOKUP($A62&amp;"|Ja",Part_Suppliers!$L$2:$L$300,Part_Suppliers!$G$2:$G$300,"",0)),"")</f>
        <v>5</v>
      </c>
      <c r="G62" s="27">
        <f t="shared" si="13"/>
        <v>5</v>
      </c>
      <c r="H62" s="46">
        <f>IFERROR(IF(_xlfn.XLOOKUP($A62&amp;"|Ja",Part_Suppliers!$L$2:$L$300,Part_Suppliers!$E$2:$E$300,"",0)=0,"",_xlfn.XLOOKUP($A62&amp;"|Ja",Part_Suppliers!$L$2:$L$300,Part_Suppliers!$E$2:$E$300,"",0)),"")</f>
        <v>0.7</v>
      </c>
      <c r="I62" s="46">
        <f t="shared" si="14"/>
        <v>3.5</v>
      </c>
      <c r="J62" t="str">
        <f>IF(AND(P62&gt;0,P62&lt;&gt;O62),"Manuelle Menge prüfen",IF(E62=0,"Nicht benötigt",IF(L62&lt;0,"Bestand klären",IF(O62=0,"Gedeckt","PCB-Auftrag prüfen"))))</f>
        <v>PCB-Auftrag prüfen</v>
      </c>
      <c r="K62" t="str">
        <f>IFERROR(IF(_xlfn.XLOOKUP($A62&amp;"|Ja",Part_Suppliers!$L$2:$L$300,Part_Suppliers!$D$2:$D$300,"",0)=0,"",_xlfn.XLOOKUP($A62&amp;"|Ja",Part_Suppliers!$L$2:$L$300,Part_Suppliers!$D$2:$D$300,"",0)),"")</f>
        <v>https://jlcpcb.com/</v>
      </c>
      <c r="L62" s="47">
        <f>IFERROR(VLOOKUP($A62,Stock!$A$5:$K$200,10,FALSE()),0)</f>
        <v>0</v>
      </c>
      <c r="M62" s="47">
        <f>IFERROR(VLOOKUP($A62,Stock!$A$5:$K$200,11,FALSE()),0)</f>
        <v>0</v>
      </c>
      <c r="N62" s="47">
        <f t="shared" si="15"/>
        <v>-2</v>
      </c>
      <c r="O62" s="47">
        <f t="shared" si="16"/>
        <v>5</v>
      </c>
      <c r="P62" s="48">
        <v>0</v>
      </c>
      <c r="Q62" s="49">
        <f t="shared" si="17"/>
        <v>0</v>
      </c>
      <c r="R62" s="82">
        <f>SUMIFS(Part_Alternatives!$H$2:$H$200,Part_Alternatives!$A$2:$A$200,$A62,Part_Alternatives!$E$2:$E$200,"Ja")</f>
        <v>0</v>
      </c>
      <c r="S62" s="82">
        <f>SUMIFS(Part_Alternatives!$I$2:$I$200,Part_Alternatives!$A$2:$A$200,$A62,Part_Alternatives!$E$2:$E$200,"Ja")</f>
        <v>0</v>
      </c>
      <c r="T62" s="80" t="str">
        <f>IFERROR(VLOOKUP($A62,Part_Alternatives!$A$2:$K$200,10,FALSE()),"")</f>
        <v/>
      </c>
    </row>
    <row r="63" spans="1:20" ht="14" hidden="1" customHeight="1" x14ac:dyDescent="0.15">
      <c r="A63" t="s">
        <v>210</v>
      </c>
      <c r="B63" s="86" t="str">
        <f>IFERROR(VLOOKUP($A63,Parts!$A$2:$M$191,3,FALSE()),"")</f>
        <v>USB-C-Buchse, 6-polig, Power-only, Top-Mount</v>
      </c>
      <c r="C63" s="87" t="str">
        <f>IFERROR(IF(_xlfn.XLOOKUP($A63&amp;"|Ja",Part_Suppliers!$L$2:$L$300,Part_Suppliers!$B$2:$B$300,"",0)=0,"",_xlfn.XLOOKUP($A63&amp;"|Ja",Part_Suppliers!$L$2:$L$300,Part_Suppliers!$B$2:$B$300,"",0)),"")</f>
        <v>eBay</v>
      </c>
      <c r="D63" s="87" t="str">
        <f>IFERROR(IF(_xlfn.XLOOKUP($A63&amp;"|Ja",Part_Suppliers!$L$2:$L$300,Part_Suppliers!$C$2:$C$300,"",0)=0,"",_xlfn.XLOOKUP($A63&amp;"|Ja",Part_Suppliers!$L$2:$L$300,Part_Suppliers!$C$2:$C$300,"",0)),"")</f>
        <v>640-USB4125-GF-A-190</v>
      </c>
      <c r="E63" s="88">
        <f>SUMIFS(Kit_BOM!$F$2:$F$300,Kit_BOM!$E$2:$E$300,$A63,Kit_BOM!$A$2:$A$300,$A$5,Kit_BOM!$G$2:$G$300,"Bestücken")*$C$5+SUMIFS(Kit_BOM!$F$2:$F$300,Kit_BOM!$E$2:$E$300,$A63,Kit_BOM!$A$2:$A$300,$A$5,Kit_BOM!$G$2:$G$300,"Mechanical")*$C$5+IF($F$5="Ja",SUMIFS(Kit_BOM!$F$2:$F$300,Kit_BOM!$E$2:$E$300,$A63,Kit_BOM!$A$2:$A$300,$A$5,Kit_BOM!$G$2:$G$300,"Optional")*$C$5,0)+IF($F$6="Ja",SUMIFS(Kit_BOM!$F$2:$F$300,Kit_BOM!$E$2:$E$300,$A63,Kit_BOM!$A$2:$A$300,$A$5,Kit_BOM!$G$2:$G$300,"DNP")*$C$5,0)+SUMIFS(Kit_BOM!$F$2:$F$300,Kit_BOM!$E$2:$E$300,$A63,Kit_BOM!$A$2:$A$300,$A$6,Kit_BOM!$G$2:$G$300,"Bestücken")*$C$6+SUMIFS(Kit_BOM!$F$2:$F$300,Kit_BOM!$E$2:$E$300,$A63,Kit_BOM!$A$2:$A$300,$A$6,Kit_BOM!$G$2:$G$300,"Mechanical")*$C$6+IF($F$5="Ja",SUMIFS(Kit_BOM!$F$2:$F$300,Kit_BOM!$E$2:$E$300,$A63,Kit_BOM!$A$2:$A$300,$A$6,Kit_BOM!$G$2:$G$300,"Optional")*$C$6,0)+IF($F$6="Ja",SUMIFS(Kit_BOM!$F$2:$F$300,Kit_BOM!$E$2:$E$300,$A63,Kit_BOM!$A$2:$A$300,$A$6,Kit_BOM!$G$2:$G$300,"DNP")*$C$6,0)+SUMIFS(Kit_BOM!$F$2:$F$300,Kit_BOM!$E$2:$E$300,$A63,Kit_BOM!$A$2:$A$300,$A$7,Kit_BOM!$G$2:$G$300,"Bestücken")*$C$7+SUMIFS(Kit_BOM!$F$2:$F$300,Kit_BOM!$E$2:$E$300,$A63,Kit_BOM!$A$2:$A$300,$A$7,Kit_BOM!$G$2:$G$300,"Mechanical")*$C$7+IF($F$5="Ja",SUMIFS(Kit_BOM!$F$2:$F$300,Kit_BOM!$E$2:$E$300,$A63,Kit_BOM!$A$2:$A$300,$A$7,Kit_BOM!$G$2:$G$300,"Optional")*$C$7,0)+IF($F$6="Ja",SUMIFS(Kit_BOM!$F$2:$F$300,Kit_BOM!$E$2:$E$300,$A63,Kit_BOM!$A$2:$A$300,$A$7,Kit_BOM!$G$2:$G$300,"DNP")*$C$7,0)+SUMIFS(Kit_BOM!$F$2:$F$300,Kit_BOM!$E$2:$E$300,$A63,Kit_BOM!$A$2:$A$300,$A$8,Kit_BOM!$G$2:$G$300,"Bestücken")*$C$8+SUMIFS(Kit_BOM!$F$2:$F$300,Kit_BOM!$E$2:$E$300,$A63,Kit_BOM!$A$2:$A$300,$A$8,Kit_BOM!$G$2:$G$300,"Mechanical")*$C$8+IF($F$5="Ja",SUMIFS(Kit_BOM!$F$2:$F$300,Kit_BOM!$E$2:$E$300,$A63,Kit_BOM!$A$2:$A$300,$A$8,Kit_BOM!$G$2:$G$300,"Optional")*$C$8,0)+IF($F$6="Ja",SUMIFS(Kit_BOM!$F$2:$F$300,Kit_BOM!$E$2:$E$300,$A63,Kit_BOM!$A$2:$A$300,$A$8,Kit_BOM!$G$2:$G$300,"DNP")*$C$8,0)+SUMIFS(Kit_BOM!$F$2:$F$300,Kit_BOM!$E$2:$E$300,$A63,Kit_BOM!$A$2:$A$300,$A$9,Kit_BOM!$G$2:$G$300,"Bestücken")*$C$9+SUMIFS(Kit_BOM!$F$2:$F$300,Kit_BOM!$E$2:$E$300,$A63,Kit_BOM!$A$2:$A$300,$A$9,Kit_BOM!$G$2:$G$300,"Mechanical")*$C$9+IF($F$5="Ja",SUMIFS(Kit_BOM!$F$2:$F$300,Kit_BOM!$E$2:$E$300,$A63,Kit_BOM!$A$2:$A$300,$A$9,Kit_BOM!$G$2:$G$300,"Optional")*$C$9,0)+IF($F$6="Ja",SUMIFS(Kit_BOM!$F$2:$F$300,Kit_BOM!$E$2:$E$300,$A63,Kit_BOM!$A$2:$A$300,$A$9,Kit_BOM!$G$2:$G$300,"DNP")*$C$9,0)+SUMIFS(Kit_BOM!$F$2:$F$300,Kit_BOM!$E$2:$E$300,$A63,Kit_BOM!$A$2:$A$300,$A$10,Kit_BOM!$G$2:$G$300,"Bestücken")*$C$10+SUMIFS(Kit_BOM!$F$2:$F$300,Kit_BOM!$E$2:$E$300,$A63,Kit_BOM!$A$2:$A$300,$A$10,Kit_BOM!$G$2:$G$300,"Mechanical")*$C$10+IF($F$5="Ja",SUMIFS(Kit_BOM!$F$2:$F$300,Kit_BOM!$E$2:$E$300,$A63,Kit_BOM!$A$2:$A$300,$A$10,Kit_BOM!$G$2:$G$300,"Optional")*$C$10,0)+IF($F$6="Ja",SUMIFS(Kit_BOM!$F$2:$F$300,Kit_BOM!$E$2:$E$300,$A63,Kit_BOM!$A$2:$A$300,$A$10,Kit_BOM!$G$2:$G$300,"DNP")*$C$10,0)+SUMIFS(Kit_BOM!$F$2:$F$300,Kit_BOM!$E$2:$E$300,$A63,Kit_BOM!$A$2:$A$300,$A$11,Kit_BOM!$G$2:$G$300,"Bestücken")*$C$11+SUMIFS(Kit_BOM!$F$2:$F$300,Kit_BOM!$E$2:$E$300,$A63,Kit_BOM!$A$2:$A$300,$A$11,Kit_BOM!$G$2:$G$300,"Mechanical")*$C$11+IF($F$5="Ja",SUMIFS(Kit_BOM!$F$2:$F$300,Kit_BOM!$E$2:$E$300,$A63,Kit_BOM!$A$2:$A$300,$A$11,Kit_BOM!$G$2:$G$300,"Optional")*$C$11,0)+IF($F$6="Ja",SUMIFS(Kit_BOM!$F$2:$F$300,Kit_BOM!$E$2:$E$300,$A63,Kit_BOM!$A$2:$A$300,$A$11,Kit_BOM!$G$2:$G$300,"DNP")*$C$11,0)+SUMIFS(Kit_BOM!$F$2:$F$300,Kit_BOM!$E$2:$E$300,$A63,Kit_BOM!$A$2:$A$300,$A$12,Kit_BOM!$G$2:$G$300,"Bestücken")*$C$12+SUMIFS(Kit_BOM!$F$2:$F$300,Kit_BOM!$E$2:$E$300,$A63,Kit_BOM!$A$2:$A$300,$A$12,Kit_BOM!$G$2:$G$300,"Mechanical")*$C$12+IF($F$5="Ja",SUMIFS(Kit_BOM!$F$2:$F$300,Kit_BOM!$E$2:$E$300,$A63,Kit_BOM!$A$2:$A$300,$A$12,Kit_BOM!$G$2:$G$300,"Optional")*$C$12,0)+IF($F$6="Ja",SUMIFS(Kit_BOM!$F$2:$F$300,Kit_BOM!$E$2:$E$300,$A63,Kit_BOM!$A$2:$A$300,$A$12,Kit_BOM!$G$2:$G$300,"DNP")*$C$12,0)+SUMIFS(Kit_BOM!$F$2:$F$300,Kit_BOM!$E$2:$E$300,$A63,Kit_BOM!$A$2:$A$300,$H$5,Kit_BOM!$G$2:$G$300,"Bestücken")*$J$5+SUMIFS(Kit_BOM!$F$2:$F$300,Kit_BOM!$E$2:$E$300,$A63,Kit_BOM!$A$2:$A$300,$H$5,Kit_BOM!$G$2:$G$300,"Mechanical")*$J$5+IF($F$5="Ja",SUMIFS(Kit_BOM!$F$2:$F$300,Kit_BOM!$E$2:$E$300,$A63,Kit_BOM!$A$2:$A$300,$H$5,Kit_BOM!$G$2:$G$300,"Optional")*$J$5,0)+IF($F$6="Ja",SUMIFS(Kit_BOM!$F$2:$F$300,Kit_BOM!$E$2:$E$300,$A63,Kit_BOM!$A$2:$A$300,$H$5,Kit_BOM!$G$2:$G$300,"DNP")*$J$5,0)+SUMIFS(Kit_BOM!$F$2:$F$300,Kit_BOM!$E$2:$E$300,$A63,Kit_BOM!$A$2:$A$300,$H$6,Kit_BOM!$G$2:$G$300,"Bestücken")*$J$6+SUMIFS(Kit_BOM!$F$2:$F$300,Kit_BOM!$E$2:$E$300,$A63,Kit_BOM!$A$2:$A$300,$H$6,Kit_BOM!$G$2:$G$300,"Mechanical")*$J$6+IF($F$5="Ja",SUMIFS(Kit_BOM!$F$2:$F$300,Kit_BOM!$E$2:$E$300,$A63,Kit_BOM!$A$2:$A$300,$H$6,Kit_BOM!$G$2:$G$300,"Optional")*$J$6,0)+IF($F$6="Ja",SUMIFS(Kit_BOM!$F$2:$F$300,Kit_BOM!$E$2:$E$300,$A63,Kit_BOM!$A$2:$A$300,$H$6,Kit_BOM!$G$2:$G$300,"DNP")*$J$6,0)</f>
        <v>5</v>
      </c>
      <c r="F63" s="88" t="str">
        <f>IFERROR(IF(_xlfn.XLOOKUP($A63&amp;"|Ja",Part_Suppliers!$L$2:$L$300,Part_Suppliers!$G$2:$G$300,"",0)=0,"",_xlfn.XLOOKUP($A63&amp;"|Ja",Part_Suppliers!$L$2:$L$300,Part_Suppliers!$G$2:$G$300,"",0)),"")</f>
        <v/>
      </c>
      <c r="G63" s="88">
        <f t="shared" si="13"/>
        <v>5</v>
      </c>
      <c r="H63" s="89">
        <v>2</v>
      </c>
      <c r="I63" s="89">
        <f t="shared" si="14"/>
        <v>10</v>
      </c>
      <c r="J63" s="85" t="str">
        <f t="shared" ref="J63:J70" si="18">IF(AND(P63&gt;0,P63&lt;&gt;O63),"Manuelle Menge prüfen",IF(E63=0,"Nicht benötigt",IF(L63&lt;0,"Bestand klären",IF(O63=0,"Gedeckt",IF(OR(C63="",C63="Noch festlegen",D63=""),"Artikel offen",IF(H63="","Preis offen","Bestellvorschlag prüfen"))))))</f>
        <v>Gedeckt</v>
      </c>
      <c r="K63" s="87" t="str">
        <f>IFERROR(IF(_xlfn.XLOOKUP($A63&amp;"|Ja",Part_Suppliers!$L$2:$L$300,Part_Suppliers!$D$2:$D$300,"",0)=0,"",_xlfn.XLOOKUP($A63&amp;"|Ja",Part_Suppliers!$L$2:$L$300,Part_Suppliers!$D$2:$D$300,"",0)),"")</f>
        <v>https://www.ebay.de/itm/204799651912</v>
      </c>
      <c r="L63" s="119">
        <f>IFERROR(VLOOKUP($A63,Stock!$A$5:$K$200,10,FALSE()),0)</f>
        <v>0</v>
      </c>
      <c r="M63" s="119">
        <f>IFERROR(VLOOKUP($A63,Stock!$A$5:$K$200,11,FALSE()),0)</f>
        <v>5</v>
      </c>
      <c r="N63" s="119">
        <f t="shared" si="15"/>
        <v>0</v>
      </c>
      <c r="O63" s="119">
        <f t="shared" si="16"/>
        <v>0</v>
      </c>
      <c r="P63" s="91">
        <v>0</v>
      </c>
      <c r="Q63" s="92">
        <f t="shared" si="17"/>
        <v>0</v>
      </c>
      <c r="R63" s="93">
        <f>SUMIFS(Part_Alternatives!$H$2:$H$200,Part_Alternatives!$A$2:$A$200,$A63,Part_Alternatives!$E$2:$E$200,"Ja")</f>
        <v>0</v>
      </c>
      <c r="S63" s="93">
        <f>SUMIFS(Part_Alternatives!$I$2:$I$200,Part_Alternatives!$A$2:$A$200,$A63,Part_Alternatives!$E$2:$E$200,"Ja")</f>
        <v>0</v>
      </c>
      <c r="T63" s="85" t="str">
        <f>IFERROR(VLOOKUP($A63,Part_Alternatives!$A$2:$K$200,10,FALSE()),"")</f>
        <v/>
      </c>
    </row>
    <row r="64" spans="1:20" ht="14" hidden="1" customHeight="1" x14ac:dyDescent="0.2">
      <c r="A64" t="s">
        <v>183</v>
      </c>
      <c r="B64" t="str">
        <f>IFERROR(VLOOKUP($A64,Parts!$A$2:$M$191,3,FALSE()),"")</f>
        <v>SMD-Widerstand 5,1 kOhm, 5 %, 1206</v>
      </c>
      <c r="C64" t="str">
        <f>IFERROR(IF(_xlfn.XLOOKUP($A64&amp;"|Ja",Part_Suppliers!$L$2:$L$300,Part_Suppliers!$B$2:$B$300,"",0)=0,"",_xlfn.XLOOKUP($A64&amp;"|Ja",Part_Suppliers!$L$2:$L$300,Part_Suppliers!$B$2:$B$300,"",0)),"")</f>
        <v>Reichelt</v>
      </c>
      <c r="D64" t="str">
        <f>IFERROR(IF(_xlfn.XLOOKUP($A64&amp;"|Ja",Part_Suppliers!$L$2:$L$300,Part_Suppliers!$C$2:$C$300,"",0)=0,"",_xlfn.XLOOKUP($A64&amp;"|Ja",Part_Suppliers!$L$2:$L$300,Part_Suppliers!$C$2:$C$300,"",0)),"")</f>
        <v>SMD 1/4W 5,1K</v>
      </c>
      <c r="E64">
        <f>SUMIFS(Kit_BOM!$F$2:$F$300,Kit_BOM!$E$2:$E$300,$A64,Kit_BOM!$A$2:$A$300,$A$5,Kit_BOM!$G$2:$G$300,"Bestücken")*$C$5+SUMIFS(Kit_BOM!$F$2:$F$300,Kit_BOM!$E$2:$E$300,$A64,Kit_BOM!$A$2:$A$300,$A$5,Kit_BOM!$G$2:$G$300,"Mechanical")*$C$5+IF($F$5="Ja",SUMIFS(Kit_BOM!$F$2:$F$300,Kit_BOM!$E$2:$E$300,$A64,Kit_BOM!$A$2:$A$300,$A$5,Kit_BOM!$G$2:$G$300,"Optional")*$C$5,0)+IF($F$6="Ja",SUMIFS(Kit_BOM!$F$2:$F$300,Kit_BOM!$E$2:$E$300,$A64,Kit_BOM!$A$2:$A$300,$A$5,Kit_BOM!$G$2:$G$300,"DNP")*$C$5,0)+SUMIFS(Kit_BOM!$F$2:$F$300,Kit_BOM!$E$2:$E$300,$A64,Kit_BOM!$A$2:$A$300,$A$6,Kit_BOM!$G$2:$G$300,"Bestücken")*$C$6+SUMIFS(Kit_BOM!$F$2:$F$300,Kit_BOM!$E$2:$E$300,$A64,Kit_BOM!$A$2:$A$300,$A$6,Kit_BOM!$G$2:$G$300,"Mechanical")*$C$6+IF($F$5="Ja",SUMIFS(Kit_BOM!$F$2:$F$300,Kit_BOM!$E$2:$E$300,$A64,Kit_BOM!$A$2:$A$300,$A$6,Kit_BOM!$G$2:$G$300,"Optional")*$C$6,0)+IF($F$6="Ja",SUMIFS(Kit_BOM!$F$2:$F$300,Kit_BOM!$E$2:$E$300,$A64,Kit_BOM!$A$2:$A$300,$A$6,Kit_BOM!$G$2:$G$300,"DNP")*$C$6,0)+SUMIFS(Kit_BOM!$F$2:$F$300,Kit_BOM!$E$2:$E$300,$A64,Kit_BOM!$A$2:$A$300,$A$7,Kit_BOM!$G$2:$G$300,"Bestücken")*$C$7+SUMIFS(Kit_BOM!$F$2:$F$300,Kit_BOM!$E$2:$E$300,$A64,Kit_BOM!$A$2:$A$300,$A$7,Kit_BOM!$G$2:$G$300,"Mechanical")*$C$7+IF($F$5="Ja",SUMIFS(Kit_BOM!$F$2:$F$300,Kit_BOM!$E$2:$E$300,$A64,Kit_BOM!$A$2:$A$300,$A$7,Kit_BOM!$G$2:$G$300,"Optional")*$C$7,0)+IF($F$6="Ja",SUMIFS(Kit_BOM!$F$2:$F$300,Kit_BOM!$E$2:$E$300,$A64,Kit_BOM!$A$2:$A$300,$A$7,Kit_BOM!$G$2:$G$300,"DNP")*$C$7,0)+SUMIFS(Kit_BOM!$F$2:$F$300,Kit_BOM!$E$2:$E$300,$A64,Kit_BOM!$A$2:$A$300,$A$8,Kit_BOM!$G$2:$G$300,"Bestücken")*$C$8+SUMIFS(Kit_BOM!$F$2:$F$300,Kit_BOM!$E$2:$E$300,$A64,Kit_BOM!$A$2:$A$300,$A$8,Kit_BOM!$G$2:$G$300,"Mechanical")*$C$8+IF($F$5="Ja",SUMIFS(Kit_BOM!$F$2:$F$300,Kit_BOM!$E$2:$E$300,$A64,Kit_BOM!$A$2:$A$300,$A$8,Kit_BOM!$G$2:$G$300,"Optional")*$C$8,0)+IF($F$6="Ja",SUMIFS(Kit_BOM!$F$2:$F$300,Kit_BOM!$E$2:$E$300,$A64,Kit_BOM!$A$2:$A$300,$A$8,Kit_BOM!$G$2:$G$300,"DNP")*$C$8,0)+SUMIFS(Kit_BOM!$F$2:$F$300,Kit_BOM!$E$2:$E$300,$A64,Kit_BOM!$A$2:$A$300,$A$9,Kit_BOM!$G$2:$G$300,"Bestücken")*$C$9+SUMIFS(Kit_BOM!$F$2:$F$300,Kit_BOM!$E$2:$E$300,$A64,Kit_BOM!$A$2:$A$300,$A$9,Kit_BOM!$G$2:$G$300,"Mechanical")*$C$9+IF($F$5="Ja",SUMIFS(Kit_BOM!$F$2:$F$300,Kit_BOM!$E$2:$E$300,$A64,Kit_BOM!$A$2:$A$300,$A$9,Kit_BOM!$G$2:$G$300,"Optional")*$C$9,0)+IF($F$6="Ja",SUMIFS(Kit_BOM!$F$2:$F$300,Kit_BOM!$E$2:$E$300,$A64,Kit_BOM!$A$2:$A$300,$A$9,Kit_BOM!$G$2:$G$300,"DNP")*$C$9,0)+SUMIFS(Kit_BOM!$F$2:$F$300,Kit_BOM!$E$2:$E$300,$A64,Kit_BOM!$A$2:$A$300,$A$10,Kit_BOM!$G$2:$G$300,"Bestücken")*$C$10+SUMIFS(Kit_BOM!$F$2:$F$300,Kit_BOM!$E$2:$E$300,$A64,Kit_BOM!$A$2:$A$300,$A$10,Kit_BOM!$G$2:$G$300,"Mechanical")*$C$10+IF($F$5="Ja",SUMIFS(Kit_BOM!$F$2:$F$300,Kit_BOM!$E$2:$E$300,$A64,Kit_BOM!$A$2:$A$300,$A$10,Kit_BOM!$G$2:$G$300,"Optional")*$C$10,0)+IF($F$6="Ja",SUMIFS(Kit_BOM!$F$2:$F$300,Kit_BOM!$E$2:$E$300,$A64,Kit_BOM!$A$2:$A$300,$A$10,Kit_BOM!$G$2:$G$300,"DNP")*$C$10,0)+SUMIFS(Kit_BOM!$F$2:$F$300,Kit_BOM!$E$2:$E$300,$A64,Kit_BOM!$A$2:$A$300,$A$11,Kit_BOM!$G$2:$G$300,"Bestücken")*$C$11+SUMIFS(Kit_BOM!$F$2:$F$300,Kit_BOM!$E$2:$E$300,$A64,Kit_BOM!$A$2:$A$300,$A$11,Kit_BOM!$G$2:$G$300,"Mechanical")*$C$11+IF($F$5="Ja",SUMIFS(Kit_BOM!$F$2:$F$300,Kit_BOM!$E$2:$E$300,$A64,Kit_BOM!$A$2:$A$300,$A$11,Kit_BOM!$G$2:$G$300,"Optional")*$C$11,0)+IF($F$6="Ja",SUMIFS(Kit_BOM!$F$2:$F$300,Kit_BOM!$E$2:$E$300,$A64,Kit_BOM!$A$2:$A$300,$A$11,Kit_BOM!$G$2:$G$300,"DNP")*$C$11,0)+SUMIFS(Kit_BOM!$F$2:$F$300,Kit_BOM!$E$2:$E$300,$A64,Kit_BOM!$A$2:$A$300,$A$12,Kit_BOM!$G$2:$G$300,"Bestücken")*$C$12+SUMIFS(Kit_BOM!$F$2:$F$300,Kit_BOM!$E$2:$E$300,$A64,Kit_BOM!$A$2:$A$300,$A$12,Kit_BOM!$G$2:$G$300,"Mechanical")*$C$12+IF($F$5="Ja",SUMIFS(Kit_BOM!$F$2:$F$300,Kit_BOM!$E$2:$E$300,$A64,Kit_BOM!$A$2:$A$300,$A$12,Kit_BOM!$G$2:$G$300,"Optional")*$C$12,0)+IF($F$6="Ja",SUMIFS(Kit_BOM!$F$2:$F$300,Kit_BOM!$E$2:$E$300,$A64,Kit_BOM!$A$2:$A$300,$A$12,Kit_BOM!$G$2:$G$300,"DNP")*$C$12,0)+SUMIFS(Kit_BOM!$F$2:$F$300,Kit_BOM!$E$2:$E$300,$A64,Kit_BOM!$A$2:$A$300,$H$5,Kit_BOM!$G$2:$G$300,"Bestücken")*$J$5+SUMIFS(Kit_BOM!$F$2:$F$300,Kit_BOM!$E$2:$E$300,$A64,Kit_BOM!$A$2:$A$300,$H$5,Kit_BOM!$G$2:$G$300,"Mechanical")*$J$5+IF($F$5="Ja",SUMIFS(Kit_BOM!$F$2:$F$300,Kit_BOM!$E$2:$E$300,$A64,Kit_BOM!$A$2:$A$300,$H$5,Kit_BOM!$G$2:$G$300,"Optional")*$J$5,0)+IF($F$6="Ja",SUMIFS(Kit_BOM!$F$2:$F$300,Kit_BOM!$E$2:$E$300,$A64,Kit_BOM!$A$2:$A$300,$H$5,Kit_BOM!$G$2:$G$300,"DNP")*$J$5,0)+SUMIFS(Kit_BOM!$F$2:$F$300,Kit_BOM!$E$2:$E$300,$A64,Kit_BOM!$A$2:$A$300,$H$6,Kit_BOM!$G$2:$G$300,"Bestücken")*$J$6+SUMIFS(Kit_BOM!$F$2:$F$300,Kit_BOM!$E$2:$E$300,$A64,Kit_BOM!$A$2:$A$300,$H$6,Kit_BOM!$G$2:$G$300,"Mechanical")*$J$6+IF($F$5="Ja",SUMIFS(Kit_BOM!$F$2:$F$300,Kit_BOM!$E$2:$E$300,$A64,Kit_BOM!$A$2:$A$300,$H$6,Kit_BOM!$G$2:$G$300,"Optional")*$J$6,0)+IF($F$6="Ja",SUMIFS(Kit_BOM!$F$2:$F$300,Kit_BOM!$E$2:$E$300,$A64,Kit_BOM!$A$2:$A$300,$H$6,Kit_BOM!$G$2:$G$300,"DNP")*$J$6,0)</f>
        <v>0</v>
      </c>
      <c r="F64" t="str">
        <f>IFERROR(IF(_xlfn.XLOOKUP($A64&amp;"|Ja",Part_Suppliers!$L$2:$L$300,Part_Suppliers!$G$2:$G$300,"",0)=0,"",_xlfn.XLOOKUP($A64&amp;"|Ja",Part_Suppliers!$L$2:$L$300,Part_Suppliers!$G$2:$G$300,"",0)),"")</f>
        <v/>
      </c>
      <c r="G64">
        <f t="shared" si="13"/>
        <v>0</v>
      </c>
      <c r="H64">
        <f>IFERROR(IF(_xlfn.XLOOKUP($A64&amp;"|Ja",Part_Suppliers!$L$2:$L$300,Part_Suppliers!$E$2:$E$300,"",0)=0,"",_xlfn.XLOOKUP($A64&amp;"|Ja",Part_Suppliers!$L$2:$L$300,Part_Suppliers!$E$2:$E$300,"",0)),"")</f>
        <v>0.06</v>
      </c>
      <c r="I64">
        <f t="shared" si="14"/>
        <v>0</v>
      </c>
      <c r="J64" t="str">
        <f t="shared" si="18"/>
        <v>Manuelle Menge prüfen</v>
      </c>
      <c r="K64" t="str">
        <f>IFERROR(IF(_xlfn.XLOOKUP($A64&amp;"|Ja",Part_Suppliers!$L$2:$L$300,Part_Suppliers!$D$2:$D$300,"",0)=0,"",_xlfn.XLOOKUP($A64&amp;"|Ja",Part_Suppliers!$L$2:$L$300,Part_Suppliers!$D$2:$D$300,"",0)),"")</f>
        <v>https://www.reichelt.de/de/de/shop/produkt/smd-widerstand_1206_5_1_kohm_250_mw_5_-18341</v>
      </c>
      <c r="L64">
        <f>IFERROR(VLOOKUP($A64,Stock!$A$5:$K$200,10,FALSE()),0)</f>
        <v>0</v>
      </c>
      <c r="M64">
        <f>IFERROR(VLOOKUP($A64,Stock!$A$5:$K$200,11,FALSE()),0)</f>
        <v>20</v>
      </c>
      <c r="N64">
        <f t="shared" si="15"/>
        <v>22</v>
      </c>
      <c r="O64">
        <f t="shared" si="16"/>
        <v>0</v>
      </c>
      <c r="P64" s="48">
        <v>6</v>
      </c>
      <c r="Q64" s="49">
        <f t="shared" si="17"/>
        <v>0.36</v>
      </c>
      <c r="R64" s="82">
        <f>SUMIFS(Part_Alternatives!$H$2:$H$200,Part_Alternatives!$A$2:$A$200,$A64,Part_Alternatives!$E$2:$E$200,"Ja")</f>
        <v>2</v>
      </c>
      <c r="S64" s="82">
        <f>SUMIFS(Part_Alternatives!$I$2:$I$200,Part_Alternatives!$A$2:$A$200,$A64,Part_Alternatives!$E$2:$E$200,"Ja")</f>
        <v>0</v>
      </c>
      <c r="T64" s="80" t="str">
        <f>IFERROR(VLOOKUP($A64,Part_Alternatives!$A$2:$K$200,10,FALSE()),"")</f>
        <v>ENP-00110 · höherwertiger Ersatz</v>
      </c>
    </row>
    <row r="65" spans="1:20" ht="14" hidden="1" customHeight="1" x14ac:dyDescent="0.15">
      <c r="A65" t="s">
        <v>136</v>
      </c>
      <c r="B65" t="str">
        <f>IFERROR(VLOOKUP($A65,Parts!$A$2:$M$191,3,FALSE()),"")</f>
        <v>Widerstand, Metallschicht, 2 Ohm, 0207, 600 mW, 1 %</v>
      </c>
      <c r="C65" t="str">
        <f>IFERROR(IF(_xlfn.XLOOKUP($A65&amp;"|Ja",Part_Suppliers!$L$2:$L$300,Part_Suppliers!$B$2:$B$300,"",0)=0,"",_xlfn.XLOOKUP($A65&amp;"|Ja",Part_Suppliers!$L$2:$L$300,Part_Suppliers!$B$2:$B$300,"",0)),"")</f>
        <v>Reichelt</v>
      </c>
      <c r="D65" t="str">
        <f>IFERROR(IF(_xlfn.XLOOKUP($A65&amp;"|Ja",Part_Suppliers!$L$2:$L$300,Part_Suppliers!$C$2:$C$300,"",0)=0,"",_xlfn.XLOOKUP($A65&amp;"|Ja",Part_Suppliers!$L$2:$L$300,Part_Suppliers!$C$2:$C$300,"",0)),"")</f>
        <v>METALL 2,00</v>
      </c>
      <c r="E65">
        <f>SUMIFS(Kit_BOM!$F$2:$F$300,Kit_BOM!$E$2:$E$300,$A65,Kit_BOM!$A$2:$A$300,$A$5,Kit_BOM!$G$2:$G$300,"Bestücken")*$C$5+SUMIFS(Kit_BOM!$F$2:$F$300,Kit_BOM!$E$2:$E$300,$A65,Kit_BOM!$A$2:$A$300,$A$5,Kit_BOM!$G$2:$G$300,"Mechanical")*$C$5+IF($F$5="Ja",SUMIFS(Kit_BOM!$F$2:$F$300,Kit_BOM!$E$2:$E$300,$A65,Kit_BOM!$A$2:$A$300,$A$5,Kit_BOM!$G$2:$G$300,"Optional")*$C$5,0)+IF($F$6="Ja",SUMIFS(Kit_BOM!$F$2:$F$300,Kit_BOM!$E$2:$E$300,$A65,Kit_BOM!$A$2:$A$300,$A$5,Kit_BOM!$G$2:$G$300,"DNP")*$C$5,0)+SUMIFS(Kit_BOM!$F$2:$F$300,Kit_BOM!$E$2:$E$300,$A65,Kit_BOM!$A$2:$A$300,$A$6,Kit_BOM!$G$2:$G$300,"Bestücken")*$C$6+SUMIFS(Kit_BOM!$F$2:$F$300,Kit_BOM!$E$2:$E$300,$A65,Kit_BOM!$A$2:$A$300,$A$6,Kit_BOM!$G$2:$G$300,"Mechanical")*$C$6+IF($F$5="Ja",SUMIFS(Kit_BOM!$F$2:$F$300,Kit_BOM!$E$2:$E$300,$A65,Kit_BOM!$A$2:$A$300,$A$6,Kit_BOM!$G$2:$G$300,"Optional")*$C$6,0)+IF($F$6="Ja",SUMIFS(Kit_BOM!$F$2:$F$300,Kit_BOM!$E$2:$E$300,$A65,Kit_BOM!$A$2:$A$300,$A$6,Kit_BOM!$G$2:$G$300,"DNP")*$C$6,0)+SUMIFS(Kit_BOM!$F$2:$F$300,Kit_BOM!$E$2:$E$300,$A65,Kit_BOM!$A$2:$A$300,$A$7,Kit_BOM!$G$2:$G$300,"Bestücken")*$C$7+SUMIFS(Kit_BOM!$F$2:$F$300,Kit_BOM!$E$2:$E$300,$A65,Kit_BOM!$A$2:$A$300,$A$7,Kit_BOM!$G$2:$G$300,"Mechanical")*$C$7+IF($F$5="Ja",SUMIFS(Kit_BOM!$F$2:$F$300,Kit_BOM!$E$2:$E$300,$A65,Kit_BOM!$A$2:$A$300,$A$7,Kit_BOM!$G$2:$G$300,"Optional")*$C$7,0)+IF($F$6="Ja",SUMIFS(Kit_BOM!$F$2:$F$300,Kit_BOM!$E$2:$E$300,$A65,Kit_BOM!$A$2:$A$300,$A$7,Kit_BOM!$G$2:$G$300,"DNP")*$C$7,0)+SUMIFS(Kit_BOM!$F$2:$F$300,Kit_BOM!$E$2:$E$300,$A65,Kit_BOM!$A$2:$A$300,$A$8,Kit_BOM!$G$2:$G$300,"Bestücken")*$C$8+SUMIFS(Kit_BOM!$F$2:$F$300,Kit_BOM!$E$2:$E$300,$A65,Kit_BOM!$A$2:$A$300,$A$8,Kit_BOM!$G$2:$G$300,"Mechanical")*$C$8+IF($F$5="Ja",SUMIFS(Kit_BOM!$F$2:$F$300,Kit_BOM!$E$2:$E$300,$A65,Kit_BOM!$A$2:$A$300,$A$8,Kit_BOM!$G$2:$G$300,"Optional")*$C$8,0)+IF($F$6="Ja",SUMIFS(Kit_BOM!$F$2:$F$300,Kit_BOM!$E$2:$E$300,$A65,Kit_BOM!$A$2:$A$300,$A$8,Kit_BOM!$G$2:$G$300,"DNP")*$C$8,0)+SUMIFS(Kit_BOM!$F$2:$F$300,Kit_BOM!$E$2:$E$300,$A65,Kit_BOM!$A$2:$A$300,$A$9,Kit_BOM!$G$2:$G$300,"Bestücken")*$C$9+SUMIFS(Kit_BOM!$F$2:$F$300,Kit_BOM!$E$2:$E$300,$A65,Kit_BOM!$A$2:$A$300,$A$9,Kit_BOM!$G$2:$G$300,"Mechanical")*$C$9+IF($F$5="Ja",SUMIFS(Kit_BOM!$F$2:$F$300,Kit_BOM!$E$2:$E$300,$A65,Kit_BOM!$A$2:$A$300,$A$9,Kit_BOM!$G$2:$G$300,"Optional")*$C$9,0)+IF($F$6="Ja",SUMIFS(Kit_BOM!$F$2:$F$300,Kit_BOM!$E$2:$E$300,$A65,Kit_BOM!$A$2:$A$300,$A$9,Kit_BOM!$G$2:$G$300,"DNP")*$C$9,0)+SUMIFS(Kit_BOM!$F$2:$F$300,Kit_BOM!$E$2:$E$300,$A65,Kit_BOM!$A$2:$A$300,$A$10,Kit_BOM!$G$2:$G$300,"Bestücken")*$C$10+SUMIFS(Kit_BOM!$F$2:$F$300,Kit_BOM!$E$2:$E$300,$A65,Kit_BOM!$A$2:$A$300,$A$10,Kit_BOM!$G$2:$G$300,"Mechanical")*$C$10+IF($F$5="Ja",SUMIFS(Kit_BOM!$F$2:$F$300,Kit_BOM!$E$2:$E$300,$A65,Kit_BOM!$A$2:$A$300,$A$10,Kit_BOM!$G$2:$G$300,"Optional")*$C$10,0)+IF($F$6="Ja",SUMIFS(Kit_BOM!$F$2:$F$300,Kit_BOM!$E$2:$E$300,$A65,Kit_BOM!$A$2:$A$300,$A$10,Kit_BOM!$G$2:$G$300,"DNP")*$C$10,0)+SUMIFS(Kit_BOM!$F$2:$F$300,Kit_BOM!$E$2:$E$300,$A65,Kit_BOM!$A$2:$A$300,$A$11,Kit_BOM!$G$2:$G$300,"Bestücken")*$C$11+SUMIFS(Kit_BOM!$F$2:$F$300,Kit_BOM!$E$2:$E$300,$A65,Kit_BOM!$A$2:$A$300,$A$11,Kit_BOM!$G$2:$G$300,"Mechanical")*$C$11+IF($F$5="Ja",SUMIFS(Kit_BOM!$F$2:$F$300,Kit_BOM!$E$2:$E$300,$A65,Kit_BOM!$A$2:$A$300,$A$11,Kit_BOM!$G$2:$G$300,"Optional")*$C$11,0)+IF($F$6="Ja",SUMIFS(Kit_BOM!$F$2:$F$300,Kit_BOM!$E$2:$E$300,$A65,Kit_BOM!$A$2:$A$300,$A$11,Kit_BOM!$G$2:$G$300,"DNP")*$C$11,0)+SUMIFS(Kit_BOM!$F$2:$F$300,Kit_BOM!$E$2:$E$300,$A65,Kit_BOM!$A$2:$A$300,$A$12,Kit_BOM!$G$2:$G$300,"Bestücken")*$C$12+SUMIFS(Kit_BOM!$F$2:$F$300,Kit_BOM!$E$2:$E$300,$A65,Kit_BOM!$A$2:$A$300,$A$12,Kit_BOM!$G$2:$G$300,"Mechanical")*$C$12+IF($F$5="Ja",SUMIFS(Kit_BOM!$F$2:$F$300,Kit_BOM!$E$2:$E$300,$A65,Kit_BOM!$A$2:$A$300,$A$12,Kit_BOM!$G$2:$G$300,"Optional")*$C$12,0)+IF($F$6="Ja",SUMIFS(Kit_BOM!$F$2:$F$300,Kit_BOM!$E$2:$E$300,$A65,Kit_BOM!$A$2:$A$300,$A$12,Kit_BOM!$G$2:$G$300,"DNP")*$C$12,0)+SUMIFS(Kit_BOM!$F$2:$F$300,Kit_BOM!$E$2:$E$300,$A65,Kit_BOM!$A$2:$A$300,$H$5,Kit_BOM!$G$2:$G$300,"Bestücken")*$J$5+SUMIFS(Kit_BOM!$F$2:$F$300,Kit_BOM!$E$2:$E$300,$A65,Kit_BOM!$A$2:$A$300,$H$5,Kit_BOM!$G$2:$G$300,"Mechanical")*$J$5+IF($F$5="Ja",SUMIFS(Kit_BOM!$F$2:$F$300,Kit_BOM!$E$2:$E$300,$A65,Kit_BOM!$A$2:$A$300,$H$5,Kit_BOM!$G$2:$G$300,"Optional")*$J$5,0)+IF($F$6="Ja",SUMIFS(Kit_BOM!$F$2:$F$300,Kit_BOM!$E$2:$E$300,$A65,Kit_BOM!$A$2:$A$300,$H$5,Kit_BOM!$G$2:$G$300,"DNP")*$J$5,0)+SUMIFS(Kit_BOM!$F$2:$F$300,Kit_BOM!$E$2:$E$300,$A65,Kit_BOM!$A$2:$A$300,$H$6,Kit_BOM!$G$2:$G$300,"Bestücken")*$J$6+SUMIFS(Kit_BOM!$F$2:$F$300,Kit_BOM!$E$2:$E$300,$A65,Kit_BOM!$A$2:$A$300,$H$6,Kit_BOM!$G$2:$G$300,"Mechanical")*$J$6+IF($F$5="Ja",SUMIFS(Kit_BOM!$F$2:$F$300,Kit_BOM!$E$2:$E$300,$A65,Kit_BOM!$A$2:$A$300,$H$6,Kit_BOM!$G$2:$G$300,"Optional")*$J$6,0)+IF($F$6="Ja",SUMIFS(Kit_BOM!$F$2:$F$300,Kit_BOM!$E$2:$E$300,$A65,Kit_BOM!$A$2:$A$300,$H$6,Kit_BOM!$G$2:$G$300,"DNP")*$J$6,0)</f>
        <v>2</v>
      </c>
      <c r="F65" t="str">
        <f>IFERROR(IF(_xlfn.XLOOKUP($A65&amp;"|Ja",Part_Suppliers!$L$2:$L$300,Part_Suppliers!$G$2:$G$300,"",0)=0,"",_xlfn.XLOOKUP($A65&amp;"|Ja",Part_Suppliers!$L$2:$L$300,Part_Suppliers!$G$2:$G$300,"",0)),"")</f>
        <v/>
      </c>
      <c r="G65">
        <f t="shared" si="13"/>
        <v>2</v>
      </c>
      <c r="H65">
        <f>IFERROR(IF(_xlfn.XLOOKUP($A65&amp;"|Ja",Part_Suppliers!$L$2:$L$300,Part_Suppliers!$E$2:$E$300,"",0)=0,"",_xlfn.XLOOKUP($A65&amp;"|Ja",Part_Suppliers!$L$2:$L$300,Part_Suppliers!$E$2:$E$300,"",0)),"")</f>
        <v>0.08</v>
      </c>
      <c r="I65">
        <f t="shared" si="14"/>
        <v>0.16</v>
      </c>
      <c r="J65" t="str">
        <f t="shared" si="18"/>
        <v>Manuelle Menge prüfen</v>
      </c>
      <c r="K65" t="str">
        <f>IFERROR(IF(_xlfn.XLOOKUP($A65&amp;"|Ja",Part_Suppliers!$L$2:$L$300,Part_Suppliers!$D$2:$D$300,"",0)=0,"",_xlfn.XLOOKUP($A65&amp;"|Ja",Part_Suppliers!$L$2:$L$300,Part_Suppliers!$D$2:$D$300,"",0)),"")</f>
        <v>https://www.reichelt.de/de/de/shop/produkt/widerstand_metallschicht_2_0_ohm_0207_0_6_w_1_-11577</v>
      </c>
      <c r="L65">
        <f>IFERROR(VLOOKUP($A65,Stock!$A$5:$K$200,10,FALSE()),0)</f>
        <v>0</v>
      </c>
      <c r="M65">
        <f>IFERROR(VLOOKUP($A65,Stock!$A$5:$K$200,11,FALSE()),0)</f>
        <v>10</v>
      </c>
      <c r="N65">
        <f t="shared" si="15"/>
        <v>8</v>
      </c>
      <c r="O65">
        <f t="shared" si="16"/>
        <v>0</v>
      </c>
      <c r="P65">
        <v>4</v>
      </c>
      <c r="Q65">
        <f t="shared" si="17"/>
        <v>0.32</v>
      </c>
      <c r="R65">
        <f>SUMIFS(Part_Alternatives!$H$2:$H$200,Part_Alternatives!$A$2:$A$200,$A65,Part_Alternatives!$E$2:$E$200,"Ja")</f>
        <v>0</v>
      </c>
      <c r="S65">
        <f>SUMIFS(Part_Alternatives!$I$2:$I$200,Part_Alternatives!$A$2:$A$200,$A65,Part_Alternatives!$E$2:$E$200,"Ja")</f>
        <v>0</v>
      </c>
      <c r="T65" t="str">
        <f>IFERROR(VLOOKUP($A65,Part_Alternatives!$A$2:$K$200,10,FALSE()),"")</f>
        <v/>
      </c>
    </row>
    <row r="66" spans="1:20" ht="14" hidden="1" customHeight="1" x14ac:dyDescent="0.15">
      <c r="A66" t="s">
        <v>135</v>
      </c>
      <c r="B66" t="str">
        <f>IFERROR(VLOOKUP($A66,Parts!$A$2:$M$191,3,FALSE()),"")</f>
        <v>Keramikkondensator 10 nF SMD</v>
      </c>
      <c r="C66" t="str">
        <f>IFERROR(IF(_xlfn.XLOOKUP($A66&amp;"|Ja",Part_Suppliers!$L$2:$L$300,Part_Suppliers!$B$2:$B$300,"",0)=0,"",_xlfn.XLOOKUP($A66&amp;"|Ja",Part_Suppliers!$L$2:$L$300,Part_Suppliers!$B$2:$B$300,"",0)),"")</f>
        <v>Reichelt</v>
      </c>
      <c r="D66" t="str">
        <f>IFERROR(IF(_xlfn.XLOOKUP($A66&amp;"|Ja",Part_Suppliers!$L$2:$L$300,Part_Suppliers!$C$2:$C$300,"",0)=0,"",_xlfn.XLOOKUP($A66&amp;"|Ja",Part_Suppliers!$L$2:$L$300,Part_Suppliers!$C$2:$C$300,"",0)),"")</f>
        <v>12061C103JAT2A</v>
      </c>
      <c r="E66">
        <f>SUMIFS(Kit_BOM!$F$2:$F$300,Kit_BOM!$E$2:$E$300,$A66,Kit_BOM!$A$2:$A$300,$A$5,Kit_BOM!$G$2:$G$300,"Bestücken")*$C$5+SUMIFS(Kit_BOM!$F$2:$F$300,Kit_BOM!$E$2:$E$300,$A66,Kit_BOM!$A$2:$A$300,$A$5,Kit_BOM!$G$2:$G$300,"Mechanical")*$C$5+IF($F$5="Ja",SUMIFS(Kit_BOM!$F$2:$F$300,Kit_BOM!$E$2:$E$300,$A66,Kit_BOM!$A$2:$A$300,$A$5,Kit_BOM!$G$2:$G$300,"Optional")*$C$5,0)+IF($F$6="Ja",SUMIFS(Kit_BOM!$F$2:$F$300,Kit_BOM!$E$2:$E$300,$A66,Kit_BOM!$A$2:$A$300,$A$5,Kit_BOM!$G$2:$G$300,"DNP")*$C$5,0)+SUMIFS(Kit_BOM!$F$2:$F$300,Kit_BOM!$E$2:$E$300,$A66,Kit_BOM!$A$2:$A$300,$A$6,Kit_BOM!$G$2:$G$300,"Bestücken")*$C$6+SUMIFS(Kit_BOM!$F$2:$F$300,Kit_BOM!$E$2:$E$300,$A66,Kit_BOM!$A$2:$A$300,$A$6,Kit_BOM!$G$2:$G$300,"Mechanical")*$C$6+IF($F$5="Ja",SUMIFS(Kit_BOM!$F$2:$F$300,Kit_BOM!$E$2:$E$300,$A66,Kit_BOM!$A$2:$A$300,$A$6,Kit_BOM!$G$2:$G$300,"Optional")*$C$6,0)+IF($F$6="Ja",SUMIFS(Kit_BOM!$F$2:$F$300,Kit_BOM!$E$2:$E$300,$A66,Kit_BOM!$A$2:$A$300,$A$6,Kit_BOM!$G$2:$G$300,"DNP")*$C$6,0)+SUMIFS(Kit_BOM!$F$2:$F$300,Kit_BOM!$E$2:$E$300,$A66,Kit_BOM!$A$2:$A$300,$A$7,Kit_BOM!$G$2:$G$300,"Bestücken")*$C$7+SUMIFS(Kit_BOM!$F$2:$F$300,Kit_BOM!$E$2:$E$300,$A66,Kit_BOM!$A$2:$A$300,$A$7,Kit_BOM!$G$2:$G$300,"Mechanical")*$C$7+IF($F$5="Ja",SUMIFS(Kit_BOM!$F$2:$F$300,Kit_BOM!$E$2:$E$300,$A66,Kit_BOM!$A$2:$A$300,$A$7,Kit_BOM!$G$2:$G$300,"Optional")*$C$7,0)+IF($F$6="Ja",SUMIFS(Kit_BOM!$F$2:$F$300,Kit_BOM!$E$2:$E$300,$A66,Kit_BOM!$A$2:$A$300,$A$7,Kit_BOM!$G$2:$G$300,"DNP")*$C$7,0)+SUMIFS(Kit_BOM!$F$2:$F$300,Kit_BOM!$E$2:$E$300,$A66,Kit_BOM!$A$2:$A$300,$A$8,Kit_BOM!$G$2:$G$300,"Bestücken")*$C$8+SUMIFS(Kit_BOM!$F$2:$F$300,Kit_BOM!$E$2:$E$300,$A66,Kit_BOM!$A$2:$A$300,$A$8,Kit_BOM!$G$2:$G$300,"Mechanical")*$C$8+IF($F$5="Ja",SUMIFS(Kit_BOM!$F$2:$F$300,Kit_BOM!$E$2:$E$300,$A66,Kit_BOM!$A$2:$A$300,$A$8,Kit_BOM!$G$2:$G$300,"Optional")*$C$8,0)+IF($F$6="Ja",SUMIFS(Kit_BOM!$F$2:$F$300,Kit_BOM!$E$2:$E$300,$A66,Kit_BOM!$A$2:$A$300,$A$8,Kit_BOM!$G$2:$G$300,"DNP")*$C$8,0)+SUMIFS(Kit_BOM!$F$2:$F$300,Kit_BOM!$E$2:$E$300,$A66,Kit_BOM!$A$2:$A$300,$A$9,Kit_BOM!$G$2:$G$300,"Bestücken")*$C$9+SUMIFS(Kit_BOM!$F$2:$F$300,Kit_BOM!$E$2:$E$300,$A66,Kit_BOM!$A$2:$A$300,$A$9,Kit_BOM!$G$2:$G$300,"Mechanical")*$C$9+IF($F$5="Ja",SUMIFS(Kit_BOM!$F$2:$F$300,Kit_BOM!$E$2:$E$300,$A66,Kit_BOM!$A$2:$A$300,$A$9,Kit_BOM!$G$2:$G$300,"Optional")*$C$9,0)+IF($F$6="Ja",SUMIFS(Kit_BOM!$F$2:$F$300,Kit_BOM!$E$2:$E$300,$A66,Kit_BOM!$A$2:$A$300,$A$9,Kit_BOM!$G$2:$G$300,"DNP")*$C$9,0)+SUMIFS(Kit_BOM!$F$2:$F$300,Kit_BOM!$E$2:$E$300,$A66,Kit_BOM!$A$2:$A$300,$A$10,Kit_BOM!$G$2:$G$300,"Bestücken")*$C$10+SUMIFS(Kit_BOM!$F$2:$F$300,Kit_BOM!$E$2:$E$300,$A66,Kit_BOM!$A$2:$A$300,$A$10,Kit_BOM!$G$2:$G$300,"Mechanical")*$C$10+IF($F$5="Ja",SUMIFS(Kit_BOM!$F$2:$F$300,Kit_BOM!$E$2:$E$300,$A66,Kit_BOM!$A$2:$A$300,$A$10,Kit_BOM!$G$2:$G$300,"Optional")*$C$10,0)+IF($F$6="Ja",SUMIFS(Kit_BOM!$F$2:$F$300,Kit_BOM!$E$2:$E$300,$A66,Kit_BOM!$A$2:$A$300,$A$10,Kit_BOM!$G$2:$G$300,"DNP")*$C$10,0)+SUMIFS(Kit_BOM!$F$2:$F$300,Kit_BOM!$E$2:$E$300,$A66,Kit_BOM!$A$2:$A$300,$A$11,Kit_BOM!$G$2:$G$300,"Bestücken")*$C$11+SUMIFS(Kit_BOM!$F$2:$F$300,Kit_BOM!$E$2:$E$300,$A66,Kit_BOM!$A$2:$A$300,$A$11,Kit_BOM!$G$2:$G$300,"Mechanical")*$C$11+IF($F$5="Ja",SUMIFS(Kit_BOM!$F$2:$F$300,Kit_BOM!$E$2:$E$300,$A66,Kit_BOM!$A$2:$A$300,$A$11,Kit_BOM!$G$2:$G$300,"Optional")*$C$11,0)+IF($F$6="Ja",SUMIFS(Kit_BOM!$F$2:$F$300,Kit_BOM!$E$2:$E$300,$A66,Kit_BOM!$A$2:$A$300,$A$11,Kit_BOM!$G$2:$G$300,"DNP")*$C$11,0)+SUMIFS(Kit_BOM!$F$2:$F$300,Kit_BOM!$E$2:$E$300,$A66,Kit_BOM!$A$2:$A$300,$A$12,Kit_BOM!$G$2:$G$300,"Bestücken")*$C$12+SUMIFS(Kit_BOM!$F$2:$F$300,Kit_BOM!$E$2:$E$300,$A66,Kit_BOM!$A$2:$A$300,$A$12,Kit_BOM!$G$2:$G$300,"Mechanical")*$C$12+IF($F$5="Ja",SUMIFS(Kit_BOM!$F$2:$F$300,Kit_BOM!$E$2:$E$300,$A66,Kit_BOM!$A$2:$A$300,$A$12,Kit_BOM!$G$2:$G$300,"Optional")*$C$12,0)+IF($F$6="Ja",SUMIFS(Kit_BOM!$F$2:$F$300,Kit_BOM!$E$2:$E$300,$A66,Kit_BOM!$A$2:$A$300,$A$12,Kit_BOM!$G$2:$G$300,"DNP")*$C$12,0)+SUMIFS(Kit_BOM!$F$2:$F$300,Kit_BOM!$E$2:$E$300,$A66,Kit_BOM!$A$2:$A$300,$H$5,Kit_BOM!$G$2:$G$300,"Bestücken")*$J$5+SUMIFS(Kit_BOM!$F$2:$F$300,Kit_BOM!$E$2:$E$300,$A66,Kit_BOM!$A$2:$A$300,$H$5,Kit_BOM!$G$2:$G$300,"Mechanical")*$J$5+IF($F$5="Ja",SUMIFS(Kit_BOM!$F$2:$F$300,Kit_BOM!$E$2:$E$300,$A66,Kit_BOM!$A$2:$A$300,$H$5,Kit_BOM!$G$2:$G$300,"Optional")*$J$5,0)+IF($F$6="Ja",SUMIFS(Kit_BOM!$F$2:$F$300,Kit_BOM!$E$2:$E$300,$A66,Kit_BOM!$A$2:$A$300,$H$5,Kit_BOM!$G$2:$G$300,"DNP")*$J$5,0)+SUMIFS(Kit_BOM!$F$2:$F$300,Kit_BOM!$E$2:$E$300,$A66,Kit_BOM!$A$2:$A$300,$H$6,Kit_BOM!$G$2:$G$300,"Bestücken")*$J$6+SUMIFS(Kit_BOM!$F$2:$F$300,Kit_BOM!$E$2:$E$300,$A66,Kit_BOM!$A$2:$A$300,$H$6,Kit_BOM!$G$2:$G$300,"Mechanical")*$J$6+IF($F$5="Ja",SUMIFS(Kit_BOM!$F$2:$F$300,Kit_BOM!$E$2:$E$300,$A66,Kit_BOM!$A$2:$A$300,$H$6,Kit_BOM!$G$2:$G$300,"Optional")*$J$6,0)+IF($F$6="Ja",SUMIFS(Kit_BOM!$F$2:$F$300,Kit_BOM!$E$2:$E$300,$A66,Kit_BOM!$A$2:$A$300,$H$6,Kit_BOM!$G$2:$G$300,"DNP")*$J$6,0)</f>
        <v>3</v>
      </c>
      <c r="F66" t="str">
        <f>IFERROR(IF(_xlfn.XLOOKUP($A66&amp;"|Ja",Part_Suppliers!$L$2:$L$300,Part_Suppliers!$G$2:$G$300,"",0)=0,"",_xlfn.XLOOKUP($A66&amp;"|Ja",Part_Suppliers!$L$2:$L$300,Part_Suppliers!$G$2:$G$300,"",0)),"")</f>
        <v/>
      </c>
      <c r="G66">
        <f t="shared" si="13"/>
        <v>3</v>
      </c>
      <c r="H66">
        <f>IFERROR(IF(_xlfn.XLOOKUP($A66&amp;"|Ja",Part_Suppliers!$L$2:$L$300,Part_Suppliers!$E$2:$E$300,"",0)=0,"",_xlfn.XLOOKUP($A66&amp;"|Ja",Part_Suppliers!$L$2:$L$300,Part_Suppliers!$E$2:$E$300,"",0)),"")</f>
        <v>0.12</v>
      </c>
      <c r="I66">
        <f t="shared" si="14"/>
        <v>0.36</v>
      </c>
      <c r="J66" t="str">
        <f t="shared" si="18"/>
        <v>Manuelle Menge prüfen</v>
      </c>
      <c r="K66" t="str">
        <f>IFERROR(IF(_xlfn.XLOOKUP($A66&amp;"|Ja",Part_Suppliers!$L$2:$L$300,Part_Suppliers!$D$2:$D$300,"",0)=0,"",_xlfn.XLOOKUP($A66&amp;"|Ja",Part_Suppliers!$L$2:$L$300,Part_Suppliers!$D$2:$D$300,"",0)),"")</f>
        <v>https://www.reichelt.de/de/de/shop/produkt/mlcc_1206_10_nf_100_v_-5_x7r-409237</v>
      </c>
      <c r="L66">
        <f>IFERROR(VLOOKUP($A66,Stock!$A$5:$K$200,10,FALSE()),0)</f>
        <v>0</v>
      </c>
      <c r="M66">
        <f>IFERROR(VLOOKUP($A66,Stock!$A$5:$K$200,11,FALSE()),0)</f>
        <v>10</v>
      </c>
      <c r="N66">
        <f t="shared" si="15"/>
        <v>7</v>
      </c>
      <c r="O66">
        <f t="shared" si="16"/>
        <v>0</v>
      </c>
      <c r="P66">
        <v>6</v>
      </c>
      <c r="Q66">
        <f t="shared" si="17"/>
        <v>0.72</v>
      </c>
      <c r="R66">
        <f>SUMIFS(Part_Alternatives!$H$2:$H$200,Part_Alternatives!$A$2:$A$200,$A66,Part_Alternatives!$E$2:$E$200,"Ja")</f>
        <v>0</v>
      </c>
      <c r="S66">
        <f>SUMIFS(Part_Alternatives!$I$2:$I$200,Part_Alternatives!$A$2:$A$200,$A66,Part_Alternatives!$E$2:$E$200,"Ja")</f>
        <v>0</v>
      </c>
      <c r="T66" t="str">
        <f>IFERROR(VLOOKUP($A66,Part_Alternatives!$A$2:$K$200,10,FALSE()),"")</f>
        <v/>
      </c>
    </row>
    <row r="67" spans="1:20" ht="14" hidden="1" customHeight="1" x14ac:dyDescent="0.2">
      <c r="A67" t="s">
        <v>180</v>
      </c>
      <c r="B67" t="str">
        <f>IFERROR(VLOOKUP($A67,Parts!$A$2:$M$191,3,FALSE()),"")</f>
        <v>DC-Einbaubuchse 5,5/2,1 mm – EnvNode 5-V-Versorgung</v>
      </c>
      <c r="C67" t="str">
        <f>IFERROR(IF(_xlfn.XLOOKUP($A67&amp;"|Ja",Part_Suppliers!$L$2:$L$300,Part_Suppliers!$B$2:$B$300,"",0)=0,"",_xlfn.XLOOKUP($A67&amp;"|Ja",Part_Suppliers!$L$2:$L$300,Part_Suppliers!$B$2:$B$300,"",0)),"")</f>
        <v>Reichelt</v>
      </c>
      <c r="D67" t="str">
        <f>IFERROR(IF(_xlfn.XLOOKUP($A67&amp;"|Ja",Part_Suppliers!$L$2:$L$300,Part_Suppliers!$C$2:$C$300,"",0)=0,"",_xlfn.XLOOKUP($A67&amp;"|Ja",Part_Suppliers!$L$2:$L$300,Part_Suppliers!$C$2:$C$300,"",0)),"")</f>
        <v>DELOCK 90174</v>
      </c>
      <c r="E67">
        <f>SUMIFS(Kit_BOM!$F$2:$F$300,Kit_BOM!$E$2:$E$300,$A67,Kit_BOM!$A$2:$A$300,$A$5,Kit_BOM!$G$2:$G$300,"Bestücken")*$C$5+SUMIFS(Kit_BOM!$F$2:$F$300,Kit_BOM!$E$2:$E$300,$A67,Kit_BOM!$A$2:$A$300,$A$5,Kit_BOM!$G$2:$G$300,"Mechanical")*$C$5+IF($F$5="Ja",SUMIFS(Kit_BOM!$F$2:$F$300,Kit_BOM!$E$2:$E$300,$A67,Kit_BOM!$A$2:$A$300,$A$5,Kit_BOM!$G$2:$G$300,"Optional")*$C$5,0)+IF($F$6="Ja",SUMIFS(Kit_BOM!$F$2:$F$300,Kit_BOM!$E$2:$E$300,$A67,Kit_BOM!$A$2:$A$300,$A$5,Kit_BOM!$G$2:$G$300,"DNP")*$C$5,0)+SUMIFS(Kit_BOM!$F$2:$F$300,Kit_BOM!$E$2:$E$300,$A67,Kit_BOM!$A$2:$A$300,$A$6,Kit_BOM!$G$2:$G$300,"Bestücken")*$C$6+SUMIFS(Kit_BOM!$F$2:$F$300,Kit_BOM!$E$2:$E$300,$A67,Kit_BOM!$A$2:$A$300,$A$6,Kit_BOM!$G$2:$G$300,"Mechanical")*$C$6+IF($F$5="Ja",SUMIFS(Kit_BOM!$F$2:$F$300,Kit_BOM!$E$2:$E$300,$A67,Kit_BOM!$A$2:$A$300,$A$6,Kit_BOM!$G$2:$G$300,"Optional")*$C$6,0)+IF($F$6="Ja",SUMIFS(Kit_BOM!$F$2:$F$300,Kit_BOM!$E$2:$E$300,$A67,Kit_BOM!$A$2:$A$300,$A$6,Kit_BOM!$G$2:$G$300,"DNP")*$C$6,0)+SUMIFS(Kit_BOM!$F$2:$F$300,Kit_BOM!$E$2:$E$300,$A67,Kit_BOM!$A$2:$A$300,$A$7,Kit_BOM!$G$2:$G$300,"Bestücken")*$C$7+SUMIFS(Kit_BOM!$F$2:$F$300,Kit_BOM!$E$2:$E$300,$A67,Kit_BOM!$A$2:$A$300,$A$7,Kit_BOM!$G$2:$G$300,"Mechanical")*$C$7+IF($F$5="Ja",SUMIFS(Kit_BOM!$F$2:$F$300,Kit_BOM!$E$2:$E$300,$A67,Kit_BOM!$A$2:$A$300,$A$7,Kit_BOM!$G$2:$G$300,"Optional")*$C$7,0)+IF($F$6="Ja",SUMIFS(Kit_BOM!$F$2:$F$300,Kit_BOM!$E$2:$E$300,$A67,Kit_BOM!$A$2:$A$300,$A$7,Kit_BOM!$G$2:$G$300,"DNP")*$C$7,0)+SUMIFS(Kit_BOM!$F$2:$F$300,Kit_BOM!$E$2:$E$300,$A67,Kit_BOM!$A$2:$A$300,$A$8,Kit_BOM!$G$2:$G$300,"Bestücken")*$C$8+SUMIFS(Kit_BOM!$F$2:$F$300,Kit_BOM!$E$2:$E$300,$A67,Kit_BOM!$A$2:$A$300,$A$8,Kit_BOM!$G$2:$G$300,"Mechanical")*$C$8+IF($F$5="Ja",SUMIFS(Kit_BOM!$F$2:$F$300,Kit_BOM!$E$2:$E$300,$A67,Kit_BOM!$A$2:$A$300,$A$8,Kit_BOM!$G$2:$G$300,"Optional")*$C$8,0)+IF($F$6="Ja",SUMIFS(Kit_BOM!$F$2:$F$300,Kit_BOM!$E$2:$E$300,$A67,Kit_BOM!$A$2:$A$300,$A$8,Kit_BOM!$G$2:$G$300,"DNP")*$C$8,0)+SUMIFS(Kit_BOM!$F$2:$F$300,Kit_BOM!$E$2:$E$300,$A67,Kit_BOM!$A$2:$A$300,$A$9,Kit_BOM!$G$2:$G$300,"Bestücken")*$C$9+SUMIFS(Kit_BOM!$F$2:$F$300,Kit_BOM!$E$2:$E$300,$A67,Kit_BOM!$A$2:$A$300,$A$9,Kit_BOM!$G$2:$G$300,"Mechanical")*$C$9+IF($F$5="Ja",SUMIFS(Kit_BOM!$F$2:$F$300,Kit_BOM!$E$2:$E$300,$A67,Kit_BOM!$A$2:$A$300,$A$9,Kit_BOM!$G$2:$G$300,"Optional")*$C$9,0)+IF($F$6="Ja",SUMIFS(Kit_BOM!$F$2:$F$300,Kit_BOM!$E$2:$E$300,$A67,Kit_BOM!$A$2:$A$300,$A$9,Kit_BOM!$G$2:$G$300,"DNP")*$C$9,0)+SUMIFS(Kit_BOM!$F$2:$F$300,Kit_BOM!$E$2:$E$300,$A67,Kit_BOM!$A$2:$A$300,$A$10,Kit_BOM!$G$2:$G$300,"Bestücken")*$C$10+SUMIFS(Kit_BOM!$F$2:$F$300,Kit_BOM!$E$2:$E$300,$A67,Kit_BOM!$A$2:$A$300,$A$10,Kit_BOM!$G$2:$G$300,"Mechanical")*$C$10+IF($F$5="Ja",SUMIFS(Kit_BOM!$F$2:$F$300,Kit_BOM!$E$2:$E$300,$A67,Kit_BOM!$A$2:$A$300,$A$10,Kit_BOM!$G$2:$G$300,"Optional")*$C$10,0)+IF($F$6="Ja",SUMIFS(Kit_BOM!$F$2:$F$300,Kit_BOM!$E$2:$E$300,$A67,Kit_BOM!$A$2:$A$300,$A$10,Kit_BOM!$G$2:$G$300,"DNP")*$C$10,0)+SUMIFS(Kit_BOM!$F$2:$F$300,Kit_BOM!$E$2:$E$300,$A67,Kit_BOM!$A$2:$A$300,$A$11,Kit_BOM!$G$2:$G$300,"Bestücken")*$C$11+SUMIFS(Kit_BOM!$F$2:$F$300,Kit_BOM!$E$2:$E$300,$A67,Kit_BOM!$A$2:$A$300,$A$11,Kit_BOM!$G$2:$G$300,"Mechanical")*$C$11+IF($F$5="Ja",SUMIFS(Kit_BOM!$F$2:$F$300,Kit_BOM!$E$2:$E$300,$A67,Kit_BOM!$A$2:$A$300,$A$11,Kit_BOM!$G$2:$G$300,"Optional")*$C$11,0)+IF($F$6="Ja",SUMIFS(Kit_BOM!$F$2:$F$300,Kit_BOM!$E$2:$E$300,$A67,Kit_BOM!$A$2:$A$300,$A$11,Kit_BOM!$G$2:$G$300,"DNP")*$C$11,0)+SUMIFS(Kit_BOM!$F$2:$F$300,Kit_BOM!$E$2:$E$300,$A67,Kit_BOM!$A$2:$A$300,$A$12,Kit_BOM!$G$2:$G$300,"Bestücken")*$C$12+SUMIFS(Kit_BOM!$F$2:$F$300,Kit_BOM!$E$2:$E$300,$A67,Kit_BOM!$A$2:$A$300,$A$12,Kit_BOM!$G$2:$G$300,"Mechanical")*$C$12+IF($F$5="Ja",SUMIFS(Kit_BOM!$F$2:$F$300,Kit_BOM!$E$2:$E$300,$A67,Kit_BOM!$A$2:$A$300,$A$12,Kit_BOM!$G$2:$G$300,"Optional")*$C$12,0)+IF($F$6="Ja",SUMIFS(Kit_BOM!$F$2:$F$300,Kit_BOM!$E$2:$E$300,$A67,Kit_BOM!$A$2:$A$300,$A$12,Kit_BOM!$G$2:$G$300,"DNP")*$C$12,0)+SUMIFS(Kit_BOM!$F$2:$F$300,Kit_BOM!$E$2:$E$300,$A67,Kit_BOM!$A$2:$A$300,$H$5,Kit_BOM!$G$2:$G$300,"Bestücken")*$J$5+SUMIFS(Kit_BOM!$F$2:$F$300,Kit_BOM!$E$2:$E$300,$A67,Kit_BOM!$A$2:$A$300,$H$5,Kit_BOM!$G$2:$G$300,"Mechanical")*$J$5+IF($F$5="Ja",SUMIFS(Kit_BOM!$F$2:$F$300,Kit_BOM!$E$2:$E$300,$A67,Kit_BOM!$A$2:$A$300,$H$5,Kit_BOM!$G$2:$G$300,"Optional")*$J$5,0)+IF($F$6="Ja",SUMIFS(Kit_BOM!$F$2:$F$300,Kit_BOM!$E$2:$E$300,$A67,Kit_BOM!$A$2:$A$300,$H$5,Kit_BOM!$G$2:$G$300,"DNP")*$J$5,0)+SUMIFS(Kit_BOM!$F$2:$F$300,Kit_BOM!$E$2:$E$300,$A67,Kit_BOM!$A$2:$A$300,$H$6,Kit_BOM!$G$2:$G$300,"Bestücken")*$J$6+SUMIFS(Kit_BOM!$F$2:$F$300,Kit_BOM!$E$2:$E$300,$A67,Kit_BOM!$A$2:$A$300,$H$6,Kit_BOM!$G$2:$G$300,"Mechanical")*$J$6+IF($F$5="Ja",SUMIFS(Kit_BOM!$F$2:$F$300,Kit_BOM!$E$2:$E$300,$A67,Kit_BOM!$A$2:$A$300,$H$6,Kit_BOM!$G$2:$G$300,"Optional")*$J$6,0)+IF($F$6="Ja",SUMIFS(Kit_BOM!$F$2:$F$300,Kit_BOM!$E$2:$E$300,$A67,Kit_BOM!$A$2:$A$300,$H$6,Kit_BOM!$G$2:$G$300,"DNP")*$J$6,0)</f>
        <v>0</v>
      </c>
      <c r="F67" t="str">
        <f>IFERROR(IF(_xlfn.XLOOKUP($A67&amp;"|Ja",Part_Suppliers!$L$2:$L$300,Part_Suppliers!$G$2:$G$300,"",0)=0,"",_xlfn.XLOOKUP($A67&amp;"|Ja",Part_Suppliers!$L$2:$L$300,Part_Suppliers!$G$2:$G$300,"",0)),"")</f>
        <v/>
      </c>
      <c r="G67">
        <f t="shared" si="13"/>
        <v>0</v>
      </c>
      <c r="H67">
        <f>IFERROR(IF(_xlfn.XLOOKUP($A67&amp;"|Ja",Part_Suppliers!$L$2:$L$300,Part_Suppliers!$E$2:$E$300,"",0)=0,"",_xlfn.XLOOKUP($A67&amp;"|Ja",Part_Suppliers!$L$2:$L$300,Part_Suppliers!$E$2:$E$300,"",0)),"")</f>
        <v>5.75</v>
      </c>
      <c r="I67">
        <f t="shared" si="14"/>
        <v>0</v>
      </c>
      <c r="J67" t="str">
        <f t="shared" si="18"/>
        <v>Nicht benötigt</v>
      </c>
      <c r="K67" t="str">
        <f>IFERROR(IF(_xlfn.XLOOKUP($A67&amp;"|Ja",Part_Suppliers!$L$2:$L$300,Part_Suppliers!$D$2:$D$300,"",0)=0,"",_xlfn.XLOOKUP($A67&amp;"|Ja",Part_Suppliers!$L$2:$L$300,Part_Suppliers!$D$2:$D$300,"",0)),"")</f>
        <v>https://www.reichelt.de/de/de/shop/produkt/steckverbinder_dc_5_5_x_2_1_mm_buchse_zum_einbau_loetversion-371063</v>
      </c>
      <c r="L67">
        <f>IFERROR(VLOOKUP($A67,Stock!$A$5:$K$200,10,FALSE()),0)</f>
        <v>1</v>
      </c>
      <c r="M67">
        <f>IFERROR(VLOOKUP($A67,Stock!$A$5:$K$200,11,FALSE()),0)</f>
        <v>0</v>
      </c>
      <c r="N67">
        <f t="shared" si="15"/>
        <v>1</v>
      </c>
      <c r="O67">
        <f t="shared" si="16"/>
        <v>0</v>
      </c>
      <c r="P67" s="48">
        <v>0</v>
      </c>
      <c r="Q67" s="49">
        <f t="shared" si="17"/>
        <v>0</v>
      </c>
      <c r="R67" s="82">
        <f>SUMIFS(Part_Alternatives!$H$2:$H$200,Part_Alternatives!$A$2:$A$200,$A67,Part_Alternatives!$E$2:$E$200,"Ja")</f>
        <v>0</v>
      </c>
      <c r="S67" s="82">
        <f>SUMIFS(Part_Alternatives!$I$2:$I$200,Part_Alternatives!$A$2:$A$200,$A67,Part_Alternatives!$E$2:$E$200,"Ja")</f>
        <v>0</v>
      </c>
      <c r="T67" s="80" t="str">
        <f>IFERROR(VLOOKUP($A67,Part_Alternatives!$A$2:$K$200,10,FALSE()),"")</f>
        <v/>
      </c>
    </row>
    <row r="68" spans="1:20" ht="14" hidden="1" customHeight="1" x14ac:dyDescent="0.2">
      <c r="A68" t="s">
        <v>182</v>
      </c>
      <c r="B68" t="str">
        <f>IFERROR(VLOOKUP($A68,Parts!$A$2:$M$191,3,FALSE()),"")</f>
        <v>USB-C-Buchse, 16-polig, USB 2.0, Top-Mount</v>
      </c>
      <c r="C68" t="str">
        <f>IFERROR(IF(_xlfn.XLOOKUP($A68&amp;"|Ja",Part_Suppliers!$L$2:$L$300,Part_Suppliers!$B$2:$B$300,"",0)=0,"",_xlfn.XLOOKUP($A68&amp;"|Ja",Part_Suppliers!$L$2:$L$300,Part_Suppliers!$B$2:$B$300,"",0)),"")</f>
        <v>DigiKey</v>
      </c>
      <c r="D68" t="str">
        <f>IFERROR(IF(_xlfn.XLOOKUP($A68&amp;"|Ja",Part_Suppliers!$L$2:$L$300,Part_Suppliers!$C$2:$C$300,"",0)=0,"",_xlfn.XLOOKUP($A68&amp;"|Ja",Part_Suppliers!$L$2:$L$300,Part_Suppliers!$C$2:$C$300,"",0)),"")</f>
        <v>2073-USB4105-GF-ACT-ND</v>
      </c>
      <c r="E68">
        <f>SUMIFS(Kit_BOM!$F$2:$F$300,Kit_BOM!$E$2:$E$300,$A68,Kit_BOM!$A$2:$A$300,$A$5,Kit_BOM!$G$2:$G$300,"Bestücken")*$C$5+SUMIFS(Kit_BOM!$F$2:$F$300,Kit_BOM!$E$2:$E$300,$A68,Kit_BOM!$A$2:$A$300,$A$5,Kit_BOM!$G$2:$G$300,"Mechanical")*$C$5+IF($F$5="Ja",SUMIFS(Kit_BOM!$F$2:$F$300,Kit_BOM!$E$2:$E$300,$A68,Kit_BOM!$A$2:$A$300,$A$5,Kit_BOM!$G$2:$G$300,"Optional")*$C$5,0)+IF($F$6="Ja",SUMIFS(Kit_BOM!$F$2:$F$300,Kit_BOM!$E$2:$E$300,$A68,Kit_BOM!$A$2:$A$300,$A$5,Kit_BOM!$G$2:$G$300,"DNP")*$C$5,0)+SUMIFS(Kit_BOM!$F$2:$F$300,Kit_BOM!$E$2:$E$300,$A68,Kit_BOM!$A$2:$A$300,$A$6,Kit_BOM!$G$2:$G$300,"Bestücken")*$C$6+SUMIFS(Kit_BOM!$F$2:$F$300,Kit_BOM!$E$2:$E$300,$A68,Kit_BOM!$A$2:$A$300,$A$6,Kit_BOM!$G$2:$G$300,"Mechanical")*$C$6+IF($F$5="Ja",SUMIFS(Kit_BOM!$F$2:$F$300,Kit_BOM!$E$2:$E$300,$A68,Kit_BOM!$A$2:$A$300,$A$6,Kit_BOM!$G$2:$G$300,"Optional")*$C$6,0)+IF($F$6="Ja",SUMIFS(Kit_BOM!$F$2:$F$300,Kit_BOM!$E$2:$E$300,$A68,Kit_BOM!$A$2:$A$300,$A$6,Kit_BOM!$G$2:$G$300,"DNP")*$C$6,0)+SUMIFS(Kit_BOM!$F$2:$F$300,Kit_BOM!$E$2:$E$300,$A68,Kit_BOM!$A$2:$A$300,$A$7,Kit_BOM!$G$2:$G$300,"Bestücken")*$C$7+SUMIFS(Kit_BOM!$F$2:$F$300,Kit_BOM!$E$2:$E$300,$A68,Kit_BOM!$A$2:$A$300,$A$7,Kit_BOM!$G$2:$G$300,"Mechanical")*$C$7+IF($F$5="Ja",SUMIFS(Kit_BOM!$F$2:$F$300,Kit_BOM!$E$2:$E$300,$A68,Kit_BOM!$A$2:$A$300,$A$7,Kit_BOM!$G$2:$G$300,"Optional")*$C$7,0)+IF($F$6="Ja",SUMIFS(Kit_BOM!$F$2:$F$300,Kit_BOM!$E$2:$E$300,$A68,Kit_BOM!$A$2:$A$300,$A$7,Kit_BOM!$G$2:$G$300,"DNP")*$C$7,0)+SUMIFS(Kit_BOM!$F$2:$F$300,Kit_BOM!$E$2:$E$300,$A68,Kit_BOM!$A$2:$A$300,$A$8,Kit_BOM!$G$2:$G$300,"Bestücken")*$C$8+SUMIFS(Kit_BOM!$F$2:$F$300,Kit_BOM!$E$2:$E$300,$A68,Kit_BOM!$A$2:$A$300,$A$8,Kit_BOM!$G$2:$G$300,"Mechanical")*$C$8+IF($F$5="Ja",SUMIFS(Kit_BOM!$F$2:$F$300,Kit_BOM!$E$2:$E$300,$A68,Kit_BOM!$A$2:$A$300,$A$8,Kit_BOM!$G$2:$G$300,"Optional")*$C$8,0)+IF($F$6="Ja",SUMIFS(Kit_BOM!$F$2:$F$300,Kit_BOM!$E$2:$E$300,$A68,Kit_BOM!$A$2:$A$300,$A$8,Kit_BOM!$G$2:$G$300,"DNP")*$C$8,0)+SUMIFS(Kit_BOM!$F$2:$F$300,Kit_BOM!$E$2:$E$300,$A68,Kit_BOM!$A$2:$A$300,$A$9,Kit_BOM!$G$2:$G$300,"Bestücken")*$C$9+SUMIFS(Kit_BOM!$F$2:$F$300,Kit_BOM!$E$2:$E$300,$A68,Kit_BOM!$A$2:$A$300,$A$9,Kit_BOM!$G$2:$G$300,"Mechanical")*$C$9+IF($F$5="Ja",SUMIFS(Kit_BOM!$F$2:$F$300,Kit_BOM!$E$2:$E$300,$A68,Kit_BOM!$A$2:$A$300,$A$9,Kit_BOM!$G$2:$G$300,"Optional")*$C$9,0)+IF($F$6="Ja",SUMIFS(Kit_BOM!$F$2:$F$300,Kit_BOM!$E$2:$E$300,$A68,Kit_BOM!$A$2:$A$300,$A$9,Kit_BOM!$G$2:$G$300,"DNP")*$C$9,0)+SUMIFS(Kit_BOM!$F$2:$F$300,Kit_BOM!$E$2:$E$300,$A68,Kit_BOM!$A$2:$A$300,$A$10,Kit_BOM!$G$2:$G$300,"Bestücken")*$C$10+SUMIFS(Kit_BOM!$F$2:$F$300,Kit_BOM!$E$2:$E$300,$A68,Kit_BOM!$A$2:$A$300,$A$10,Kit_BOM!$G$2:$G$300,"Mechanical")*$C$10+IF($F$5="Ja",SUMIFS(Kit_BOM!$F$2:$F$300,Kit_BOM!$E$2:$E$300,$A68,Kit_BOM!$A$2:$A$300,$A$10,Kit_BOM!$G$2:$G$300,"Optional")*$C$10,0)+IF($F$6="Ja",SUMIFS(Kit_BOM!$F$2:$F$300,Kit_BOM!$E$2:$E$300,$A68,Kit_BOM!$A$2:$A$300,$A$10,Kit_BOM!$G$2:$G$300,"DNP")*$C$10,0)+SUMIFS(Kit_BOM!$F$2:$F$300,Kit_BOM!$E$2:$E$300,$A68,Kit_BOM!$A$2:$A$300,$A$11,Kit_BOM!$G$2:$G$300,"Bestücken")*$C$11+SUMIFS(Kit_BOM!$F$2:$F$300,Kit_BOM!$E$2:$E$300,$A68,Kit_BOM!$A$2:$A$300,$A$11,Kit_BOM!$G$2:$G$300,"Mechanical")*$C$11+IF($F$5="Ja",SUMIFS(Kit_BOM!$F$2:$F$300,Kit_BOM!$E$2:$E$300,$A68,Kit_BOM!$A$2:$A$300,$A$11,Kit_BOM!$G$2:$G$300,"Optional")*$C$11,0)+IF($F$6="Ja",SUMIFS(Kit_BOM!$F$2:$F$300,Kit_BOM!$E$2:$E$300,$A68,Kit_BOM!$A$2:$A$300,$A$11,Kit_BOM!$G$2:$G$300,"DNP")*$C$11,0)+SUMIFS(Kit_BOM!$F$2:$F$300,Kit_BOM!$E$2:$E$300,$A68,Kit_BOM!$A$2:$A$300,$A$12,Kit_BOM!$G$2:$G$300,"Bestücken")*$C$12+SUMIFS(Kit_BOM!$F$2:$F$300,Kit_BOM!$E$2:$E$300,$A68,Kit_BOM!$A$2:$A$300,$A$12,Kit_BOM!$G$2:$G$300,"Mechanical")*$C$12+IF($F$5="Ja",SUMIFS(Kit_BOM!$F$2:$F$300,Kit_BOM!$E$2:$E$300,$A68,Kit_BOM!$A$2:$A$300,$A$12,Kit_BOM!$G$2:$G$300,"Optional")*$C$12,0)+IF($F$6="Ja",SUMIFS(Kit_BOM!$F$2:$F$300,Kit_BOM!$E$2:$E$300,$A68,Kit_BOM!$A$2:$A$300,$A$12,Kit_BOM!$G$2:$G$300,"DNP")*$C$12,0)+SUMIFS(Kit_BOM!$F$2:$F$300,Kit_BOM!$E$2:$E$300,$A68,Kit_BOM!$A$2:$A$300,$H$5,Kit_BOM!$G$2:$G$300,"Bestücken")*$J$5+SUMIFS(Kit_BOM!$F$2:$F$300,Kit_BOM!$E$2:$E$300,$A68,Kit_BOM!$A$2:$A$300,$H$5,Kit_BOM!$G$2:$G$300,"Mechanical")*$J$5+IF($F$5="Ja",SUMIFS(Kit_BOM!$F$2:$F$300,Kit_BOM!$E$2:$E$300,$A68,Kit_BOM!$A$2:$A$300,$H$5,Kit_BOM!$G$2:$G$300,"Optional")*$J$5,0)+IF($F$6="Ja",SUMIFS(Kit_BOM!$F$2:$F$300,Kit_BOM!$E$2:$E$300,$A68,Kit_BOM!$A$2:$A$300,$H$5,Kit_BOM!$G$2:$G$300,"DNP")*$J$5,0)+SUMIFS(Kit_BOM!$F$2:$F$300,Kit_BOM!$E$2:$E$300,$A68,Kit_BOM!$A$2:$A$300,$H$6,Kit_BOM!$G$2:$G$300,"Bestücken")*$J$6+SUMIFS(Kit_BOM!$F$2:$F$300,Kit_BOM!$E$2:$E$300,$A68,Kit_BOM!$A$2:$A$300,$H$6,Kit_BOM!$G$2:$G$300,"Mechanical")*$J$6+IF($F$5="Ja",SUMIFS(Kit_BOM!$F$2:$F$300,Kit_BOM!$E$2:$E$300,$A68,Kit_BOM!$A$2:$A$300,$H$6,Kit_BOM!$G$2:$G$300,"Optional")*$J$6,0)+IF($F$6="Ja",SUMIFS(Kit_BOM!$F$2:$F$300,Kit_BOM!$E$2:$E$300,$A68,Kit_BOM!$A$2:$A$300,$H$6,Kit_BOM!$G$2:$G$300,"DNP")*$J$6,0)</f>
        <v>0</v>
      </c>
      <c r="F68" t="str">
        <f>IFERROR(IF(_xlfn.XLOOKUP($A68&amp;"|Ja",Part_Suppliers!$L$2:$L$300,Part_Suppliers!$G$2:$G$300,"",0)=0,"",_xlfn.XLOOKUP($A68&amp;"|Ja",Part_Suppliers!$L$2:$L$300,Part_Suppliers!$G$2:$G$300,"",0)),"")</f>
        <v/>
      </c>
      <c r="G68">
        <f t="shared" si="13"/>
        <v>0</v>
      </c>
      <c r="H68">
        <f>IFERROR(IF(_xlfn.XLOOKUP($A68&amp;"|Ja",Part_Suppliers!$L$2:$L$300,Part_Suppliers!$E$2:$E$300,"",0)=0,"",_xlfn.XLOOKUP($A68&amp;"|Ja",Part_Suppliers!$L$2:$L$300,Part_Suppliers!$E$2:$E$300,"",0)),"")</f>
        <v>0.68</v>
      </c>
      <c r="I68">
        <f t="shared" si="14"/>
        <v>0</v>
      </c>
      <c r="J68" t="str">
        <f t="shared" si="18"/>
        <v>Nicht benötigt</v>
      </c>
      <c r="K68" t="str">
        <f>IFERROR(IF(_xlfn.XLOOKUP($A68&amp;"|Ja",Part_Suppliers!$L$2:$L$300,Part_Suppliers!$D$2:$D$300,"",0)=0,"",_xlfn.XLOOKUP($A68&amp;"|Ja",Part_Suppliers!$L$2:$L$300,Part_Suppliers!$D$2:$D$300,"",0)),"")</f>
        <v>https://www.digikey.com/en/products/detail/gct/USB4105-GF-A/11198510</v>
      </c>
      <c r="L68">
        <f>IFERROR(VLOOKUP($A68,Stock!$A$5:$K$200,10,FALSE()),0)</f>
        <v>6</v>
      </c>
      <c r="M68">
        <f>IFERROR(VLOOKUP($A68,Stock!$A$5:$K$200,11,FALSE()),0)</f>
        <v>0</v>
      </c>
      <c r="N68">
        <f t="shared" si="15"/>
        <v>6</v>
      </c>
      <c r="O68">
        <f t="shared" si="16"/>
        <v>0</v>
      </c>
      <c r="P68" s="48">
        <v>0</v>
      </c>
      <c r="Q68" s="49">
        <f t="shared" si="17"/>
        <v>0</v>
      </c>
      <c r="R68" s="82">
        <f>SUMIFS(Part_Alternatives!$H$2:$H$200,Part_Alternatives!$A$2:$A$200,$A68,Part_Alternatives!$E$2:$E$200,"Ja")</f>
        <v>0</v>
      </c>
      <c r="S68" s="82">
        <f>SUMIFS(Part_Alternatives!$I$2:$I$200,Part_Alternatives!$A$2:$A$200,$A68,Part_Alternatives!$E$2:$E$200,"Ja")</f>
        <v>0</v>
      </c>
      <c r="T68" s="80" t="str">
        <f>IFERROR(VLOOKUP($A68,Part_Alternatives!$A$2:$K$200,10,FALSE()),"")</f>
        <v/>
      </c>
    </row>
    <row r="69" spans="1:20" ht="14" hidden="1" customHeight="1" x14ac:dyDescent="0.2">
      <c r="A69" s="26" t="s">
        <v>199</v>
      </c>
      <c r="B69" s="45" t="str">
        <f>IFERROR(VLOOKUP($A69,Parts!$A$2:$M$191,3,FALSE()),"")</f>
        <v>Schottky-Diode B260S1F-7</v>
      </c>
      <c r="C69" s="26" t="str">
        <f>IFERROR(IF(_xlfn.XLOOKUP($A69&amp;"|Ja",Part_Suppliers!$L$2:$L$300,Part_Suppliers!$B$2:$B$300,"",0)=0,"",_xlfn.XLOOKUP($A69&amp;"|Ja",Part_Suppliers!$L$2:$L$300,Part_Suppliers!$B$2:$B$300,"",0)),"")</f>
        <v>Reichelt</v>
      </c>
      <c r="D69" s="26" t="str">
        <f>IFERROR(IF(_xlfn.XLOOKUP($A69&amp;"|Ja",Part_Suppliers!$L$2:$L$300,Part_Suppliers!$C$2:$C$300,"",0)=0,"",_xlfn.XLOOKUP($A69&amp;"|Ja",Part_Suppliers!$L$2:$L$300,Part_Suppliers!$C$2:$C$300,"",0)),"")</f>
        <v>B260S1F-7</v>
      </c>
      <c r="E69" s="27">
        <f>SUMIFS(Kit_BOM!$F$2:$F$300,Kit_BOM!$E$2:$E$300,$A69,Kit_BOM!$A$2:$A$300,$A$5,Kit_BOM!$G$2:$G$300,"Bestücken")*$C$5+SUMIFS(Kit_BOM!$F$2:$F$300,Kit_BOM!$E$2:$E$300,$A69,Kit_BOM!$A$2:$A$300,$A$5,Kit_BOM!$G$2:$G$300,"Mechanical")*$C$5+IF($F$5="Ja",SUMIFS(Kit_BOM!$F$2:$F$300,Kit_BOM!$E$2:$E$300,$A69,Kit_BOM!$A$2:$A$300,$A$5,Kit_BOM!$G$2:$G$300,"Optional")*$C$5,0)+IF($F$6="Ja",SUMIFS(Kit_BOM!$F$2:$F$300,Kit_BOM!$E$2:$E$300,$A69,Kit_BOM!$A$2:$A$300,$A$5,Kit_BOM!$G$2:$G$300,"DNP")*$C$5,0)+SUMIFS(Kit_BOM!$F$2:$F$300,Kit_BOM!$E$2:$E$300,$A69,Kit_BOM!$A$2:$A$300,$A$6,Kit_BOM!$G$2:$G$300,"Bestücken")*$C$6+SUMIFS(Kit_BOM!$F$2:$F$300,Kit_BOM!$E$2:$E$300,$A69,Kit_BOM!$A$2:$A$300,$A$6,Kit_BOM!$G$2:$G$300,"Mechanical")*$C$6+IF($F$5="Ja",SUMIFS(Kit_BOM!$F$2:$F$300,Kit_BOM!$E$2:$E$300,$A69,Kit_BOM!$A$2:$A$300,$A$6,Kit_BOM!$G$2:$G$300,"Optional")*$C$6,0)+IF($F$6="Ja",SUMIFS(Kit_BOM!$F$2:$F$300,Kit_BOM!$E$2:$E$300,$A69,Kit_BOM!$A$2:$A$300,$A$6,Kit_BOM!$G$2:$G$300,"DNP")*$C$6,0)+SUMIFS(Kit_BOM!$F$2:$F$300,Kit_BOM!$E$2:$E$300,$A69,Kit_BOM!$A$2:$A$300,$A$7,Kit_BOM!$G$2:$G$300,"Bestücken")*$C$7+SUMIFS(Kit_BOM!$F$2:$F$300,Kit_BOM!$E$2:$E$300,$A69,Kit_BOM!$A$2:$A$300,$A$7,Kit_BOM!$G$2:$G$300,"Mechanical")*$C$7+IF($F$5="Ja",SUMIFS(Kit_BOM!$F$2:$F$300,Kit_BOM!$E$2:$E$300,$A69,Kit_BOM!$A$2:$A$300,$A$7,Kit_BOM!$G$2:$G$300,"Optional")*$C$7,0)+IF($F$6="Ja",SUMIFS(Kit_BOM!$F$2:$F$300,Kit_BOM!$E$2:$E$300,$A69,Kit_BOM!$A$2:$A$300,$A$7,Kit_BOM!$G$2:$G$300,"DNP")*$C$7,0)+SUMIFS(Kit_BOM!$F$2:$F$300,Kit_BOM!$E$2:$E$300,$A69,Kit_BOM!$A$2:$A$300,$A$8,Kit_BOM!$G$2:$G$300,"Bestücken")*$C$8+SUMIFS(Kit_BOM!$F$2:$F$300,Kit_BOM!$E$2:$E$300,$A69,Kit_BOM!$A$2:$A$300,$A$8,Kit_BOM!$G$2:$G$300,"Mechanical")*$C$8+IF($F$5="Ja",SUMIFS(Kit_BOM!$F$2:$F$300,Kit_BOM!$E$2:$E$300,$A69,Kit_BOM!$A$2:$A$300,$A$8,Kit_BOM!$G$2:$G$300,"Optional")*$C$8,0)+IF($F$6="Ja",SUMIFS(Kit_BOM!$F$2:$F$300,Kit_BOM!$E$2:$E$300,$A69,Kit_BOM!$A$2:$A$300,$A$8,Kit_BOM!$G$2:$G$300,"DNP")*$C$8,0)+SUMIFS(Kit_BOM!$F$2:$F$300,Kit_BOM!$E$2:$E$300,$A69,Kit_BOM!$A$2:$A$300,$A$9,Kit_BOM!$G$2:$G$300,"Bestücken")*$C$9+SUMIFS(Kit_BOM!$F$2:$F$300,Kit_BOM!$E$2:$E$300,$A69,Kit_BOM!$A$2:$A$300,$A$9,Kit_BOM!$G$2:$G$300,"Mechanical")*$C$9+IF($F$5="Ja",SUMIFS(Kit_BOM!$F$2:$F$300,Kit_BOM!$E$2:$E$300,$A69,Kit_BOM!$A$2:$A$300,$A$9,Kit_BOM!$G$2:$G$300,"Optional")*$C$9,0)+IF($F$6="Ja",SUMIFS(Kit_BOM!$F$2:$F$300,Kit_BOM!$E$2:$E$300,$A69,Kit_BOM!$A$2:$A$300,$A$9,Kit_BOM!$G$2:$G$300,"DNP")*$C$9,0)+SUMIFS(Kit_BOM!$F$2:$F$300,Kit_BOM!$E$2:$E$300,$A69,Kit_BOM!$A$2:$A$300,$A$10,Kit_BOM!$G$2:$G$300,"Bestücken")*$C$10+SUMIFS(Kit_BOM!$F$2:$F$300,Kit_BOM!$E$2:$E$300,$A69,Kit_BOM!$A$2:$A$300,$A$10,Kit_BOM!$G$2:$G$300,"Mechanical")*$C$10+IF($F$5="Ja",SUMIFS(Kit_BOM!$F$2:$F$300,Kit_BOM!$E$2:$E$300,$A69,Kit_BOM!$A$2:$A$300,$A$10,Kit_BOM!$G$2:$G$300,"Optional")*$C$10,0)+IF($F$6="Ja",SUMIFS(Kit_BOM!$F$2:$F$300,Kit_BOM!$E$2:$E$300,$A69,Kit_BOM!$A$2:$A$300,$A$10,Kit_BOM!$G$2:$G$300,"DNP")*$C$10,0)+SUMIFS(Kit_BOM!$F$2:$F$300,Kit_BOM!$E$2:$E$300,$A69,Kit_BOM!$A$2:$A$300,$A$11,Kit_BOM!$G$2:$G$300,"Bestücken")*$C$11+SUMIFS(Kit_BOM!$F$2:$F$300,Kit_BOM!$E$2:$E$300,$A69,Kit_BOM!$A$2:$A$300,$A$11,Kit_BOM!$G$2:$G$300,"Mechanical")*$C$11+IF($F$5="Ja",SUMIFS(Kit_BOM!$F$2:$F$300,Kit_BOM!$E$2:$E$300,$A69,Kit_BOM!$A$2:$A$300,$A$11,Kit_BOM!$G$2:$G$300,"Optional")*$C$11,0)+IF($F$6="Ja",SUMIFS(Kit_BOM!$F$2:$F$300,Kit_BOM!$E$2:$E$300,$A69,Kit_BOM!$A$2:$A$300,$A$11,Kit_BOM!$G$2:$G$300,"DNP")*$C$11,0)+SUMIFS(Kit_BOM!$F$2:$F$300,Kit_BOM!$E$2:$E$300,$A69,Kit_BOM!$A$2:$A$300,$A$12,Kit_BOM!$G$2:$G$300,"Bestücken")*$C$12+SUMIFS(Kit_BOM!$F$2:$F$300,Kit_BOM!$E$2:$E$300,$A69,Kit_BOM!$A$2:$A$300,$A$12,Kit_BOM!$G$2:$G$300,"Mechanical")*$C$12+IF($F$5="Ja",SUMIFS(Kit_BOM!$F$2:$F$300,Kit_BOM!$E$2:$E$300,$A69,Kit_BOM!$A$2:$A$300,$A$12,Kit_BOM!$G$2:$G$300,"Optional")*$C$12,0)+IF($F$6="Ja",SUMIFS(Kit_BOM!$F$2:$F$300,Kit_BOM!$E$2:$E$300,$A69,Kit_BOM!$A$2:$A$300,$A$12,Kit_BOM!$G$2:$G$300,"DNP")*$C$12,0)+SUMIFS(Kit_BOM!$F$2:$F$300,Kit_BOM!$E$2:$E$300,$A69,Kit_BOM!$A$2:$A$300,$H$5,Kit_BOM!$G$2:$G$300,"Bestücken")*$J$5+SUMIFS(Kit_BOM!$F$2:$F$300,Kit_BOM!$E$2:$E$300,$A69,Kit_BOM!$A$2:$A$300,$H$5,Kit_BOM!$G$2:$G$300,"Mechanical")*$J$5+IF($F$5="Ja",SUMIFS(Kit_BOM!$F$2:$F$300,Kit_BOM!$E$2:$E$300,$A69,Kit_BOM!$A$2:$A$300,$H$5,Kit_BOM!$G$2:$G$300,"Optional")*$J$5,0)+IF($F$6="Ja",SUMIFS(Kit_BOM!$F$2:$F$300,Kit_BOM!$E$2:$E$300,$A69,Kit_BOM!$A$2:$A$300,$H$5,Kit_BOM!$G$2:$G$300,"DNP")*$J$5,0)+SUMIFS(Kit_BOM!$F$2:$F$300,Kit_BOM!$E$2:$E$300,$A69,Kit_BOM!$A$2:$A$300,$H$6,Kit_BOM!$G$2:$G$300,"Bestücken")*$J$6+SUMIFS(Kit_BOM!$F$2:$F$300,Kit_BOM!$E$2:$E$300,$A69,Kit_BOM!$A$2:$A$300,$H$6,Kit_BOM!$G$2:$G$300,"Mechanical")*$J$6+IF($F$5="Ja",SUMIFS(Kit_BOM!$F$2:$F$300,Kit_BOM!$E$2:$E$300,$A69,Kit_BOM!$A$2:$A$300,$H$6,Kit_BOM!$G$2:$G$300,"Optional")*$J$6,0)+IF($F$6="Ja",SUMIFS(Kit_BOM!$F$2:$F$300,Kit_BOM!$E$2:$E$300,$A69,Kit_BOM!$A$2:$A$300,$H$6,Kit_BOM!$G$2:$G$300,"DNP")*$J$6,0)</f>
        <v>2</v>
      </c>
      <c r="F69" s="27" t="str">
        <f>IFERROR(IF(_xlfn.XLOOKUP($A69&amp;"|Ja",Part_Suppliers!$L$2:$L$300,Part_Suppliers!$G$2:$G$300,"",0)=0,"",_xlfn.XLOOKUP($A69&amp;"|Ja",Part_Suppliers!$L$2:$L$300,Part_Suppliers!$G$2:$G$300,"",0)),"")</f>
        <v/>
      </c>
      <c r="G69" s="27">
        <f t="shared" si="13"/>
        <v>2</v>
      </c>
      <c r="H69" s="46">
        <f>IFERROR(IF(_xlfn.XLOOKUP($A69&amp;"|Ja",Part_Suppliers!$L$2:$L$300,Part_Suppliers!$E$2:$E$300,"",0)=0,"",_xlfn.XLOOKUP($A69&amp;"|Ja",Part_Suppliers!$L$2:$L$300,Part_Suppliers!$E$2:$E$300,"",0)),"")</f>
        <v>0.23</v>
      </c>
      <c r="I69" s="46">
        <f t="shared" si="14"/>
        <v>0.46</v>
      </c>
      <c r="J69" t="str">
        <f t="shared" si="18"/>
        <v>Manuelle Menge prüfen</v>
      </c>
      <c r="K69" s="26" t="str">
        <f>IFERROR(IF(_xlfn.XLOOKUP($A69&amp;"|Ja",Part_Suppliers!$L$2:$L$300,Part_Suppliers!$D$2:$D$300,"",0)=0,"",_xlfn.XLOOKUP($A69&amp;"|Ja",Part_Suppliers!$L$2:$L$300,Part_Suppliers!$D$2:$D$300,"",0)),"")</f>
        <v>https://www.reichelt.de/de/de/shop/produkt/schottky_60v_2a_sod123f-382925</v>
      </c>
      <c r="L69" s="47">
        <f>IFERROR(VLOOKUP($A69,Stock!$A$5:$K$200,10,FALSE()),0)</f>
        <v>0</v>
      </c>
      <c r="M69" s="47">
        <f>IFERROR(VLOOKUP($A69,Stock!$A$5:$K$200,11,FALSE()),0)</f>
        <v>8</v>
      </c>
      <c r="N69" s="47">
        <f t="shared" si="15"/>
        <v>6</v>
      </c>
      <c r="O69" s="47">
        <f t="shared" si="16"/>
        <v>0</v>
      </c>
      <c r="P69" s="48">
        <v>4</v>
      </c>
      <c r="Q69" s="49">
        <f t="shared" si="17"/>
        <v>0.92</v>
      </c>
      <c r="R69" s="82">
        <f>SUMIFS(Part_Alternatives!$H$2:$H$200,Part_Alternatives!$A$2:$A$200,$A69,Part_Alternatives!$E$2:$E$200,"Ja")</f>
        <v>0</v>
      </c>
      <c r="S69" s="82">
        <f>SUMIFS(Part_Alternatives!$I$2:$I$200,Part_Alternatives!$A$2:$A$200,$A69,Part_Alternatives!$E$2:$E$200,"Ja")</f>
        <v>0</v>
      </c>
      <c r="T69" s="80" t="str">
        <f>IFERROR(VLOOKUP($A69,Part_Alternatives!$A$2:$K$200,10,FALSE()),"")</f>
        <v/>
      </c>
    </row>
    <row r="70" spans="1:20" ht="14" hidden="1" customHeight="1" x14ac:dyDescent="0.15">
      <c r="A70" t="s">
        <v>208</v>
      </c>
      <c r="B70" s="86" t="str">
        <f>IFERROR(VLOOKUP($A70,Parts!$A$2:$M$191,3,FALSE()),"")</f>
        <v>SMD-Heizwiderstand 15 Ohm, 1 %, 1206</v>
      </c>
      <c r="C70" s="87" t="str">
        <f>IFERROR(IF(_xlfn.XLOOKUP($A70&amp;"|Ja",Part_Suppliers!$L$2:$L$300,Part_Suppliers!$B$2:$B$300,"",0)=0,"",_xlfn.XLOOKUP($A70&amp;"|Ja",Part_Suppliers!$L$2:$L$300,Part_Suppliers!$B$2:$B$300,"",0)),"")</f>
        <v>Reichelt</v>
      </c>
      <c r="D70" s="87" t="str">
        <f>IFERROR(IF(_xlfn.XLOOKUP($A70&amp;"|Ja",Part_Suppliers!$L$2:$L$300,Part_Suppliers!$C$2:$C$300,"",0)=0,"",_xlfn.XLOOKUP($A70&amp;"|Ja",Part_Suppliers!$L$2:$L$300,Part_Suppliers!$C$2:$C$300,"",0)),"")</f>
        <v>WAL WR12X15R0FTL</v>
      </c>
      <c r="E70" s="88">
        <f>SUMIFS(Kit_BOM!$F$2:$F$300,Kit_BOM!$E$2:$E$300,$A70,Kit_BOM!$A$2:$A$300,$A$5,Kit_BOM!$G$2:$G$300,"Bestücken")*$C$5+SUMIFS(Kit_BOM!$F$2:$F$300,Kit_BOM!$E$2:$E$300,$A70,Kit_BOM!$A$2:$A$300,$A$5,Kit_BOM!$G$2:$G$300,"Mechanical")*$C$5+IF($F$5="Ja",SUMIFS(Kit_BOM!$F$2:$F$300,Kit_BOM!$E$2:$E$300,$A70,Kit_BOM!$A$2:$A$300,$A$5,Kit_BOM!$G$2:$G$300,"Optional")*$C$5,0)+IF($F$6="Ja",SUMIFS(Kit_BOM!$F$2:$F$300,Kit_BOM!$E$2:$E$300,$A70,Kit_BOM!$A$2:$A$300,$A$5,Kit_BOM!$G$2:$G$300,"DNP")*$C$5,0)+SUMIFS(Kit_BOM!$F$2:$F$300,Kit_BOM!$E$2:$E$300,$A70,Kit_BOM!$A$2:$A$300,$A$6,Kit_BOM!$G$2:$G$300,"Bestücken")*$C$6+SUMIFS(Kit_BOM!$F$2:$F$300,Kit_BOM!$E$2:$E$300,$A70,Kit_BOM!$A$2:$A$300,$A$6,Kit_BOM!$G$2:$G$300,"Mechanical")*$C$6+IF($F$5="Ja",SUMIFS(Kit_BOM!$F$2:$F$300,Kit_BOM!$E$2:$E$300,$A70,Kit_BOM!$A$2:$A$300,$A$6,Kit_BOM!$G$2:$G$300,"Optional")*$C$6,0)+IF($F$6="Ja",SUMIFS(Kit_BOM!$F$2:$F$300,Kit_BOM!$E$2:$E$300,$A70,Kit_BOM!$A$2:$A$300,$A$6,Kit_BOM!$G$2:$G$300,"DNP")*$C$6,0)+SUMIFS(Kit_BOM!$F$2:$F$300,Kit_BOM!$E$2:$E$300,$A70,Kit_BOM!$A$2:$A$300,$A$7,Kit_BOM!$G$2:$G$300,"Bestücken")*$C$7+SUMIFS(Kit_BOM!$F$2:$F$300,Kit_BOM!$E$2:$E$300,$A70,Kit_BOM!$A$2:$A$300,$A$7,Kit_BOM!$G$2:$G$300,"Mechanical")*$C$7+IF($F$5="Ja",SUMIFS(Kit_BOM!$F$2:$F$300,Kit_BOM!$E$2:$E$300,$A70,Kit_BOM!$A$2:$A$300,$A$7,Kit_BOM!$G$2:$G$300,"Optional")*$C$7,0)+IF($F$6="Ja",SUMIFS(Kit_BOM!$F$2:$F$300,Kit_BOM!$E$2:$E$300,$A70,Kit_BOM!$A$2:$A$300,$A$7,Kit_BOM!$G$2:$G$300,"DNP")*$C$7,0)+SUMIFS(Kit_BOM!$F$2:$F$300,Kit_BOM!$E$2:$E$300,$A70,Kit_BOM!$A$2:$A$300,$A$8,Kit_BOM!$G$2:$G$300,"Bestücken")*$C$8+SUMIFS(Kit_BOM!$F$2:$F$300,Kit_BOM!$E$2:$E$300,$A70,Kit_BOM!$A$2:$A$300,$A$8,Kit_BOM!$G$2:$G$300,"Mechanical")*$C$8+IF($F$5="Ja",SUMIFS(Kit_BOM!$F$2:$F$300,Kit_BOM!$E$2:$E$300,$A70,Kit_BOM!$A$2:$A$300,$A$8,Kit_BOM!$G$2:$G$300,"Optional")*$C$8,0)+IF($F$6="Ja",SUMIFS(Kit_BOM!$F$2:$F$300,Kit_BOM!$E$2:$E$300,$A70,Kit_BOM!$A$2:$A$300,$A$8,Kit_BOM!$G$2:$G$300,"DNP")*$C$8,0)+SUMIFS(Kit_BOM!$F$2:$F$300,Kit_BOM!$E$2:$E$300,$A70,Kit_BOM!$A$2:$A$300,$A$9,Kit_BOM!$G$2:$G$300,"Bestücken")*$C$9+SUMIFS(Kit_BOM!$F$2:$F$300,Kit_BOM!$E$2:$E$300,$A70,Kit_BOM!$A$2:$A$300,$A$9,Kit_BOM!$G$2:$G$300,"Mechanical")*$C$9+IF($F$5="Ja",SUMIFS(Kit_BOM!$F$2:$F$300,Kit_BOM!$E$2:$E$300,$A70,Kit_BOM!$A$2:$A$300,$A$9,Kit_BOM!$G$2:$G$300,"Optional")*$C$9,0)+IF($F$6="Ja",SUMIFS(Kit_BOM!$F$2:$F$300,Kit_BOM!$E$2:$E$300,$A70,Kit_BOM!$A$2:$A$300,$A$9,Kit_BOM!$G$2:$G$300,"DNP")*$C$9,0)+SUMIFS(Kit_BOM!$F$2:$F$300,Kit_BOM!$E$2:$E$300,$A70,Kit_BOM!$A$2:$A$300,$A$10,Kit_BOM!$G$2:$G$300,"Bestücken")*$C$10+SUMIFS(Kit_BOM!$F$2:$F$300,Kit_BOM!$E$2:$E$300,$A70,Kit_BOM!$A$2:$A$300,$A$10,Kit_BOM!$G$2:$G$300,"Mechanical")*$C$10+IF($F$5="Ja",SUMIFS(Kit_BOM!$F$2:$F$300,Kit_BOM!$E$2:$E$300,$A70,Kit_BOM!$A$2:$A$300,$A$10,Kit_BOM!$G$2:$G$300,"Optional")*$C$10,0)+IF($F$6="Ja",SUMIFS(Kit_BOM!$F$2:$F$300,Kit_BOM!$E$2:$E$300,$A70,Kit_BOM!$A$2:$A$300,$A$10,Kit_BOM!$G$2:$G$300,"DNP")*$C$10,0)+SUMIFS(Kit_BOM!$F$2:$F$300,Kit_BOM!$E$2:$E$300,$A70,Kit_BOM!$A$2:$A$300,$A$11,Kit_BOM!$G$2:$G$300,"Bestücken")*$C$11+SUMIFS(Kit_BOM!$F$2:$F$300,Kit_BOM!$E$2:$E$300,$A70,Kit_BOM!$A$2:$A$300,$A$11,Kit_BOM!$G$2:$G$300,"Mechanical")*$C$11+IF($F$5="Ja",SUMIFS(Kit_BOM!$F$2:$F$300,Kit_BOM!$E$2:$E$300,$A70,Kit_BOM!$A$2:$A$300,$A$11,Kit_BOM!$G$2:$G$300,"Optional")*$C$11,0)+IF($F$6="Ja",SUMIFS(Kit_BOM!$F$2:$F$300,Kit_BOM!$E$2:$E$300,$A70,Kit_BOM!$A$2:$A$300,$A$11,Kit_BOM!$G$2:$G$300,"DNP")*$C$11,0)+SUMIFS(Kit_BOM!$F$2:$F$300,Kit_BOM!$E$2:$E$300,$A70,Kit_BOM!$A$2:$A$300,$A$12,Kit_BOM!$G$2:$G$300,"Bestücken")*$C$12+SUMIFS(Kit_BOM!$F$2:$F$300,Kit_BOM!$E$2:$E$300,$A70,Kit_BOM!$A$2:$A$300,$A$12,Kit_BOM!$G$2:$G$300,"Mechanical")*$C$12+IF($F$5="Ja",SUMIFS(Kit_BOM!$F$2:$F$300,Kit_BOM!$E$2:$E$300,$A70,Kit_BOM!$A$2:$A$300,$A$12,Kit_BOM!$G$2:$G$300,"Optional")*$C$12,0)+IF($F$6="Ja",SUMIFS(Kit_BOM!$F$2:$F$300,Kit_BOM!$E$2:$E$300,$A70,Kit_BOM!$A$2:$A$300,$A$12,Kit_BOM!$G$2:$G$300,"DNP")*$C$12,0)+SUMIFS(Kit_BOM!$F$2:$F$300,Kit_BOM!$E$2:$E$300,$A70,Kit_BOM!$A$2:$A$300,$H$5,Kit_BOM!$G$2:$G$300,"Bestücken")*$J$5+SUMIFS(Kit_BOM!$F$2:$F$300,Kit_BOM!$E$2:$E$300,$A70,Kit_BOM!$A$2:$A$300,$H$5,Kit_BOM!$G$2:$G$300,"Mechanical")*$J$5+IF($F$5="Ja",SUMIFS(Kit_BOM!$F$2:$F$300,Kit_BOM!$E$2:$E$300,$A70,Kit_BOM!$A$2:$A$300,$H$5,Kit_BOM!$G$2:$G$300,"Optional")*$J$5,0)+IF($F$6="Ja",SUMIFS(Kit_BOM!$F$2:$F$300,Kit_BOM!$E$2:$E$300,$A70,Kit_BOM!$A$2:$A$300,$H$5,Kit_BOM!$G$2:$G$300,"DNP")*$J$5,0)+SUMIFS(Kit_BOM!$F$2:$F$300,Kit_BOM!$E$2:$E$300,$A70,Kit_BOM!$A$2:$A$300,$H$6,Kit_BOM!$G$2:$G$300,"Bestücken")*$J$6+SUMIFS(Kit_BOM!$F$2:$F$300,Kit_BOM!$E$2:$E$300,$A70,Kit_BOM!$A$2:$A$300,$H$6,Kit_BOM!$G$2:$G$300,"Mechanical")*$J$6+IF($F$5="Ja",SUMIFS(Kit_BOM!$F$2:$F$300,Kit_BOM!$E$2:$E$300,$A70,Kit_BOM!$A$2:$A$300,$H$6,Kit_BOM!$G$2:$G$300,"Optional")*$J$6,0)+IF($F$6="Ja",SUMIFS(Kit_BOM!$F$2:$F$300,Kit_BOM!$E$2:$E$300,$A70,Kit_BOM!$A$2:$A$300,$H$6,Kit_BOM!$G$2:$G$300,"DNP")*$J$6,0)</f>
        <v>80</v>
      </c>
      <c r="F70" s="88">
        <f>IFERROR(IF(_xlfn.XLOOKUP($A70&amp;"|Ja",Part_Suppliers!$L$2:$L$300,Part_Suppliers!$G$2:$G$300,"",0)=0,"",_xlfn.XLOOKUP($A70&amp;"|Ja",Part_Suppliers!$L$2:$L$300,Part_Suppliers!$G$2:$G$300,"",0)),"")</f>
        <v>1</v>
      </c>
      <c r="G70" s="88">
        <f t="shared" si="13"/>
        <v>80</v>
      </c>
      <c r="H70" s="89">
        <f>IFERROR(IF(_xlfn.XLOOKUP($A70&amp;"|Ja",Part_Suppliers!$L$2:$L$300,Part_Suppliers!$E$2:$E$300,"",0)=0,"",_xlfn.XLOOKUP($A70&amp;"|Ja",Part_Suppliers!$L$2:$L$300,Part_Suppliers!$E$2:$E$300,"",0)),"")</f>
        <v>0.02</v>
      </c>
      <c r="I70" s="89">
        <f t="shared" si="14"/>
        <v>1.6</v>
      </c>
      <c r="J70" s="85" t="str">
        <f t="shared" si="18"/>
        <v>Manuelle Menge prüfen</v>
      </c>
      <c r="K70" s="87" t="str">
        <f>IFERROR(IF(_xlfn.XLOOKUP($A70&amp;"|Ja",Part_Suppliers!$L$2:$L$300,Part_Suppliers!$D$2:$D$300,"",0)=0,"",_xlfn.XLOOKUP($A70&amp;"|Ja",Part_Suppliers!$L$2:$L$300,Part_Suppliers!$D$2:$D$300,"",0)),"")</f>
        <v>https://www.reichelt.de/de/de/shop/produkt/smd-widerstand_1206_15_ohm_250_mw_1_-346649</v>
      </c>
      <c r="L70" s="90">
        <f>IFERROR(VLOOKUP($A70,Stock!$A$5:$K$200,10,FALSE()),0)</f>
        <v>0</v>
      </c>
      <c r="M70" s="90">
        <f>IFERROR(VLOOKUP($A70,Stock!$A$5:$K$200,11,FALSE()),0)</f>
        <v>320</v>
      </c>
      <c r="N70" s="90">
        <f t="shared" si="15"/>
        <v>240</v>
      </c>
      <c r="O70" s="90">
        <f t="shared" si="16"/>
        <v>0</v>
      </c>
      <c r="P70" s="91">
        <v>100</v>
      </c>
      <c r="Q70" s="92">
        <f t="shared" si="17"/>
        <v>2</v>
      </c>
      <c r="R70" s="93">
        <f>SUMIFS(Part_Alternatives!$H$2:$H$200,Part_Alternatives!$A$2:$A$200,$A70,Part_Alternatives!$E$2:$E$200,"Ja")</f>
        <v>0</v>
      </c>
      <c r="S70" s="93">
        <f>SUMIFS(Part_Alternatives!$I$2:$I$200,Part_Alternatives!$A$2:$A$200,$A70,Part_Alternatives!$E$2:$E$200,"Ja")</f>
        <v>0</v>
      </c>
      <c r="T70" s="85" t="str">
        <f>IFERROR(VLOOKUP($A70,Part_Alternatives!$A$2:$K$200,10,FALSE()),"")</f>
        <v/>
      </c>
    </row>
    <row r="71" spans="1:20" ht="14" hidden="1" customHeight="1" x14ac:dyDescent="0.15">
      <c r="A71" t="s">
        <v>206</v>
      </c>
      <c r="B71" s="86" t="str">
        <f>IFERROR(VLOOKUP($A71,Parts!$A$2:$M$191,3,FALSE()),"")</f>
        <v>RainDetectorHead PCB Rev 0.1</v>
      </c>
      <c r="C71" s="87" t="str">
        <f>IFERROR(IF(_xlfn.XLOOKUP($A71&amp;"|Ja",Part_Suppliers!$L$2:$L$300,Part_Suppliers!$B$2:$B$300,"",0)=0,"",_xlfn.XLOOKUP($A71&amp;"|Ja",Part_Suppliers!$L$2:$L$300,Part_Suppliers!$B$2:$B$300,"",0)),"")</f>
        <v>JLCPCB</v>
      </c>
      <c r="D71" s="87" t="str">
        <f>IFERROR(IF(_xlfn.XLOOKUP($A71&amp;"|Ja",Part_Suppliers!$L$2:$L$300,Part_Suppliers!$C$2:$C$300,"",0)=0,"",_xlfn.XLOOKUP($A71&amp;"|Ja",Part_Suppliers!$L$2:$L$300,Part_Suppliers!$C$2:$C$300,"",0)),"")</f>
        <v>Y36-4808750A</v>
      </c>
      <c r="E71" s="88">
        <f>SUMIFS(Kit_BOM!$F$2:$F$300,Kit_BOM!$E$2:$E$300,$A71,Kit_BOM!$A$2:$A$300,$A$5,Kit_BOM!$G$2:$G$300,"Bestücken")*$C$5+SUMIFS(Kit_BOM!$F$2:$F$300,Kit_BOM!$E$2:$E$300,$A71,Kit_BOM!$A$2:$A$300,$A$5,Kit_BOM!$G$2:$G$300,"Mechanical")*$C$5+IF($F$5="Ja",SUMIFS(Kit_BOM!$F$2:$F$300,Kit_BOM!$E$2:$E$300,$A71,Kit_BOM!$A$2:$A$300,$A$5,Kit_BOM!$G$2:$G$300,"Optional")*$C$5,0)+IF($F$6="Ja",SUMIFS(Kit_BOM!$F$2:$F$300,Kit_BOM!$E$2:$E$300,$A71,Kit_BOM!$A$2:$A$300,$A$5,Kit_BOM!$G$2:$G$300,"DNP")*$C$5,0)+SUMIFS(Kit_BOM!$F$2:$F$300,Kit_BOM!$E$2:$E$300,$A71,Kit_BOM!$A$2:$A$300,$A$6,Kit_BOM!$G$2:$G$300,"Bestücken")*$C$6+SUMIFS(Kit_BOM!$F$2:$F$300,Kit_BOM!$E$2:$E$300,$A71,Kit_BOM!$A$2:$A$300,$A$6,Kit_BOM!$G$2:$G$300,"Mechanical")*$C$6+IF($F$5="Ja",SUMIFS(Kit_BOM!$F$2:$F$300,Kit_BOM!$E$2:$E$300,$A71,Kit_BOM!$A$2:$A$300,$A$6,Kit_BOM!$G$2:$G$300,"Optional")*$C$6,0)+IF($F$6="Ja",SUMIFS(Kit_BOM!$F$2:$F$300,Kit_BOM!$E$2:$E$300,$A71,Kit_BOM!$A$2:$A$300,$A$6,Kit_BOM!$G$2:$G$300,"DNP")*$C$6,0)+SUMIFS(Kit_BOM!$F$2:$F$300,Kit_BOM!$E$2:$E$300,$A71,Kit_BOM!$A$2:$A$300,$A$7,Kit_BOM!$G$2:$G$300,"Bestücken")*$C$7+SUMIFS(Kit_BOM!$F$2:$F$300,Kit_BOM!$E$2:$E$300,$A71,Kit_BOM!$A$2:$A$300,$A$7,Kit_BOM!$G$2:$G$300,"Mechanical")*$C$7+IF($F$5="Ja",SUMIFS(Kit_BOM!$F$2:$F$300,Kit_BOM!$E$2:$E$300,$A71,Kit_BOM!$A$2:$A$300,$A$7,Kit_BOM!$G$2:$G$300,"Optional")*$C$7,0)+IF($F$6="Ja",SUMIFS(Kit_BOM!$F$2:$F$300,Kit_BOM!$E$2:$E$300,$A71,Kit_BOM!$A$2:$A$300,$A$7,Kit_BOM!$G$2:$G$300,"DNP")*$C$7,0)+SUMIFS(Kit_BOM!$F$2:$F$300,Kit_BOM!$E$2:$E$300,$A71,Kit_BOM!$A$2:$A$300,$A$8,Kit_BOM!$G$2:$G$300,"Bestücken")*$C$8+SUMIFS(Kit_BOM!$F$2:$F$300,Kit_BOM!$E$2:$E$300,$A71,Kit_BOM!$A$2:$A$300,$A$8,Kit_BOM!$G$2:$G$300,"Mechanical")*$C$8+IF($F$5="Ja",SUMIFS(Kit_BOM!$F$2:$F$300,Kit_BOM!$E$2:$E$300,$A71,Kit_BOM!$A$2:$A$300,$A$8,Kit_BOM!$G$2:$G$300,"Optional")*$C$8,0)+IF($F$6="Ja",SUMIFS(Kit_BOM!$F$2:$F$300,Kit_BOM!$E$2:$E$300,$A71,Kit_BOM!$A$2:$A$300,$A$8,Kit_BOM!$G$2:$G$300,"DNP")*$C$8,0)+SUMIFS(Kit_BOM!$F$2:$F$300,Kit_BOM!$E$2:$E$300,$A71,Kit_BOM!$A$2:$A$300,$A$9,Kit_BOM!$G$2:$G$300,"Bestücken")*$C$9+SUMIFS(Kit_BOM!$F$2:$F$300,Kit_BOM!$E$2:$E$300,$A71,Kit_BOM!$A$2:$A$300,$A$9,Kit_BOM!$G$2:$G$300,"Mechanical")*$C$9+IF($F$5="Ja",SUMIFS(Kit_BOM!$F$2:$F$300,Kit_BOM!$E$2:$E$300,$A71,Kit_BOM!$A$2:$A$300,$A$9,Kit_BOM!$G$2:$G$300,"Optional")*$C$9,0)+IF($F$6="Ja",SUMIFS(Kit_BOM!$F$2:$F$300,Kit_BOM!$E$2:$E$300,$A71,Kit_BOM!$A$2:$A$300,$A$9,Kit_BOM!$G$2:$G$300,"DNP")*$C$9,0)+SUMIFS(Kit_BOM!$F$2:$F$300,Kit_BOM!$E$2:$E$300,$A71,Kit_BOM!$A$2:$A$300,$A$10,Kit_BOM!$G$2:$G$300,"Bestücken")*$C$10+SUMIFS(Kit_BOM!$F$2:$F$300,Kit_BOM!$E$2:$E$300,$A71,Kit_BOM!$A$2:$A$300,$A$10,Kit_BOM!$G$2:$G$300,"Mechanical")*$C$10+IF($F$5="Ja",SUMIFS(Kit_BOM!$F$2:$F$300,Kit_BOM!$E$2:$E$300,$A71,Kit_BOM!$A$2:$A$300,$A$10,Kit_BOM!$G$2:$G$300,"Optional")*$C$10,0)+IF($F$6="Ja",SUMIFS(Kit_BOM!$F$2:$F$300,Kit_BOM!$E$2:$E$300,$A71,Kit_BOM!$A$2:$A$300,$A$10,Kit_BOM!$G$2:$G$300,"DNP")*$C$10,0)+SUMIFS(Kit_BOM!$F$2:$F$300,Kit_BOM!$E$2:$E$300,$A71,Kit_BOM!$A$2:$A$300,$A$11,Kit_BOM!$G$2:$G$300,"Bestücken")*$C$11+SUMIFS(Kit_BOM!$F$2:$F$300,Kit_BOM!$E$2:$E$300,$A71,Kit_BOM!$A$2:$A$300,$A$11,Kit_BOM!$G$2:$G$300,"Mechanical")*$C$11+IF($F$5="Ja",SUMIFS(Kit_BOM!$F$2:$F$300,Kit_BOM!$E$2:$E$300,$A71,Kit_BOM!$A$2:$A$300,$A$11,Kit_BOM!$G$2:$G$300,"Optional")*$C$11,0)+IF($F$6="Ja",SUMIFS(Kit_BOM!$F$2:$F$300,Kit_BOM!$E$2:$E$300,$A71,Kit_BOM!$A$2:$A$300,$A$11,Kit_BOM!$G$2:$G$300,"DNP")*$C$11,0)+SUMIFS(Kit_BOM!$F$2:$F$300,Kit_BOM!$E$2:$E$300,$A71,Kit_BOM!$A$2:$A$300,$A$12,Kit_BOM!$G$2:$G$300,"Bestücken")*$C$12+SUMIFS(Kit_BOM!$F$2:$F$300,Kit_BOM!$E$2:$E$300,$A71,Kit_BOM!$A$2:$A$300,$A$12,Kit_BOM!$G$2:$G$300,"Mechanical")*$C$12+IF($F$5="Ja",SUMIFS(Kit_BOM!$F$2:$F$300,Kit_BOM!$E$2:$E$300,$A71,Kit_BOM!$A$2:$A$300,$A$12,Kit_BOM!$G$2:$G$300,"Optional")*$C$12,0)+IF($F$6="Ja",SUMIFS(Kit_BOM!$F$2:$F$300,Kit_BOM!$E$2:$E$300,$A71,Kit_BOM!$A$2:$A$300,$A$12,Kit_BOM!$G$2:$G$300,"DNP")*$C$12,0)+SUMIFS(Kit_BOM!$F$2:$F$300,Kit_BOM!$E$2:$E$300,$A71,Kit_BOM!$A$2:$A$300,$H$5,Kit_BOM!$G$2:$G$300,"Bestücken")*$J$5+SUMIFS(Kit_BOM!$F$2:$F$300,Kit_BOM!$E$2:$E$300,$A71,Kit_BOM!$A$2:$A$300,$H$5,Kit_BOM!$G$2:$G$300,"Mechanical")*$J$5+IF($F$5="Ja",SUMIFS(Kit_BOM!$F$2:$F$300,Kit_BOM!$E$2:$E$300,$A71,Kit_BOM!$A$2:$A$300,$H$5,Kit_BOM!$G$2:$G$300,"Optional")*$J$5,0)+IF($F$6="Ja",SUMIFS(Kit_BOM!$F$2:$F$300,Kit_BOM!$E$2:$E$300,$A71,Kit_BOM!$A$2:$A$300,$H$5,Kit_BOM!$G$2:$G$300,"DNP")*$J$5,0)+SUMIFS(Kit_BOM!$F$2:$F$300,Kit_BOM!$E$2:$E$300,$A71,Kit_BOM!$A$2:$A$300,$H$6,Kit_BOM!$G$2:$G$300,"Bestücken")*$J$6+SUMIFS(Kit_BOM!$F$2:$F$300,Kit_BOM!$E$2:$E$300,$A71,Kit_BOM!$A$2:$A$300,$H$6,Kit_BOM!$G$2:$G$300,"Mechanical")*$J$6+IF($F$5="Ja",SUMIFS(Kit_BOM!$F$2:$F$300,Kit_BOM!$E$2:$E$300,$A71,Kit_BOM!$A$2:$A$300,$H$6,Kit_BOM!$G$2:$G$300,"Optional")*$J$6,0)+IF($F$6="Ja",SUMIFS(Kit_BOM!$F$2:$F$300,Kit_BOM!$E$2:$E$300,$A71,Kit_BOM!$A$2:$A$300,$H$6,Kit_BOM!$G$2:$G$300,"DNP")*$J$6,0)</f>
        <v>4</v>
      </c>
      <c r="F71" s="88">
        <f>IFERROR(IF(_xlfn.XLOOKUP($A71&amp;"|Ja",Part_Suppliers!$L$2:$L$300,Part_Suppliers!$G$2:$G$300,"",0)=0,"",_xlfn.XLOOKUP($A71&amp;"|Ja",Part_Suppliers!$L$2:$L$300,Part_Suppliers!$G$2:$G$300,"",0)),"")</f>
        <v>5</v>
      </c>
      <c r="G71" s="88">
        <f t="shared" si="13"/>
        <v>5</v>
      </c>
      <c r="H71" s="89">
        <f>IFERROR(IF(_xlfn.XLOOKUP($A71&amp;"|Ja",Part_Suppliers!$L$2:$L$300,Part_Suppliers!$E$2:$E$300,"",0)=0,"",_xlfn.XLOOKUP($A71&amp;"|Ja",Part_Suppliers!$L$2:$L$300,Part_Suppliers!$E$2:$E$300,"",0)),"")</f>
        <v>0.7</v>
      </c>
      <c r="I71" s="89">
        <f t="shared" si="14"/>
        <v>3.5</v>
      </c>
      <c r="J71" s="85" t="str">
        <f>IF(AND(P71&gt;0,P71&lt;&gt;O71),"Manuelle Menge prüfen",IF(E71=0,"Nicht benötigt",IF(L71&lt;0,"Bestand klären",IF(O71=0,"Gedeckt","PCB-Auftrag prüfen"))))</f>
        <v>PCB-Auftrag prüfen</v>
      </c>
      <c r="K71" s="87" t="str">
        <f>IFERROR(IF(_xlfn.XLOOKUP($A71&amp;"|Ja",Part_Suppliers!$L$2:$L$300,Part_Suppliers!$D$2:$D$300,"",0)=0,"",_xlfn.XLOOKUP($A71&amp;"|Ja",Part_Suppliers!$L$2:$L$300,Part_Suppliers!$D$2:$D$300,"",0)),"")</f>
        <v>https://jlcpcb.com/</v>
      </c>
      <c r="L71" s="90">
        <f>IFERROR(VLOOKUP($A71,Stock!$A$5:$K$200,10,FALSE()),0)</f>
        <v>0</v>
      </c>
      <c r="M71" s="90">
        <f>IFERROR(VLOOKUP($A71,Stock!$A$5:$K$200,11,FALSE()),0)</f>
        <v>0</v>
      </c>
      <c r="N71" s="90">
        <f t="shared" si="15"/>
        <v>-4</v>
      </c>
      <c r="O71" s="90">
        <f t="shared" si="16"/>
        <v>5</v>
      </c>
      <c r="P71" s="91">
        <v>0</v>
      </c>
      <c r="Q71" s="92">
        <f t="shared" si="17"/>
        <v>0</v>
      </c>
      <c r="R71" s="93">
        <f>SUMIFS(Part_Alternatives!$H$2:$H$200,Part_Alternatives!$A$2:$A$200,$A71,Part_Alternatives!$E$2:$E$200,"Ja")</f>
        <v>0</v>
      </c>
      <c r="S71" s="93">
        <f>SUMIFS(Part_Alternatives!$I$2:$I$200,Part_Alternatives!$A$2:$A$200,$A71,Part_Alternatives!$E$2:$E$200,"Ja")</f>
        <v>0</v>
      </c>
      <c r="T71" s="85" t="str">
        <f>IFERROR(VLOOKUP($A71,Part_Alternatives!$A$2:$K$200,10,FALSE()),"")</f>
        <v/>
      </c>
    </row>
    <row r="72" spans="1:20" ht="14" hidden="1" customHeight="1" x14ac:dyDescent="0.15">
      <c r="A72" t="s">
        <v>207</v>
      </c>
      <c r="B72" s="86" t="str">
        <f>IFERROR(VLOOKUP($A72,Parts!$A$2:$M$191,3,FALSE()),"")</f>
        <v>RainDetectorController PCB Rev 0.3</v>
      </c>
      <c r="C72" s="87" t="str">
        <f>IFERROR(IF(_xlfn.XLOOKUP($A72&amp;"|Ja",Part_Suppliers!$L$2:$L$300,Part_Suppliers!$B$2:$B$300,"",0)=0,"",_xlfn.XLOOKUP($A72&amp;"|Ja",Part_Suppliers!$L$2:$L$300,Part_Suppliers!$B$2:$B$300,"",0)),"")</f>
        <v>JLCPCB</v>
      </c>
      <c r="D72" s="87" t="str">
        <f>IFERROR(IF(_xlfn.XLOOKUP($A72&amp;"|Ja",Part_Suppliers!$L$2:$L$300,Part_Suppliers!$C$2:$C$300,"",0)=0,"",_xlfn.XLOOKUP($A72&amp;"|Ja",Part_Suppliers!$L$2:$L$300,Part_Suppliers!$C$2:$C$300,"",0)),"")</f>
        <v>Y37-4808750A</v>
      </c>
      <c r="E72" s="88">
        <f>SUMIFS(Kit_BOM!$F$2:$F$300,Kit_BOM!$E$2:$E$300,$A72,Kit_BOM!$A$2:$A$300,$A$5,Kit_BOM!$G$2:$G$300,"Bestücken")*$C$5+SUMIFS(Kit_BOM!$F$2:$F$300,Kit_BOM!$E$2:$E$300,$A72,Kit_BOM!$A$2:$A$300,$A$5,Kit_BOM!$G$2:$G$300,"Mechanical")*$C$5+IF($F$5="Ja",SUMIFS(Kit_BOM!$F$2:$F$300,Kit_BOM!$E$2:$E$300,$A72,Kit_BOM!$A$2:$A$300,$A$5,Kit_BOM!$G$2:$G$300,"Optional")*$C$5,0)+IF($F$6="Ja",SUMIFS(Kit_BOM!$F$2:$F$300,Kit_BOM!$E$2:$E$300,$A72,Kit_BOM!$A$2:$A$300,$A$5,Kit_BOM!$G$2:$G$300,"DNP")*$C$5,0)+SUMIFS(Kit_BOM!$F$2:$F$300,Kit_BOM!$E$2:$E$300,$A72,Kit_BOM!$A$2:$A$300,$A$6,Kit_BOM!$G$2:$G$300,"Bestücken")*$C$6+SUMIFS(Kit_BOM!$F$2:$F$300,Kit_BOM!$E$2:$E$300,$A72,Kit_BOM!$A$2:$A$300,$A$6,Kit_BOM!$G$2:$G$300,"Mechanical")*$C$6+IF($F$5="Ja",SUMIFS(Kit_BOM!$F$2:$F$300,Kit_BOM!$E$2:$E$300,$A72,Kit_BOM!$A$2:$A$300,$A$6,Kit_BOM!$G$2:$G$300,"Optional")*$C$6,0)+IF($F$6="Ja",SUMIFS(Kit_BOM!$F$2:$F$300,Kit_BOM!$E$2:$E$300,$A72,Kit_BOM!$A$2:$A$300,$A$6,Kit_BOM!$G$2:$G$300,"DNP")*$C$6,0)+SUMIFS(Kit_BOM!$F$2:$F$300,Kit_BOM!$E$2:$E$300,$A72,Kit_BOM!$A$2:$A$300,$A$7,Kit_BOM!$G$2:$G$300,"Bestücken")*$C$7+SUMIFS(Kit_BOM!$F$2:$F$300,Kit_BOM!$E$2:$E$300,$A72,Kit_BOM!$A$2:$A$300,$A$7,Kit_BOM!$G$2:$G$300,"Mechanical")*$C$7+IF($F$5="Ja",SUMIFS(Kit_BOM!$F$2:$F$300,Kit_BOM!$E$2:$E$300,$A72,Kit_BOM!$A$2:$A$300,$A$7,Kit_BOM!$G$2:$G$300,"Optional")*$C$7,0)+IF($F$6="Ja",SUMIFS(Kit_BOM!$F$2:$F$300,Kit_BOM!$E$2:$E$300,$A72,Kit_BOM!$A$2:$A$300,$A$7,Kit_BOM!$G$2:$G$300,"DNP")*$C$7,0)+SUMIFS(Kit_BOM!$F$2:$F$300,Kit_BOM!$E$2:$E$300,$A72,Kit_BOM!$A$2:$A$300,$A$8,Kit_BOM!$G$2:$G$300,"Bestücken")*$C$8+SUMIFS(Kit_BOM!$F$2:$F$300,Kit_BOM!$E$2:$E$300,$A72,Kit_BOM!$A$2:$A$300,$A$8,Kit_BOM!$G$2:$G$300,"Mechanical")*$C$8+IF($F$5="Ja",SUMIFS(Kit_BOM!$F$2:$F$300,Kit_BOM!$E$2:$E$300,$A72,Kit_BOM!$A$2:$A$300,$A$8,Kit_BOM!$G$2:$G$300,"Optional")*$C$8,0)+IF($F$6="Ja",SUMIFS(Kit_BOM!$F$2:$F$300,Kit_BOM!$E$2:$E$300,$A72,Kit_BOM!$A$2:$A$300,$A$8,Kit_BOM!$G$2:$G$300,"DNP")*$C$8,0)+SUMIFS(Kit_BOM!$F$2:$F$300,Kit_BOM!$E$2:$E$300,$A72,Kit_BOM!$A$2:$A$300,$A$9,Kit_BOM!$G$2:$G$300,"Bestücken")*$C$9+SUMIFS(Kit_BOM!$F$2:$F$300,Kit_BOM!$E$2:$E$300,$A72,Kit_BOM!$A$2:$A$300,$A$9,Kit_BOM!$G$2:$G$300,"Mechanical")*$C$9+IF($F$5="Ja",SUMIFS(Kit_BOM!$F$2:$F$300,Kit_BOM!$E$2:$E$300,$A72,Kit_BOM!$A$2:$A$300,$A$9,Kit_BOM!$G$2:$G$300,"Optional")*$C$9,0)+IF($F$6="Ja",SUMIFS(Kit_BOM!$F$2:$F$300,Kit_BOM!$E$2:$E$300,$A72,Kit_BOM!$A$2:$A$300,$A$9,Kit_BOM!$G$2:$G$300,"DNP")*$C$9,0)+SUMIFS(Kit_BOM!$F$2:$F$300,Kit_BOM!$E$2:$E$300,$A72,Kit_BOM!$A$2:$A$300,$A$10,Kit_BOM!$G$2:$G$300,"Bestücken")*$C$10+SUMIFS(Kit_BOM!$F$2:$F$300,Kit_BOM!$E$2:$E$300,$A72,Kit_BOM!$A$2:$A$300,$A$10,Kit_BOM!$G$2:$G$300,"Mechanical")*$C$10+IF($F$5="Ja",SUMIFS(Kit_BOM!$F$2:$F$300,Kit_BOM!$E$2:$E$300,$A72,Kit_BOM!$A$2:$A$300,$A$10,Kit_BOM!$G$2:$G$300,"Optional")*$C$10,0)+IF($F$6="Ja",SUMIFS(Kit_BOM!$F$2:$F$300,Kit_BOM!$E$2:$E$300,$A72,Kit_BOM!$A$2:$A$300,$A$10,Kit_BOM!$G$2:$G$300,"DNP")*$C$10,0)+SUMIFS(Kit_BOM!$F$2:$F$300,Kit_BOM!$E$2:$E$300,$A72,Kit_BOM!$A$2:$A$300,$A$11,Kit_BOM!$G$2:$G$300,"Bestücken")*$C$11+SUMIFS(Kit_BOM!$F$2:$F$300,Kit_BOM!$E$2:$E$300,$A72,Kit_BOM!$A$2:$A$300,$A$11,Kit_BOM!$G$2:$G$300,"Mechanical")*$C$11+IF($F$5="Ja",SUMIFS(Kit_BOM!$F$2:$F$300,Kit_BOM!$E$2:$E$300,$A72,Kit_BOM!$A$2:$A$300,$A$11,Kit_BOM!$G$2:$G$300,"Optional")*$C$11,0)+IF($F$6="Ja",SUMIFS(Kit_BOM!$F$2:$F$300,Kit_BOM!$E$2:$E$300,$A72,Kit_BOM!$A$2:$A$300,$A$11,Kit_BOM!$G$2:$G$300,"DNP")*$C$11,0)+SUMIFS(Kit_BOM!$F$2:$F$300,Kit_BOM!$E$2:$E$300,$A72,Kit_BOM!$A$2:$A$300,$A$12,Kit_BOM!$G$2:$G$300,"Bestücken")*$C$12+SUMIFS(Kit_BOM!$F$2:$F$300,Kit_BOM!$E$2:$E$300,$A72,Kit_BOM!$A$2:$A$300,$A$12,Kit_BOM!$G$2:$G$300,"Mechanical")*$C$12+IF($F$5="Ja",SUMIFS(Kit_BOM!$F$2:$F$300,Kit_BOM!$E$2:$E$300,$A72,Kit_BOM!$A$2:$A$300,$A$12,Kit_BOM!$G$2:$G$300,"Optional")*$C$12,0)+IF($F$6="Ja",SUMIFS(Kit_BOM!$F$2:$F$300,Kit_BOM!$E$2:$E$300,$A72,Kit_BOM!$A$2:$A$300,$A$12,Kit_BOM!$G$2:$G$300,"DNP")*$C$12,0)+SUMIFS(Kit_BOM!$F$2:$F$300,Kit_BOM!$E$2:$E$300,$A72,Kit_BOM!$A$2:$A$300,$H$5,Kit_BOM!$G$2:$G$300,"Bestücken")*$J$5+SUMIFS(Kit_BOM!$F$2:$F$300,Kit_BOM!$E$2:$E$300,$A72,Kit_BOM!$A$2:$A$300,$H$5,Kit_BOM!$G$2:$G$300,"Mechanical")*$J$5+IF($F$5="Ja",SUMIFS(Kit_BOM!$F$2:$F$300,Kit_BOM!$E$2:$E$300,$A72,Kit_BOM!$A$2:$A$300,$H$5,Kit_BOM!$G$2:$G$300,"Optional")*$J$5,0)+IF($F$6="Ja",SUMIFS(Kit_BOM!$F$2:$F$300,Kit_BOM!$E$2:$E$300,$A72,Kit_BOM!$A$2:$A$300,$H$5,Kit_BOM!$G$2:$G$300,"DNP")*$J$5,0)+SUMIFS(Kit_BOM!$F$2:$F$300,Kit_BOM!$E$2:$E$300,$A72,Kit_BOM!$A$2:$A$300,$H$6,Kit_BOM!$G$2:$G$300,"Bestücken")*$J$6+SUMIFS(Kit_BOM!$F$2:$F$300,Kit_BOM!$E$2:$E$300,$A72,Kit_BOM!$A$2:$A$300,$H$6,Kit_BOM!$G$2:$G$300,"Mechanical")*$J$6+IF($F$5="Ja",SUMIFS(Kit_BOM!$F$2:$F$300,Kit_BOM!$E$2:$E$300,$A72,Kit_BOM!$A$2:$A$300,$H$6,Kit_BOM!$G$2:$G$300,"Optional")*$J$6,0)+IF($F$6="Ja",SUMIFS(Kit_BOM!$F$2:$F$300,Kit_BOM!$E$2:$E$300,$A72,Kit_BOM!$A$2:$A$300,$H$6,Kit_BOM!$G$2:$G$300,"DNP")*$J$6,0)</f>
        <v>4</v>
      </c>
      <c r="F72" s="88">
        <f>IFERROR(IF(_xlfn.XLOOKUP($A72&amp;"|Ja",Part_Suppliers!$L$2:$L$300,Part_Suppliers!$G$2:$G$300,"",0)=0,"",_xlfn.XLOOKUP($A72&amp;"|Ja",Part_Suppliers!$L$2:$L$300,Part_Suppliers!$G$2:$G$300,"",0)),"")</f>
        <v>5</v>
      </c>
      <c r="G72" s="88">
        <f t="shared" si="13"/>
        <v>5</v>
      </c>
      <c r="H72" s="89">
        <f>IFERROR(IF(_xlfn.XLOOKUP($A72&amp;"|Ja",Part_Suppliers!$L$2:$L$300,Part_Suppliers!$E$2:$E$300,"",0)=0,"",_xlfn.XLOOKUP($A72&amp;"|Ja",Part_Suppliers!$L$2:$L$300,Part_Suppliers!$E$2:$E$300,"",0)),"")</f>
        <v>0.7</v>
      </c>
      <c r="I72" s="89">
        <f t="shared" si="14"/>
        <v>3.5</v>
      </c>
      <c r="J72" s="85" t="str">
        <f>IF(AND(P72&gt;0,P72&lt;&gt;O72),"Manuelle Menge prüfen",IF(E72=0,"Nicht benötigt",IF(L72&lt;0,"Bestand klären",IF(O72=0,"Gedeckt","PCB-Auftrag prüfen"))))</f>
        <v>PCB-Auftrag prüfen</v>
      </c>
      <c r="K72" s="87" t="str">
        <f>IFERROR(IF(_xlfn.XLOOKUP($A72&amp;"|Ja",Part_Suppliers!$L$2:$L$300,Part_Suppliers!$D$2:$D$300,"",0)=0,"",_xlfn.XLOOKUP($A72&amp;"|Ja",Part_Suppliers!$L$2:$L$300,Part_Suppliers!$D$2:$D$300,"",0)),"")</f>
        <v>https://jlcpcb.com/</v>
      </c>
      <c r="L72" s="90">
        <f>IFERROR(VLOOKUP($A72,Stock!$A$5:$K$200,10,FALSE()),0)</f>
        <v>0</v>
      </c>
      <c r="M72" s="90">
        <f>IFERROR(VLOOKUP($A72,Stock!$A$5:$K$200,11,FALSE()),0)</f>
        <v>0</v>
      </c>
      <c r="N72" s="90">
        <f t="shared" si="15"/>
        <v>-4</v>
      </c>
      <c r="O72" s="90">
        <f t="shared" si="16"/>
        <v>5</v>
      </c>
      <c r="P72" s="91">
        <v>0</v>
      </c>
      <c r="Q72" s="92">
        <f t="shared" si="17"/>
        <v>0</v>
      </c>
      <c r="R72" s="93">
        <f>SUMIFS(Part_Alternatives!$H$2:$H$200,Part_Alternatives!$A$2:$A$200,$A72,Part_Alternatives!$E$2:$E$200,"Ja")</f>
        <v>0</v>
      </c>
      <c r="S72" s="93">
        <f>SUMIFS(Part_Alternatives!$I$2:$I$200,Part_Alternatives!$A$2:$A$200,$A72,Part_Alternatives!$E$2:$E$200,"Ja")</f>
        <v>0</v>
      </c>
      <c r="T72" s="85" t="str">
        <f>IFERROR(VLOOKUP($A72,Part_Alternatives!$A$2:$K$200,10,FALSE()),"")</f>
        <v/>
      </c>
    </row>
    <row r="73" spans="1:20" ht="14" hidden="1" customHeight="1" x14ac:dyDescent="0.15">
      <c r="A73" t="s">
        <v>204</v>
      </c>
      <c r="B73" s="86" t="str">
        <f>IFERROR(VLOOKUP($A73,Parts!$A$2:$M$191,3,FALSE()),"")</f>
        <v>SMD-Stiftleiste 2x10, Zuschnitt auf 2x2</v>
      </c>
      <c r="C73" s="87" t="str">
        <f>IFERROR(IF(_xlfn.XLOOKUP($A73&amp;"|Ja",Part_Suppliers!$L$2:$L$300,Part_Suppliers!$B$2:$B$300,"",0)=0,"",_xlfn.XLOOKUP($A73&amp;"|Ja",Part_Suppliers!$L$2:$L$300,Part_Suppliers!$B$2:$B$300,"",0)),"")</f>
        <v>Reichelt</v>
      </c>
      <c r="D73" s="87" t="str">
        <f>IFERROR(IF(_xlfn.XLOOKUP($A73&amp;"|Ja",Part_Suppliers!$L$2:$L$300,Part_Suppliers!$C$2:$C$300,"",0)=0,"",_xlfn.XLOOKUP($A73&amp;"|Ja",Part_Suppliers!$L$2:$L$300,Part_Suppliers!$C$2:$C$300,"",0)),"")</f>
        <v>SL 2X10G SMD2,54</v>
      </c>
      <c r="E73" s="88">
        <f>SUMIFS(Kit_BOM!$F$2:$F$300,Kit_BOM!$E$2:$E$300,$A73,Kit_BOM!$A$2:$A$300,$A$5,Kit_BOM!$G$2:$G$300,"Bestücken")*$C$5+SUMIFS(Kit_BOM!$F$2:$F$300,Kit_BOM!$E$2:$E$300,$A73,Kit_BOM!$A$2:$A$300,$A$5,Kit_BOM!$G$2:$G$300,"Mechanical")*$C$5+IF($F$5="Ja",SUMIFS(Kit_BOM!$F$2:$F$300,Kit_BOM!$E$2:$E$300,$A73,Kit_BOM!$A$2:$A$300,$A$5,Kit_BOM!$G$2:$G$300,"Optional")*$C$5,0)+IF($F$6="Ja",SUMIFS(Kit_BOM!$F$2:$F$300,Kit_BOM!$E$2:$E$300,$A73,Kit_BOM!$A$2:$A$300,$A$5,Kit_BOM!$G$2:$G$300,"DNP")*$C$5,0)+SUMIFS(Kit_BOM!$F$2:$F$300,Kit_BOM!$E$2:$E$300,$A73,Kit_BOM!$A$2:$A$300,$A$6,Kit_BOM!$G$2:$G$300,"Bestücken")*$C$6+SUMIFS(Kit_BOM!$F$2:$F$300,Kit_BOM!$E$2:$E$300,$A73,Kit_BOM!$A$2:$A$300,$A$6,Kit_BOM!$G$2:$G$300,"Mechanical")*$C$6+IF($F$5="Ja",SUMIFS(Kit_BOM!$F$2:$F$300,Kit_BOM!$E$2:$E$300,$A73,Kit_BOM!$A$2:$A$300,$A$6,Kit_BOM!$G$2:$G$300,"Optional")*$C$6,0)+IF($F$6="Ja",SUMIFS(Kit_BOM!$F$2:$F$300,Kit_BOM!$E$2:$E$300,$A73,Kit_BOM!$A$2:$A$300,$A$6,Kit_BOM!$G$2:$G$300,"DNP")*$C$6,0)+SUMIFS(Kit_BOM!$F$2:$F$300,Kit_BOM!$E$2:$E$300,$A73,Kit_BOM!$A$2:$A$300,$A$7,Kit_BOM!$G$2:$G$300,"Bestücken")*$C$7+SUMIFS(Kit_BOM!$F$2:$F$300,Kit_BOM!$E$2:$E$300,$A73,Kit_BOM!$A$2:$A$300,$A$7,Kit_BOM!$G$2:$G$300,"Mechanical")*$C$7+IF($F$5="Ja",SUMIFS(Kit_BOM!$F$2:$F$300,Kit_BOM!$E$2:$E$300,$A73,Kit_BOM!$A$2:$A$300,$A$7,Kit_BOM!$G$2:$G$300,"Optional")*$C$7,0)+IF($F$6="Ja",SUMIFS(Kit_BOM!$F$2:$F$300,Kit_BOM!$E$2:$E$300,$A73,Kit_BOM!$A$2:$A$300,$A$7,Kit_BOM!$G$2:$G$300,"DNP")*$C$7,0)+SUMIFS(Kit_BOM!$F$2:$F$300,Kit_BOM!$E$2:$E$300,$A73,Kit_BOM!$A$2:$A$300,$A$8,Kit_BOM!$G$2:$G$300,"Bestücken")*$C$8+SUMIFS(Kit_BOM!$F$2:$F$300,Kit_BOM!$E$2:$E$300,$A73,Kit_BOM!$A$2:$A$300,$A$8,Kit_BOM!$G$2:$G$300,"Mechanical")*$C$8+IF($F$5="Ja",SUMIFS(Kit_BOM!$F$2:$F$300,Kit_BOM!$E$2:$E$300,$A73,Kit_BOM!$A$2:$A$300,$A$8,Kit_BOM!$G$2:$G$300,"Optional")*$C$8,0)+IF($F$6="Ja",SUMIFS(Kit_BOM!$F$2:$F$300,Kit_BOM!$E$2:$E$300,$A73,Kit_BOM!$A$2:$A$300,$A$8,Kit_BOM!$G$2:$G$300,"DNP")*$C$8,0)+SUMIFS(Kit_BOM!$F$2:$F$300,Kit_BOM!$E$2:$E$300,$A73,Kit_BOM!$A$2:$A$300,$A$9,Kit_BOM!$G$2:$G$300,"Bestücken")*$C$9+SUMIFS(Kit_BOM!$F$2:$F$300,Kit_BOM!$E$2:$E$300,$A73,Kit_BOM!$A$2:$A$300,$A$9,Kit_BOM!$G$2:$G$300,"Mechanical")*$C$9+IF($F$5="Ja",SUMIFS(Kit_BOM!$F$2:$F$300,Kit_BOM!$E$2:$E$300,$A73,Kit_BOM!$A$2:$A$300,$A$9,Kit_BOM!$G$2:$G$300,"Optional")*$C$9,0)+IF($F$6="Ja",SUMIFS(Kit_BOM!$F$2:$F$300,Kit_BOM!$E$2:$E$300,$A73,Kit_BOM!$A$2:$A$300,$A$9,Kit_BOM!$G$2:$G$300,"DNP")*$C$9,0)+SUMIFS(Kit_BOM!$F$2:$F$300,Kit_BOM!$E$2:$E$300,$A73,Kit_BOM!$A$2:$A$300,$A$10,Kit_BOM!$G$2:$G$300,"Bestücken")*$C$10+SUMIFS(Kit_BOM!$F$2:$F$300,Kit_BOM!$E$2:$E$300,$A73,Kit_BOM!$A$2:$A$300,$A$10,Kit_BOM!$G$2:$G$300,"Mechanical")*$C$10+IF($F$5="Ja",SUMIFS(Kit_BOM!$F$2:$F$300,Kit_BOM!$E$2:$E$300,$A73,Kit_BOM!$A$2:$A$300,$A$10,Kit_BOM!$G$2:$G$300,"Optional")*$C$10,0)+IF($F$6="Ja",SUMIFS(Kit_BOM!$F$2:$F$300,Kit_BOM!$E$2:$E$300,$A73,Kit_BOM!$A$2:$A$300,$A$10,Kit_BOM!$G$2:$G$300,"DNP")*$C$10,0)+SUMIFS(Kit_BOM!$F$2:$F$300,Kit_BOM!$E$2:$E$300,$A73,Kit_BOM!$A$2:$A$300,$A$11,Kit_BOM!$G$2:$G$300,"Bestücken")*$C$11+SUMIFS(Kit_BOM!$F$2:$F$300,Kit_BOM!$E$2:$E$300,$A73,Kit_BOM!$A$2:$A$300,$A$11,Kit_BOM!$G$2:$G$300,"Mechanical")*$C$11+IF($F$5="Ja",SUMIFS(Kit_BOM!$F$2:$F$300,Kit_BOM!$E$2:$E$300,$A73,Kit_BOM!$A$2:$A$300,$A$11,Kit_BOM!$G$2:$G$300,"Optional")*$C$11,0)+IF($F$6="Ja",SUMIFS(Kit_BOM!$F$2:$F$300,Kit_BOM!$E$2:$E$300,$A73,Kit_BOM!$A$2:$A$300,$A$11,Kit_BOM!$G$2:$G$300,"DNP")*$C$11,0)+SUMIFS(Kit_BOM!$F$2:$F$300,Kit_BOM!$E$2:$E$300,$A73,Kit_BOM!$A$2:$A$300,$A$12,Kit_BOM!$G$2:$G$300,"Bestücken")*$C$12+SUMIFS(Kit_BOM!$F$2:$F$300,Kit_BOM!$E$2:$E$300,$A73,Kit_BOM!$A$2:$A$300,$A$12,Kit_BOM!$G$2:$G$300,"Mechanical")*$C$12+IF($F$5="Ja",SUMIFS(Kit_BOM!$F$2:$F$300,Kit_BOM!$E$2:$E$300,$A73,Kit_BOM!$A$2:$A$300,$A$12,Kit_BOM!$G$2:$G$300,"Optional")*$C$12,0)+IF($F$6="Ja",SUMIFS(Kit_BOM!$F$2:$F$300,Kit_BOM!$E$2:$E$300,$A73,Kit_BOM!$A$2:$A$300,$A$12,Kit_BOM!$G$2:$G$300,"DNP")*$C$12,0)+SUMIFS(Kit_BOM!$F$2:$F$300,Kit_BOM!$E$2:$E$300,$A73,Kit_BOM!$A$2:$A$300,$H$5,Kit_BOM!$G$2:$G$300,"Bestücken")*$J$5+SUMIFS(Kit_BOM!$F$2:$F$300,Kit_BOM!$E$2:$E$300,$A73,Kit_BOM!$A$2:$A$300,$H$5,Kit_BOM!$G$2:$G$300,"Mechanical")*$J$5+IF($F$5="Ja",SUMIFS(Kit_BOM!$F$2:$F$300,Kit_BOM!$E$2:$E$300,$A73,Kit_BOM!$A$2:$A$300,$H$5,Kit_BOM!$G$2:$G$300,"Optional")*$J$5,0)+IF($F$6="Ja",SUMIFS(Kit_BOM!$F$2:$F$300,Kit_BOM!$E$2:$E$300,$A73,Kit_BOM!$A$2:$A$300,$H$5,Kit_BOM!$G$2:$G$300,"DNP")*$J$5,0)+SUMIFS(Kit_BOM!$F$2:$F$300,Kit_BOM!$E$2:$E$300,$A73,Kit_BOM!$A$2:$A$300,$H$6,Kit_BOM!$G$2:$G$300,"Bestücken")*$J$6+SUMIFS(Kit_BOM!$F$2:$F$300,Kit_BOM!$E$2:$E$300,$A73,Kit_BOM!$A$2:$A$300,$H$6,Kit_BOM!$G$2:$G$300,"Mechanical")*$J$6+IF($F$5="Ja",SUMIFS(Kit_BOM!$F$2:$F$300,Kit_BOM!$E$2:$E$300,$A73,Kit_BOM!$A$2:$A$300,$H$6,Kit_BOM!$G$2:$G$300,"Optional")*$J$6,0)+IF($F$6="Ja",SUMIFS(Kit_BOM!$F$2:$F$300,Kit_BOM!$E$2:$E$300,$A73,Kit_BOM!$A$2:$A$300,$H$6,Kit_BOM!$G$2:$G$300,"DNP")*$J$6,0)</f>
        <v>4</v>
      </c>
      <c r="F73" s="88">
        <f>IFERROR(IF(_xlfn.XLOOKUP($A73&amp;"|Ja",Part_Suppliers!$L$2:$L$300,Part_Suppliers!$G$2:$G$300,"",0)=0,"",_xlfn.XLOOKUP($A73&amp;"|Ja",Part_Suppliers!$L$2:$L$300,Part_Suppliers!$G$2:$G$300,"",0)),"")</f>
        <v>1</v>
      </c>
      <c r="G73" s="88">
        <f t="shared" si="13"/>
        <v>4</v>
      </c>
      <c r="H73" s="89">
        <f>IFERROR(IF(_xlfn.XLOOKUP($A73&amp;"|Ja",Part_Suppliers!$L$2:$L$300,Part_Suppliers!$E$2:$E$300,"",0)=0,"",_xlfn.XLOOKUP($A73&amp;"|Ja",Part_Suppliers!$L$2:$L$300,Part_Suppliers!$E$2:$E$300,"",0)),"")</f>
        <v>0.54</v>
      </c>
      <c r="I73" s="89">
        <f t="shared" si="14"/>
        <v>2.16</v>
      </c>
      <c r="J73" s="85" t="str">
        <f>IF(AND(P73&gt;0,P73&lt;&gt;O73),"Manuelle Menge prüfen",IF(E73=0,"Nicht benötigt",IF(L73&lt;0,"Bestand klären",IF(O73=0,"Gedeckt",IF(OR(C73="",C73="Noch festlegen",D73=""),"Artikel offen",IF(H73="","Preis offen","Bestellvorschlag prüfen"))))))</f>
        <v>Gedeckt</v>
      </c>
      <c r="K73" s="87" t="str">
        <f>IFERROR(IF(_xlfn.XLOOKUP($A73&amp;"|Ja",Part_Suppliers!$L$2:$L$300,Part_Suppliers!$D$2:$D$300,"",0)=0,"",_xlfn.XLOOKUP($A73&amp;"|Ja",Part_Suppliers!$L$2:$L$300,Part_Suppliers!$D$2:$D$300,"",0)),"")</f>
        <v>https://www.reichelt.de/de/de/shop/produkt/2x10pol_-smd-stiftleiste_gerade_rm_2_54-51717</v>
      </c>
      <c r="L73" s="90">
        <f>IFERROR(VLOOKUP($A73,Stock!$A$5:$K$200,10,FALSE()),0)</f>
        <v>0</v>
      </c>
      <c r="M73" s="90">
        <f>IFERROR(VLOOKUP($A73,Stock!$A$5:$K$200,11,FALSE()),0)</f>
        <v>4</v>
      </c>
      <c r="N73" s="90">
        <f t="shared" si="15"/>
        <v>0</v>
      </c>
      <c r="O73" s="90">
        <f t="shared" si="16"/>
        <v>0</v>
      </c>
      <c r="P73" s="91">
        <v>0</v>
      </c>
      <c r="Q73" s="92">
        <f t="shared" si="17"/>
        <v>0</v>
      </c>
      <c r="R73" s="93">
        <f>SUMIFS(Part_Alternatives!$H$2:$H$200,Part_Alternatives!$A$2:$A$200,$A73,Part_Alternatives!$E$2:$E$200,"Ja")</f>
        <v>0</v>
      </c>
      <c r="S73" s="93">
        <f>SUMIFS(Part_Alternatives!$I$2:$I$200,Part_Alternatives!$A$2:$A$200,$A73,Part_Alternatives!$E$2:$E$200,"Ja")</f>
        <v>0</v>
      </c>
      <c r="T73" s="85" t="str">
        <f>IFERROR(VLOOKUP($A73,Part_Alternatives!$A$2:$K$200,10,FALSE()),"")</f>
        <v/>
      </c>
    </row>
    <row r="74" spans="1:20" ht="14" hidden="1" customHeight="1" x14ac:dyDescent="0.2">
      <c r="A74" s="26" t="s">
        <v>145</v>
      </c>
      <c r="B74" s="45" t="str">
        <f>IFERROR(VLOOKUP($A74,Parts!$A$2:$M$191,3,FALSE()),"")</f>
        <v>Buchsenleiste 2x7, 2,54 mm, vertikal</v>
      </c>
      <c r="C74" s="26" t="str">
        <f>IFERROR(IF(_xlfn.XLOOKUP($A74&amp;"|Ja",Part_Suppliers!$L$2:$L$300,Part_Suppliers!$B$2:$B$300,"",0)=0,"",_xlfn.XLOOKUP($A74&amp;"|Ja",Part_Suppliers!$L$2:$L$300,Part_Suppliers!$B$2:$B$300,"",0)),"")</f>
        <v>Reichelt</v>
      </c>
      <c r="D74" s="26" t="str">
        <f>IFERROR(IF(_xlfn.XLOOKUP($A74&amp;"|Ja",Part_Suppliers!$L$2:$L$300,Part_Suppliers!$C$2:$C$300,"",0)=0,"",_xlfn.XLOOKUP($A74&amp;"|Ja",Part_Suppliers!$L$2:$L$300,Part_Suppliers!$C$2:$C$300,"",0)),"")</f>
        <v>MPE 094-2-014</v>
      </c>
      <c r="E74" s="27">
        <f>SUMIFS(Kit_BOM!$F$2:$F$300,Kit_BOM!$E$2:$E$300,$A74,Kit_BOM!$A$2:$A$300,$A$5,Kit_BOM!$G$2:$G$300,"Bestücken")*$C$5+SUMIFS(Kit_BOM!$F$2:$F$300,Kit_BOM!$E$2:$E$300,$A74,Kit_BOM!$A$2:$A$300,$A$5,Kit_BOM!$G$2:$G$300,"Mechanical")*$C$5+IF($F$5="Ja",SUMIFS(Kit_BOM!$F$2:$F$300,Kit_BOM!$E$2:$E$300,$A74,Kit_BOM!$A$2:$A$300,$A$5,Kit_BOM!$G$2:$G$300,"Optional")*$C$5,0)+IF($F$6="Ja",SUMIFS(Kit_BOM!$F$2:$F$300,Kit_BOM!$E$2:$E$300,$A74,Kit_BOM!$A$2:$A$300,$A$5,Kit_BOM!$G$2:$G$300,"DNP")*$C$5,0)+SUMIFS(Kit_BOM!$F$2:$F$300,Kit_BOM!$E$2:$E$300,$A74,Kit_BOM!$A$2:$A$300,$A$6,Kit_BOM!$G$2:$G$300,"Bestücken")*$C$6+SUMIFS(Kit_BOM!$F$2:$F$300,Kit_BOM!$E$2:$E$300,$A74,Kit_BOM!$A$2:$A$300,$A$6,Kit_BOM!$G$2:$G$300,"Mechanical")*$C$6+IF($F$5="Ja",SUMIFS(Kit_BOM!$F$2:$F$300,Kit_BOM!$E$2:$E$300,$A74,Kit_BOM!$A$2:$A$300,$A$6,Kit_BOM!$G$2:$G$300,"Optional")*$C$6,0)+IF($F$6="Ja",SUMIFS(Kit_BOM!$F$2:$F$300,Kit_BOM!$E$2:$E$300,$A74,Kit_BOM!$A$2:$A$300,$A$6,Kit_BOM!$G$2:$G$300,"DNP")*$C$6,0)+SUMIFS(Kit_BOM!$F$2:$F$300,Kit_BOM!$E$2:$E$300,$A74,Kit_BOM!$A$2:$A$300,$A$7,Kit_BOM!$G$2:$G$300,"Bestücken")*$C$7+SUMIFS(Kit_BOM!$F$2:$F$300,Kit_BOM!$E$2:$E$300,$A74,Kit_BOM!$A$2:$A$300,$A$7,Kit_BOM!$G$2:$G$300,"Mechanical")*$C$7+IF($F$5="Ja",SUMIFS(Kit_BOM!$F$2:$F$300,Kit_BOM!$E$2:$E$300,$A74,Kit_BOM!$A$2:$A$300,$A$7,Kit_BOM!$G$2:$G$300,"Optional")*$C$7,0)+IF($F$6="Ja",SUMIFS(Kit_BOM!$F$2:$F$300,Kit_BOM!$E$2:$E$300,$A74,Kit_BOM!$A$2:$A$300,$A$7,Kit_BOM!$G$2:$G$300,"DNP")*$C$7,0)+SUMIFS(Kit_BOM!$F$2:$F$300,Kit_BOM!$E$2:$E$300,$A74,Kit_BOM!$A$2:$A$300,$A$8,Kit_BOM!$G$2:$G$300,"Bestücken")*$C$8+SUMIFS(Kit_BOM!$F$2:$F$300,Kit_BOM!$E$2:$E$300,$A74,Kit_BOM!$A$2:$A$300,$A$8,Kit_BOM!$G$2:$G$300,"Mechanical")*$C$8+IF($F$5="Ja",SUMIFS(Kit_BOM!$F$2:$F$300,Kit_BOM!$E$2:$E$300,$A74,Kit_BOM!$A$2:$A$300,$A$8,Kit_BOM!$G$2:$G$300,"Optional")*$C$8,0)+IF($F$6="Ja",SUMIFS(Kit_BOM!$F$2:$F$300,Kit_BOM!$E$2:$E$300,$A74,Kit_BOM!$A$2:$A$300,$A$8,Kit_BOM!$G$2:$G$300,"DNP")*$C$8,0)+SUMIFS(Kit_BOM!$F$2:$F$300,Kit_BOM!$E$2:$E$300,$A74,Kit_BOM!$A$2:$A$300,$A$9,Kit_BOM!$G$2:$G$300,"Bestücken")*$C$9+SUMIFS(Kit_BOM!$F$2:$F$300,Kit_BOM!$E$2:$E$300,$A74,Kit_BOM!$A$2:$A$300,$A$9,Kit_BOM!$G$2:$G$300,"Mechanical")*$C$9+IF($F$5="Ja",SUMIFS(Kit_BOM!$F$2:$F$300,Kit_BOM!$E$2:$E$300,$A74,Kit_BOM!$A$2:$A$300,$A$9,Kit_BOM!$G$2:$G$300,"Optional")*$C$9,0)+IF($F$6="Ja",SUMIFS(Kit_BOM!$F$2:$F$300,Kit_BOM!$E$2:$E$300,$A74,Kit_BOM!$A$2:$A$300,$A$9,Kit_BOM!$G$2:$G$300,"DNP")*$C$9,0)+SUMIFS(Kit_BOM!$F$2:$F$300,Kit_BOM!$E$2:$E$300,$A74,Kit_BOM!$A$2:$A$300,$A$10,Kit_BOM!$G$2:$G$300,"Bestücken")*$C$10+SUMIFS(Kit_BOM!$F$2:$F$300,Kit_BOM!$E$2:$E$300,$A74,Kit_BOM!$A$2:$A$300,$A$10,Kit_BOM!$G$2:$G$300,"Mechanical")*$C$10+IF($F$5="Ja",SUMIFS(Kit_BOM!$F$2:$F$300,Kit_BOM!$E$2:$E$300,$A74,Kit_BOM!$A$2:$A$300,$A$10,Kit_BOM!$G$2:$G$300,"Optional")*$C$10,0)+IF($F$6="Ja",SUMIFS(Kit_BOM!$F$2:$F$300,Kit_BOM!$E$2:$E$300,$A74,Kit_BOM!$A$2:$A$300,$A$10,Kit_BOM!$G$2:$G$300,"DNP")*$C$10,0)+SUMIFS(Kit_BOM!$F$2:$F$300,Kit_BOM!$E$2:$E$300,$A74,Kit_BOM!$A$2:$A$300,$A$11,Kit_BOM!$G$2:$G$300,"Bestücken")*$C$11+SUMIFS(Kit_BOM!$F$2:$F$300,Kit_BOM!$E$2:$E$300,$A74,Kit_BOM!$A$2:$A$300,$A$11,Kit_BOM!$G$2:$G$300,"Mechanical")*$C$11+IF($F$5="Ja",SUMIFS(Kit_BOM!$F$2:$F$300,Kit_BOM!$E$2:$E$300,$A74,Kit_BOM!$A$2:$A$300,$A$11,Kit_BOM!$G$2:$G$300,"Optional")*$C$11,0)+IF($F$6="Ja",SUMIFS(Kit_BOM!$F$2:$F$300,Kit_BOM!$E$2:$E$300,$A74,Kit_BOM!$A$2:$A$300,$A$11,Kit_BOM!$G$2:$G$300,"DNP")*$C$11,0)+SUMIFS(Kit_BOM!$F$2:$F$300,Kit_BOM!$E$2:$E$300,$A74,Kit_BOM!$A$2:$A$300,$A$12,Kit_BOM!$G$2:$G$300,"Bestücken")*$C$12+SUMIFS(Kit_BOM!$F$2:$F$300,Kit_BOM!$E$2:$E$300,$A74,Kit_BOM!$A$2:$A$300,$A$12,Kit_BOM!$G$2:$G$300,"Mechanical")*$C$12+IF($F$5="Ja",SUMIFS(Kit_BOM!$F$2:$F$300,Kit_BOM!$E$2:$E$300,$A74,Kit_BOM!$A$2:$A$300,$A$12,Kit_BOM!$G$2:$G$300,"Optional")*$C$12,0)+IF($F$6="Ja",SUMIFS(Kit_BOM!$F$2:$F$300,Kit_BOM!$E$2:$E$300,$A74,Kit_BOM!$A$2:$A$300,$A$12,Kit_BOM!$G$2:$G$300,"DNP")*$C$12,0)+SUMIFS(Kit_BOM!$F$2:$F$300,Kit_BOM!$E$2:$E$300,$A74,Kit_BOM!$A$2:$A$300,$H$5,Kit_BOM!$G$2:$G$300,"Bestücken")*$J$5+SUMIFS(Kit_BOM!$F$2:$F$300,Kit_BOM!$E$2:$E$300,$A74,Kit_BOM!$A$2:$A$300,$H$5,Kit_BOM!$G$2:$G$300,"Mechanical")*$J$5+IF($F$5="Ja",SUMIFS(Kit_BOM!$F$2:$F$300,Kit_BOM!$E$2:$E$300,$A74,Kit_BOM!$A$2:$A$300,$H$5,Kit_BOM!$G$2:$G$300,"Optional")*$J$5,0)+IF($F$6="Ja",SUMIFS(Kit_BOM!$F$2:$F$300,Kit_BOM!$E$2:$E$300,$A74,Kit_BOM!$A$2:$A$300,$H$5,Kit_BOM!$G$2:$G$300,"DNP")*$J$5,0)+SUMIFS(Kit_BOM!$F$2:$F$300,Kit_BOM!$E$2:$E$300,$A74,Kit_BOM!$A$2:$A$300,$H$6,Kit_BOM!$G$2:$G$300,"Bestücken")*$J$6+SUMIFS(Kit_BOM!$F$2:$F$300,Kit_BOM!$E$2:$E$300,$A74,Kit_BOM!$A$2:$A$300,$H$6,Kit_BOM!$G$2:$G$300,"Mechanical")*$J$6+IF($F$5="Ja",SUMIFS(Kit_BOM!$F$2:$F$300,Kit_BOM!$E$2:$E$300,$A74,Kit_BOM!$A$2:$A$300,$H$6,Kit_BOM!$G$2:$G$300,"Optional")*$J$6,0)+IF($F$6="Ja",SUMIFS(Kit_BOM!$F$2:$F$300,Kit_BOM!$E$2:$E$300,$A74,Kit_BOM!$A$2:$A$300,$H$6,Kit_BOM!$G$2:$G$300,"DNP")*$J$6,0)</f>
        <v>6</v>
      </c>
      <c r="F74" s="27" t="str">
        <f>IFERROR(IF(_xlfn.XLOOKUP($A74&amp;"|Ja",Part_Suppliers!$L$2:$L$300,Part_Suppliers!$G$2:$G$300,"",0)=0,"",_xlfn.XLOOKUP($A74&amp;"|Ja",Part_Suppliers!$L$2:$L$300,Part_Suppliers!$G$2:$G$300,"",0)),"")</f>
        <v/>
      </c>
      <c r="G74" s="27">
        <f t="shared" si="13"/>
        <v>6</v>
      </c>
      <c r="H74" s="46">
        <f>IFERROR(IF(_xlfn.XLOOKUP($A74&amp;"|Ja",Part_Suppliers!$L$2:$L$300,Part_Suppliers!$E$2:$E$300,"",0)=0,"",_xlfn.XLOOKUP($A74&amp;"|Ja",Part_Suppliers!$L$2:$L$300,Part_Suppliers!$E$2:$E$300,"",0)),"")</f>
        <v>0.43</v>
      </c>
      <c r="I74" s="46">
        <f t="shared" si="14"/>
        <v>2.58</v>
      </c>
      <c r="J74" t="str">
        <f>IF(AND(P74&gt;0,P74&lt;&gt;O74),"Manuelle Menge prüfen",IF(E74=0,"Nicht benötigt",IF(L74&lt;0,"Bestand klären",IF(O74=0,"Gedeckt",IF(OR(C74="",C74="Noch festlegen",D74=""),"Artikel offen",IF(H74="","Preis offen","Bestellvorschlag prüfen"))))))</f>
        <v>Manuelle Menge prüfen</v>
      </c>
      <c r="K74" s="26" t="str">
        <f>IFERROR(IF(_xlfn.XLOOKUP($A74&amp;"|Ja",Part_Suppliers!$L$2:$L$300,Part_Suppliers!$D$2:$D$300,"",0)=0,"",_xlfn.XLOOKUP($A74&amp;"|Ja",Part_Suppliers!$L$2:$L$300,Part_Suppliers!$D$2:$D$300,"",0)),"")</f>
        <v>https://www.reichelt.de/de/de/shop/produkt/buchsenleiste_2x7_polig_raster_2_54_mm-119949</v>
      </c>
      <c r="L74" s="47">
        <f>IFERROR(VLOOKUP($A74,Stock!$A$5:$K$200,10,FALSE()),0)</f>
        <v>2</v>
      </c>
      <c r="M74" s="47">
        <f>IFERROR(VLOOKUP($A74,Stock!$A$5:$K$200,11,FALSE()),0)</f>
        <v>8</v>
      </c>
      <c r="N74" s="47">
        <f t="shared" si="15"/>
        <v>6</v>
      </c>
      <c r="O74" s="47">
        <f t="shared" si="16"/>
        <v>0</v>
      </c>
      <c r="P74" s="48">
        <v>6</v>
      </c>
      <c r="Q74" s="49">
        <f t="shared" si="17"/>
        <v>2.58</v>
      </c>
      <c r="R74" s="82">
        <f>SUMIFS(Part_Alternatives!$H$2:$H$200,Part_Alternatives!$A$2:$A$200,$A74,Part_Alternatives!$E$2:$E$200,"Ja")</f>
        <v>2</v>
      </c>
      <c r="S74" s="82">
        <f>SUMIFS(Part_Alternatives!$I$2:$I$200,Part_Alternatives!$A$2:$A$200,$A74,Part_Alternatives!$E$2:$E$200,"Ja")</f>
        <v>0</v>
      </c>
      <c r="T74" s="80" t="str">
        <f>IFERROR(VLOOKUP($A74,Part_Alternatives!$A$2:$K$200,10,FALSE()),"")</f>
        <v>ENP-00109 · gleichwertig</v>
      </c>
    </row>
    <row r="75" spans="1:20" ht="14" hidden="1" customHeight="1" x14ac:dyDescent="0.15">
      <c r="A75" t="s">
        <v>116</v>
      </c>
      <c r="B75" t="str">
        <f>IFERROR(VLOOKUP($A75,Parts!$A$2:$M$191,3,FALSE()),"")</f>
        <v>JST-PH Stiftleiste, 4-polig, vertikal</v>
      </c>
      <c r="C75" t="str">
        <f>IFERROR(IF(_xlfn.XLOOKUP($A75&amp;"|Ja",Part_Suppliers!$L$2:$L$300,Part_Suppliers!$B$2:$B$300,"",0)=0,"",_xlfn.XLOOKUP($A75&amp;"|Ja",Part_Suppliers!$L$2:$L$300,Part_Suppliers!$B$2:$B$300,"",0)),"")</f>
        <v>Reichelt</v>
      </c>
      <c r="D75" t="str">
        <f>IFERROR(IF(_xlfn.XLOOKUP($A75&amp;"|Ja",Part_Suppliers!$L$2:$L$300,Part_Suppliers!$C$2:$C$300,"",0)=0,"",_xlfn.XLOOKUP($A75&amp;"|Ja",Part_Suppliers!$L$2:$L$300,Part_Suppliers!$C$2:$C$300,"",0)),"")</f>
        <v>JST PH4P ST</v>
      </c>
      <c r="E75">
        <f>SUMIFS(Kit_BOM!$F$2:$F$300,Kit_BOM!$E$2:$E$300,$A75,Kit_BOM!$A$2:$A$300,$A$5,Kit_BOM!$G$2:$G$300,"Bestücken")*$C$5+SUMIFS(Kit_BOM!$F$2:$F$300,Kit_BOM!$E$2:$E$300,$A75,Kit_BOM!$A$2:$A$300,$A$5,Kit_BOM!$G$2:$G$300,"Mechanical")*$C$5+IF($F$5="Ja",SUMIFS(Kit_BOM!$F$2:$F$300,Kit_BOM!$E$2:$E$300,$A75,Kit_BOM!$A$2:$A$300,$A$5,Kit_BOM!$G$2:$G$300,"Optional")*$C$5,0)+IF($F$6="Ja",SUMIFS(Kit_BOM!$F$2:$F$300,Kit_BOM!$E$2:$E$300,$A75,Kit_BOM!$A$2:$A$300,$A$5,Kit_BOM!$G$2:$G$300,"DNP")*$C$5,0)+SUMIFS(Kit_BOM!$F$2:$F$300,Kit_BOM!$E$2:$E$300,$A75,Kit_BOM!$A$2:$A$300,$A$6,Kit_BOM!$G$2:$G$300,"Bestücken")*$C$6+SUMIFS(Kit_BOM!$F$2:$F$300,Kit_BOM!$E$2:$E$300,$A75,Kit_BOM!$A$2:$A$300,$A$6,Kit_BOM!$G$2:$G$300,"Mechanical")*$C$6+IF($F$5="Ja",SUMIFS(Kit_BOM!$F$2:$F$300,Kit_BOM!$E$2:$E$300,$A75,Kit_BOM!$A$2:$A$300,$A$6,Kit_BOM!$G$2:$G$300,"Optional")*$C$6,0)+IF($F$6="Ja",SUMIFS(Kit_BOM!$F$2:$F$300,Kit_BOM!$E$2:$E$300,$A75,Kit_BOM!$A$2:$A$300,$A$6,Kit_BOM!$G$2:$G$300,"DNP")*$C$6,0)+SUMIFS(Kit_BOM!$F$2:$F$300,Kit_BOM!$E$2:$E$300,$A75,Kit_BOM!$A$2:$A$300,$A$7,Kit_BOM!$G$2:$G$300,"Bestücken")*$C$7+SUMIFS(Kit_BOM!$F$2:$F$300,Kit_BOM!$E$2:$E$300,$A75,Kit_BOM!$A$2:$A$300,$A$7,Kit_BOM!$G$2:$G$300,"Mechanical")*$C$7+IF($F$5="Ja",SUMIFS(Kit_BOM!$F$2:$F$300,Kit_BOM!$E$2:$E$300,$A75,Kit_BOM!$A$2:$A$300,$A$7,Kit_BOM!$G$2:$G$300,"Optional")*$C$7,0)+IF($F$6="Ja",SUMIFS(Kit_BOM!$F$2:$F$300,Kit_BOM!$E$2:$E$300,$A75,Kit_BOM!$A$2:$A$300,$A$7,Kit_BOM!$G$2:$G$300,"DNP")*$C$7,0)+SUMIFS(Kit_BOM!$F$2:$F$300,Kit_BOM!$E$2:$E$300,$A75,Kit_BOM!$A$2:$A$300,$A$8,Kit_BOM!$G$2:$G$300,"Bestücken")*$C$8+SUMIFS(Kit_BOM!$F$2:$F$300,Kit_BOM!$E$2:$E$300,$A75,Kit_BOM!$A$2:$A$300,$A$8,Kit_BOM!$G$2:$G$300,"Mechanical")*$C$8+IF($F$5="Ja",SUMIFS(Kit_BOM!$F$2:$F$300,Kit_BOM!$E$2:$E$300,$A75,Kit_BOM!$A$2:$A$300,$A$8,Kit_BOM!$G$2:$G$300,"Optional")*$C$8,0)+IF($F$6="Ja",SUMIFS(Kit_BOM!$F$2:$F$300,Kit_BOM!$E$2:$E$300,$A75,Kit_BOM!$A$2:$A$300,$A$8,Kit_BOM!$G$2:$G$300,"DNP")*$C$8,0)+SUMIFS(Kit_BOM!$F$2:$F$300,Kit_BOM!$E$2:$E$300,$A75,Kit_BOM!$A$2:$A$300,$A$9,Kit_BOM!$G$2:$G$300,"Bestücken")*$C$9+SUMIFS(Kit_BOM!$F$2:$F$300,Kit_BOM!$E$2:$E$300,$A75,Kit_BOM!$A$2:$A$300,$A$9,Kit_BOM!$G$2:$G$300,"Mechanical")*$C$9+IF($F$5="Ja",SUMIFS(Kit_BOM!$F$2:$F$300,Kit_BOM!$E$2:$E$300,$A75,Kit_BOM!$A$2:$A$300,$A$9,Kit_BOM!$G$2:$G$300,"Optional")*$C$9,0)+IF($F$6="Ja",SUMIFS(Kit_BOM!$F$2:$F$300,Kit_BOM!$E$2:$E$300,$A75,Kit_BOM!$A$2:$A$300,$A$9,Kit_BOM!$G$2:$G$300,"DNP")*$C$9,0)+SUMIFS(Kit_BOM!$F$2:$F$300,Kit_BOM!$E$2:$E$300,$A75,Kit_BOM!$A$2:$A$300,$A$10,Kit_BOM!$G$2:$G$300,"Bestücken")*$C$10+SUMIFS(Kit_BOM!$F$2:$F$300,Kit_BOM!$E$2:$E$300,$A75,Kit_BOM!$A$2:$A$300,$A$10,Kit_BOM!$G$2:$G$300,"Mechanical")*$C$10+IF($F$5="Ja",SUMIFS(Kit_BOM!$F$2:$F$300,Kit_BOM!$E$2:$E$300,$A75,Kit_BOM!$A$2:$A$300,$A$10,Kit_BOM!$G$2:$G$300,"Optional")*$C$10,0)+IF($F$6="Ja",SUMIFS(Kit_BOM!$F$2:$F$300,Kit_BOM!$E$2:$E$300,$A75,Kit_BOM!$A$2:$A$300,$A$10,Kit_BOM!$G$2:$G$300,"DNP")*$C$10,0)+SUMIFS(Kit_BOM!$F$2:$F$300,Kit_BOM!$E$2:$E$300,$A75,Kit_BOM!$A$2:$A$300,$A$11,Kit_BOM!$G$2:$G$300,"Bestücken")*$C$11+SUMIFS(Kit_BOM!$F$2:$F$300,Kit_BOM!$E$2:$E$300,$A75,Kit_BOM!$A$2:$A$300,$A$11,Kit_BOM!$G$2:$G$300,"Mechanical")*$C$11+IF($F$5="Ja",SUMIFS(Kit_BOM!$F$2:$F$300,Kit_BOM!$E$2:$E$300,$A75,Kit_BOM!$A$2:$A$300,$A$11,Kit_BOM!$G$2:$G$300,"Optional")*$C$11,0)+IF($F$6="Ja",SUMIFS(Kit_BOM!$F$2:$F$300,Kit_BOM!$E$2:$E$300,$A75,Kit_BOM!$A$2:$A$300,$A$11,Kit_BOM!$G$2:$G$300,"DNP")*$C$11,0)+SUMIFS(Kit_BOM!$F$2:$F$300,Kit_BOM!$E$2:$E$300,$A75,Kit_BOM!$A$2:$A$300,$A$12,Kit_BOM!$G$2:$G$300,"Bestücken")*$C$12+SUMIFS(Kit_BOM!$F$2:$F$300,Kit_BOM!$E$2:$E$300,$A75,Kit_BOM!$A$2:$A$300,$A$12,Kit_BOM!$G$2:$G$300,"Mechanical")*$C$12+IF($F$5="Ja",SUMIFS(Kit_BOM!$F$2:$F$300,Kit_BOM!$E$2:$E$300,$A75,Kit_BOM!$A$2:$A$300,$A$12,Kit_BOM!$G$2:$G$300,"Optional")*$C$12,0)+IF($F$6="Ja",SUMIFS(Kit_BOM!$F$2:$F$300,Kit_BOM!$E$2:$E$300,$A75,Kit_BOM!$A$2:$A$300,$A$12,Kit_BOM!$G$2:$G$300,"DNP")*$C$12,0)+SUMIFS(Kit_BOM!$F$2:$F$300,Kit_BOM!$E$2:$E$300,$A75,Kit_BOM!$A$2:$A$300,$H$5,Kit_BOM!$G$2:$G$300,"Bestücken")*$J$5+SUMIFS(Kit_BOM!$F$2:$F$300,Kit_BOM!$E$2:$E$300,$A75,Kit_BOM!$A$2:$A$300,$H$5,Kit_BOM!$G$2:$G$300,"Mechanical")*$J$5+IF($F$5="Ja",SUMIFS(Kit_BOM!$F$2:$F$300,Kit_BOM!$E$2:$E$300,$A75,Kit_BOM!$A$2:$A$300,$H$5,Kit_BOM!$G$2:$G$300,"Optional")*$J$5,0)+IF($F$6="Ja",SUMIFS(Kit_BOM!$F$2:$F$300,Kit_BOM!$E$2:$E$300,$A75,Kit_BOM!$A$2:$A$300,$H$5,Kit_BOM!$G$2:$G$300,"DNP")*$J$5,0)+SUMIFS(Kit_BOM!$F$2:$F$300,Kit_BOM!$E$2:$E$300,$A75,Kit_BOM!$A$2:$A$300,$H$6,Kit_BOM!$G$2:$G$300,"Bestücken")*$J$6+SUMIFS(Kit_BOM!$F$2:$F$300,Kit_BOM!$E$2:$E$300,$A75,Kit_BOM!$A$2:$A$300,$H$6,Kit_BOM!$G$2:$G$300,"Mechanical")*$J$6+IF($F$5="Ja",SUMIFS(Kit_BOM!$F$2:$F$300,Kit_BOM!$E$2:$E$300,$A75,Kit_BOM!$A$2:$A$300,$H$6,Kit_BOM!$G$2:$G$300,"Optional")*$J$6,0)+IF($F$6="Ja",SUMIFS(Kit_BOM!$F$2:$F$300,Kit_BOM!$E$2:$E$300,$A75,Kit_BOM!$A$2:$A$300,$H$6,Kit_BOM!$G$2:$G$300,"DNP")*$J$6,0)</f>
        <v>24</v>
      </c>
      <c r="F75" t="str">
        <f>IFERROR(IF(_xlfn.XLOOKUP($A75&amp;"|Ja",Part_Suppliers!$L$2:$L$300,Part_Suppliers!$G$2:$G$300,"",0)=0,"",_xlfn.XLOOKUP($A75&amp;"|Ja",Part_Suppliers!$L$2:$L$300,Part_Suppliers!$G$2:$G$300,"",0)),"")</f>
        <v/>
      </c>
      <c r="G75">
        <f t="shared" si="13"/>
        <v>24</v>
      </c>
      <c r="H75">
        <f>IFERROR(IF(_xlfn.XLOOKUP($A75&amp;"|Ja",Part_Suppliers!$L$2:$L$300,Part_Suppliers!$E$2:$E$300,"",0)=0,"",_xlfn.XLOOKUP($A75&amp;"|Ja",Part_Suppliers!$L$2:$L$300,Part_Suppliers!$E$2:$E$300,"",0)),"")</f>
        <v>0.17</v>
      </c>
      <c r="I75">
        <f t="shared" si="14"/>
        <v>4.08</v>
      </c>
      <c r="J75" t="str">
        <f>IF(AND(P75&gt;0,P75&lt;&gt;O75),"Manuelle Menge prüfen",IF(E75=0,"Nicht benötigt",IF(L75&lt;0,"Bestand klären",IF(O75=0,"Gedeckt",IF(OR(C75="",C75="Noch festlegen",D75=""),"Artikel offen",IF(H75="","Preis offen","Bestellvorschlag prüfen"))))))</f>
        <v>Gedeckt</v>
      </c>
      <c r="K75" t="str">
        <f>IFERROR(IF(_xlfn.XLOOKUP($A75&amp;"|Ja",Part_Suppliers!$L$2:$L$300,Part_Suppliers!$D$2:$D$300,"",0)=0,"",_xlfn.XLOOKUP($A75&amp;"|Ja",Part_Suppliers!$L$2:$L$300,Part_Suppliers!$D$2:$D$300,"",0)),"")</f>
        <v>https://www.reichelt.de/de/de/shop/produkt/jst_-_stiftleiste_gerade_1x4-polig_-_ph-185051?PROVID=2788&amp;gad_source=1&amp;gad_campaignid=21154720511&amp;gbraid=0AAAAADwnxtY1nWJSSrFeiIcYv9xLkqyFk&amp;gclid=Cj0KCQjwnbrUBhDOARIsAKKhPpe2Az4gP1hQm4ZAaF5_8h_A8xPRV2yb28WCjCf626YJKTgCMxHQlnYaAjcNEALw_wcB</v>
      </c>
      <c r="L75">
        <f>IFERROR(VLOOKUP($A75,Stock!$A$5:$K$200,10,FALSE()),0)</f>
        <v>8</v>
      </c>
      <c r="M75">
        <f>IFERROR(VLOOKUP($A75,Stock!$A$5:$K$200,11,FALSE()),0)</f>
        <v>30</v>
      </c>
      <c r="N75">
        <f t="shared" si="15"/>
        <v>14</v>
      </c>
      <c r="O75">
        <f t="shared" si="16"/>
        <v>0</v>
      </c>
      <c r="P75">
        <v>0</v>
      </c>
      <c r="Q75">
        <f t="shared" si="17"/>
        <v>0</v>
      </c>
      <c r="R75">
        <f>SUMIFS(Part_Alternatives!$H$2:$H$200,Part_Alternatives!$A$2:$A$200,$A75,Part_Alternatives!$E$2:$E$200,"Ja")</f>
        <v>0</v>
      </c>
      <c r="S75">
        <f>SUMIFS(Part_Alternatives!$I$2:$I$200,Part_Alternatives!$A$2:$A$200,$A75,Part_Alternatives!$E$2:$E$200,"Ja")</f>
        <v>0</v>
      </c>
      <c r="T75" t="str">
        <f>IFERROR(VLOOKUP($A75,Part_Alternatives!$A$2:$K$200,10,FALSE()),"")</f>
        <v/>
      </c>
    </row>
    <row r="76" spans="1:20" ht="14" hidden="1" customHeight="1" x14ac:dyDescent="0.15">
      <c r="A76" t="s">
        <v>211</v>
      </c>
      <c r="B76" s="86" t="str">
        <f>IFERROR(VLOOKUP($A76,Parts!$A$2:$M$191,3,FALSE()),"")</f>
        <v>ORing Power Modul PCB Rev 0.1</v>
      </c>
      <c r="C76" s="87" t="str">
        <f>IFERROR(IF(_xlfn.XLOOKUP($A76&amp;"|Ja",Part_Suppliers!$L$2:$L$300,Part_Suppliers!$B$2:$B$300,"",0)=0,"",_xlfn.XLOOKUP($A76&amp;"|Ja",Part_Suppliers!$L$2:$L$300,Part_Suppliers!$B$2:$B$300,"",0)),"")</f>
        <v>JLCPCB</v>
      </c>
      <c r="D76" s="87" t="str">
        <f>IFERROR(IF(_xlfn.XLOOKUP($A76&amp;"|Ja",Part_Suppliers!$L$2:$L$300,Part_Suppliers!$C$2:$C$300,"",0)=0,"",_xlfn.XLOOKUP($A76&amp;"|Ja",Part_Suppliers!$L$2:$L$300,Part_Suppliers!$C$2:$C$300,"",0)),"")</f>
        <v>Y33-4808750A</v>
      </c>
      <c r="E76" s="88">
        <f>SUMIFS(Kit_BOM!$F$2:$F$300,Kit_BOM!$E$2:$E$300,$A76,Kit_BOM!$A$2:$A$300,$A$5,Kit_BOM!$G$2:$G$300,"Bestücken")*$C$5+SUMIFS(Kit_BOM!$F$2:$F$300,Kit_BOM!$E$2:$E$300,$A76,Kit_BOM!$A$2:$A$300,$A$5,Kit_BOM!$G$2:$G$300,"Mechanical")*$C$5+IF($F$5="Ja",SUMIFS(Kit_BOM!$F$2:$F$300,Kit_BOM!$E$2:$E$300,$A76,Kit_BOM!$A$2:$A$300,$A$5,Kit_BOM!$G$2:$G$300,"Optional")*$C$5,0)+IF($F$6="Ja",SUMIFS(Kit_BOM!$F$2:$F$300,Kit_BOM!$E$2:$E$300,$A76,Kit_BOM!$A$2:$A$300,$A$5,Kit_BOM!$G$2:$G$300,"DNP")*$C$5,0)+SUMIFS(Kit_BOM!$F$2:$F$300,Kit_BOM!$E$2:$E$300,$A76,Kit_BOM!$A$2:$A$300,$A$6,Kit_BOM!$G$2:$G$300,"Bestücken")*$C$6+SUMIFS(Kit_BOM!$F$2:$F$300,Kit_BOM!$E$2:$E$300,$A76,Kit_BOM!$A$2:$A$300,$A$6,Kit_BOM!$G$2:$G$300,"Mechanical")*$C$6+IF($F$5="Ja",SUMIFS(Kit_BOM!$F$2:$F$300,Kit_BOM!$E$2:$E$300,$A76,Kit_BOM!$A$2:$A$300,$A$6,Kit_BOM!$G$2:$G$300,"Optional")*$C$6,0)+IF($F$6="Ja",SUMIFS(Kit_BOM!$F$2:$F$300,Kit_BOM!$E$2:$E$300,$A76,Kit_BOM!$A$2:$A$300,$A$6,Kit_BOM!$G$2:$G$300,"DNP")*$C$6,0)+SUMIFS(Kit_BOM!$F$2:$F$300,Kit_BOM!$E$2:$E$300,$A76,Kit_BOM!$A$2:$A$300,$A$7,Kit_BOM!$G$2:$G$300,"Bestücken")*$C$7+SUMIFS(Kit_BOM!$F$2:$F$300,Kit_BOM!$E$2:$E$300,$A76,Kit_BOM!$A$2:$A$300,$A$7,Kit_BOM!$G$2:$G$300,"Mechanical")*$C$7+IF($F$5="Ja",SUMIFS(Kit_BOM!$F$2:$F$300,Kit_BOM!$E$2:$E$300,$A76,Kit_BOM!$A$2:$A$300,$A$7,Kit_BOM!$G$2:$G$300,"Optional")*$C$7,0)+IF($F$6="Ja",SUMIFS(Kit_BOM!$F$2:$F$300,Kit_BOM!$E$2:$E$300,$A76,Kit_BOM!$A$2:$A$300,$A$7,Kit_BOM!$G$2:$G$300,"DNP")*$C$7,0)+SUMIFS(Kit_BOM!$F$2:$F$300,Kit_BOM!$E$2:$E$300,$A76,Kit_BOM!$A$2:$A$300,$A$8,Kit_BOM!$G$2:$G$300,"Bestücken")*$C$8+SUMIFS(Kit_BOM!$F$2:$F$300,Kit_BOM!$E$2:$E$300,$A76,Kit_BOM!$A$2:$A$300,$A$8,Kit_BOM!$G$2:$G$300,"Mechanical")*$C$8+IF($F$5="Ja",SUMIFS(Kit_BOM!$F$2:$F$300,Kit_BOM!$E$2:$E$300,$A76,Kit_BOM!$A$2:$A$300,$A$8,Kit_BOM!$G$2:$G$300,"Optional")*$C$8,0)+IF($F$6="Ja",SUMIFS(Kit_BOM!$F$2:$F$300,Kit_BOM!$E$2:$E$300,$A76,Kit_BOM!$A$2:$A$300,$A$8,Kit_BOM!$G$2:$G$300,"DNP")*$C$8,0)+SUMIFS(Kit_BOM!$F$2:$F$300,Kit_BOM!$E$2:$E$300,$A76,Kit_BOM!$A$2:$A$300,$A$9,Kit_BOM!$G$2:$G$300,"Bestücken")*$C$9+SUMIFS(Kit_BOM!$F$2:$F$300,Kit_BOM!$E$2:$E$300,$A76,Kit_BOM!$A$2:$A$300,$A$9,Kit_BOM!$G$2:$G$300,"Mechanical")*$C$9+IF($F$5="Ja",SUMIFS(Kit_BOM!$F$2:$F$300,Kit_BOM!$E$2:$E$300,$A76,Kit_BOM!$A$2:$A$300,$A$9,Kit_BOM!$G$2:$G$300,"Optional")*$C$9,0)+IF($F$6="Ja",SUMIFS(Kit_BOM!$F$2:$F$300,Kit_BOM!$E$2:$E$300,$A76,Kit_BOM!$A$2:$A$300,$A$9,Kit_BOM!$G$2:$G$300,"DNP")*$C$9,0)+SUMIFS(Kit_BOM!$F$2:$F$300,Kit_BOM!$E$2:$E$300,$A76,Kit_BOM!$A$2:$A$300,$A$10,Kit_BOM!$G$2:$G$300,"Bestücken")*$C$10+SUMIFS(Kit_BOM!$F$2:$F$300,Kit_BOM!$E$2:$E$300,$A76,Kit_BOM!$A$2:$A$300,$A$10,Kit_BOM!$G$2:$G$300,"Mechanical")*$C$10+IF($F$5="Ja",SUMIFS(Kit_BOM!$F$2:$F$300,Kit_BOM!$E$2:$E$300,$A76,Kit_BOM!$A$2:$A$300,$A$10,Kit_BOM!$G$2:$G$300,"Optional")*$C$10,0)+IF($F$6="Ja",SUMIFS(Kit_BOM!$F$2:$F$300,Kit_BOM!$E$2:$E$300,$A76,Kit_BOM!$A$2:$A$300,$A$10,Kit_BOM!$G$2:$G$300,"DNP")*$C$10,0)+SUMIFS(Kit_BOM!$F$2:$F$300,Kit_BOM!$E$2:$E$300,$A76,Kit_BOM!$A$2:$A$300,$A$11,Kit_BOM!$G$2:$G$300,"Bestücken")*$C$11+SUMIFS(Kit_BOM!$F$2:$F$300,Kit_BOM!$E$2:$E$300,$A76,Kit_BOM!$A$2:$A$300,$A$11,Kit_BOM!$G$2:$G$300,"Mechanical")*$C$11+IF($F$5="Ja",SUMIFS(Kit_BOM!$F$2:$F$300,Kit_BOM!$E$2:$E$300,$A76,Kit_BOM!$A$2:$A$300,$A$11,Kit_BOM!$G$2:$G$300,"Optional")*$C$11,0)+IF($F$6="Ja",SUMIFS(Kit_BOM!$F$2:$F$300,Kit_BOM!$E$2:$E$300,$A76,Kit_BOM!$A$2:$A$300,$A$11,Kit_BOM!$G$2:$G$300,"DNP")*$C$11,0)+SUMIFS(Kit_BOM!$F$2:$F$300,Kit_BOM!$E$2:$E$300,$A76,Kit_BOM!$A$2:$A$300,$A$12,Kit_BOM!$G$2:$G$300,"Bestücken")*$C$12+SUMIFS(Kit_BOM!$F$2:$F$300,Kit_BOM!$E$2:$E$300,$A76,Kit_BOM!$A$2:$A$300,$A$12,Kit_BOM!$G$2:$G$300,"Mechanical")*$C$12+IF($F$5="Ja",SUMIFS(Kit_BOM!$F$2:$F$300,Kit_BOM!$E$2:$E$300,$A76,Kit_BOM!$A$2:$A$300,$A$12,Kit_BOM!$G$2:$G$300,"Optional")*$C$12,0)+IF($F$6="Ja",SUMIFS(Kit_BOM!$F$2:$F$300,Kit_BOM!$E$2:$E$300,$A76,Kit_BOM!$A$2:$A$300,$A$12,Kit_BOM!$G$2:$G$300,"DNP")*$C$12,0)+SUMIFS(Kit_BOM!$F$2:$F$300,Kit_BOM!$E$2:$E$300,$A76,Kit_BOM!$A$2:$A$300,$H$5,Kit_BOM!$G$2:$G$300,"Bestücken")*$J$5+SUMIFS(Kit_BOM!$F$2:$F$300,Kit_BOM!$E$2:$E$300,$A76,Kit_BOM!$A$2:$A$300,$H$5,Kit_BOM!$G$2:$G$300,"Mechanical")*$J$5+IF($F$5="Ja",SUMIFS(Kit_BOM!$F$2:$F$300,Kit_BOM!$E$2:$E$300,$A76,Kit_BOM!$A$2:$A$300,$H$5,Kit_BOM!$G$2:$G$300,"Optional")*$J$5,0)+IF($F$6="Ja",SUMIFS(Kit_BOM!$F$2:$F$300,Kit_BOM!$E$2:$E$300,$A76,Kit_BOM!$A$2:$A$300,$H$5,Kit_BOM!$G$2:$G$300,"DNP")*$J$5,0)+SUMIFS(Kit_BOM!$F$2:$F$300,Kit_BOM!$E$2:$E$300,$A76,Kit_BOM!$A$2:$A$300,$H$6,Kit_BOM!$G$2:$G$300,"Bestücken")*$J$6+SUMIFS(Kit_BOM!$F$2:$F$300,Kit_BOM!$E$2:$E$300,$A76,Kit_BOM!$A$2:$A$300,$H$6,Kit_BOM!$G$2:$G$300,"Mechanical")*$J$6+IF($F$5="Ja",SUMIFS(Kit_BOM!$F$2:$F$300,Kit_BOM!$E$2:$E$300,$A76,Kit_BOM!$A$2:$A$300,$H$6,Kit_BOM!$G$2:$G$300,"Optional")*$J$6,0)+IF($F$6="Ja",SUMIFS(Kit_BOM!$F$2:$F$300,Kit_BOM!$E$2:$E$300,$A76,Kit_BOM!$A$2:$A$300,$H$6,Kit_BOM!$G$2:$G$300,"DNP")*$J$6,0)</f>
        <v>5</v>
      </c>
      <c r="F76" s="88">
        <f>IFERROR(IF(_xlfn.XLOOKUP($A76&amp;"|Ja",Part_Suppliers!$L$2:$L$300,Part_Suppliers!$G$2:$G$300,"",0)=0,"",_xlfn.XLOOKUP($A76&amp;"|Ja",Part_Suppliers!$L$2:$L$300,Part_Suppliers!$G$2:$G$300,"",0)),"")</f>
        <v>5</v>
      </c>
      <c r="G76" s="88">
        <f t="shared" si="13"/>
        <v>5</v>
      </c>
      <c r="H76" s="89">
        <f>IFERROR(IF(_xlfn.XLOOKUP($A76&amp;"|Ja",Part_Suppliers!$L$2:$L$300,Part_Suppliers!$E$2:$E$300,"",0)=0,"",_xlfn.XLOOKUP($A76&amp;"|Ja",Part_Suppliers!$L$2:$L$300,Part_Suppliers!$E$2:$E$300,"",0)),"")</f>
        <v>0.7</v>
      </c>
      <c r="I76" s="89">
        <f t="shared" si="14"/>
        <v>3.5</v>
      </c>
      <c r="J76" s="85" t="str">
        <f>IF(AND(P76&gt;0,P76&lt;&gt;O76),"Manuelle Menge prüfen",IF(E76=0,"Nicht benötigt",IF(L76&lt;0,"Bestand klären",IF(O76=0,"Gedeckt","PCB-Auftrag prüfen"))))</f>
        <v>PCB-Auftrag prüfen</v>
      </c>
      <c r="K76" s="87" t="str">
        <f>IFERROR(IF(_xlfn.XLOOKUP($A76&amp;"|Ja",Part_Suppliers!$L$2:$L$300,Part_Suppliers!$D$2:$D$300,"",0)=0,"",_xlfn.XLOOKUP($A76&amp;"|Ja",Part_Suppliers!$L$2:$L$300,Part_Suppliers!$D$2:$D$300,"",0)),"")</f>
        <v>https://jlcpcb.com/</v>
      </c>
      <c r="L76" s="90">
        <f>IFERROR(VLOOKUP($A76,Stock!$A$5:$K$200,10,FALSE()),0)</f>
        <v>0</v>
      </c>
      <c r="M76" s="90">
        <f>IFERROR(VLOOKUP($A76,Stock!$A$5:$K$200,11,FALSE()),0)</f>
        <v>0</v>
      </c>
      <c r="N76" s="90">
        <f t="shared" si="15"/>
        <v>-5</v>
      </c>
      <c r="O76" s="90">
        <f t="shared" si="16"/>
        <v>5</v>
      </c>
      <c r="P76" s="91">
        <v>0</v>
      </c>
      <c r="Q76" s="92">
        <f t="shared" si="17"/>
        <v>0</v>
      </c>
      <c r="R76" s="93">
        <f>SUMIFS(Part_Alternatives!$H$2:$H$200,Part_Alternatives!$A$2:$A$200,$A76,Part_Alternatives!$E$2:$E$200,"Ja")</f>
        <v>0</v>
      </c>
      <c r="S76" s="93">
        <f>SUMIFS(Part_Alternatives!$I$2:$I$200,Part_Alternatives!$A$2:$A$200,$A76,Part_Alternatives!$E$2:$E$200,"Ja")</f>
        <v>0</v>
      </c>
      <c r="T76" s="85" t="str">
        <f>IFERROR(VLOOKUP($A76,Part_Alternatives!$A$2:$K$200,10,FALSE()),"")</f>
        <v/>
      </c>
    </row>
    <row r="77" spans="1:20" ht="14" hidden="1" customHeight="1" x14ac:dyDescent="0.2">
      <c r="A77" s="26" t="s">
        <v>111</v>
      </c>
      <c r="B77" s="45" t="str">
        <f>IFERROR(VLOOKUP($A77,Parts!$A$2:$M$191,3,FALSE()),"")</f>
        <v>Timer-IC, Typ 555, SO-8</v>
      </c>
      <c r="C77" s="26" t="str">
        <f>IFERROR(IF(_xlfn.XLOOKUP($A77&amp;"|Ja",Part_Suppliers!$L$2:$L$300,Part_Suppliers!$B$2:$B$300,"",0)=0,"",_xlfn.XLOOKUP($A77&amp;"|Ja",Part_Suppliers!$L$2:$L$300,Part_Suppliers!$B$2:$B$300,"",0)),"")</f>
        <v>Reichelt</v>
      </c>
      <c r="D77" s="26" t="str">
        <f>IFERROR(IF(_xlfn.XLOOKUP($A77&amp;"|Ja",Part_Suppliers!$L$2:$L$300,Part_Suppliers!$C$2:$C$300,"",0)=0,"",_xlfn.XLOOKUP($A77&amp;"|Ja",Part_Suppliers!$L$2:$L$300,Part_Suppliers!$C$2:$C$300,"",0)),"")</f>
        <v>ICM 7555 IBAZ</v>
      </c>
      <c r="E77" s="27">
        <f>SUMIFS(Kit_BOM!$F$2:$F$300,Kit_BOM!$E$2:$E$300,$A77,Kit_BOM!$A$2:$A$300,$A$5,Kit_BOM!$G$2:$G$300,"Bestücken")*$C$5+SUMIFS(Kit_BOM!$F$2:$F$300,Kit_BOM!$E$2:$E$300,$A77,Kit_BOM!$A$2:$A$300,$A$5,Kit_BOM!$G$2:$G$300,"Mechanical")*$C$5+IF($F$5="Ja",SUMIFS(Kit_BOM!$F$2:$F$300,Kit_BOM!$E$2:$E$300,$A77,Kit_BOM!$A$2:$A$300,$A$5,Kit_BOM!$G$2:$G$300,"Optional")*$C$5,0)+IF($F$6="Ja",SUMIFS(Kit_BOM!$F$2:$F$300,Kit_BOM!$E$2:$E$300,$A77,Kit_BOM!$A$2:$A$300,$A$5,Kit_BOM!$G$2:$G$300,"DNP")*$C$5,0)+SUMIFS(Kit_BOM!$F$2:$F$300,Kit_BOM!$E$2:$E$300,$A77,Kit_BOM!$A$2:$A$300,$A$6,Kit_BOM!$G$2:$G$300,"Bestücken")*$C$6+SUMIFS(Kit_BOM!$F$2:$F$300,Kit_BOM!$E$2:$E$300,$A77,Kit_BOM!$A$2:$A$300,$A$6,Kit_BOM!$G$2:$G$300,"Mechanical")*$C$6+IF($F$5="Ja",SUMIFS(Kit_BOM!$F$2:$F$300,Kit_BOM!$E$2:$E$300,$A77,Kit_BOM!$A$2:$A$300,$A$6,Kit_BOM!$G$2:$G$300,"Optional")*$C$6,0)+IF($F$6="Ja",SUMIFS(Kit_BOM!$F$2:$F$300,Kit_BOM!$E$2:$E$300,$A77,Kit_BOM!$A$2:$A$300,$A$6,Kit_BOM!$G$2:$G$300,"DNP")*$C$6,0)+SUMIFS(Kit_BOM!$F$2:$F$300,Kit_BOM!$E$2:$E$300,$A77,Kit_BOM!$A$2:$A$300,$A$7,Kit_BOM!$G$2:$G$300,"Bestücken")*$C$7+SUMIFS(Kit_BOM!$F$2:$F$300,Kit_BOM!$E$2:$E$300,$A77,Kit_BOM!$A$2:$A$300,$A$7,Kit_BOM!$G$2:$G$300,"Mechanical")*$C$7+IF($F$5="Ja",SUMIFS(Kit_BOM!$F$2:$F$300,Kit_BOM!$E$2:$E$300,$A77,Kit_BOM!$A$2:$A$300,$A$7,Kit_BOM!$G$2:$G$300,"Optional")*$C$7,0)+IF($F$6="Ja",SUMIFS(Kit_BOM!$F$2:$F$300,Kit_BOM!$E$2:$E$300,$A77,Kit_BOM!$A$2:$A$300,$A$7,Kit_BOM!$G$2:$G$300,"DNP")*$C$7,0)+SUMIFS(Kit_BOM!$F$2:$F$300,Kit_BOM!$E$2:$E$300,$A77,Kit_BOM!$A$2:$A$300,$A$8,Kit_BOM!$G$2:$G$300,"Bestücken")*$C$8+SUMIFS(Kit_BOM!$F$2:$F$300,Kit_BOM!$E$2:$E$300,$A77,Kit_BOM!$A$2:$A$300,$A$8,Kit_BOM!$G$2:$G$300,"Mechanical")*$C$8+IF($F$5="Ja",SUMIFS(Kit_BOM!$F$2:$F$300,Kit_BOM!$E$2:$E$300,$A77,Kit_BOM!$A$2:$A$300,$A$8,Kit_BOM!$G$2:$G$300,"Optional")*$C$8,0)+IF($F$6="Ja",SUMIFS(Kit_BOM!$F$2:$F$300,Kit_BOM!$E$2:$E$300,$A77,Kit_BOM!$A$2:$A$300,$A$8,Kit_BOM!$G$2:$G$300,"DNP")*$C$8,0)+SUMIFS(Kit_BOM!$F$2:$F$300,Kit_BOM!$E$2:$E$300,$A77,Kit_BOM!$A$2:$A$300,$A$9,Kit_BOM!$G$2:$G$300,"Bestücken")*$C$9+SUMIFS(Kit_BOM!$F$2:$F$300,Kit_BOM!$E$2:$E$300,$A77,Kit_BOM!$A$2:$A$300,$A$9,Kit_BOM!$G$2:$G$300,"Mechanical")*$C$9+IF($F$5="Ja",SUMIFS(Kit_BOM!$F$2:$F$300,Kit_BOM!$E$2:$E$300,$A77,Kit_BOM!$A$2:$A$300,$A$9,Kit_BOM!$G$2:$G$300,"Optional")*$C$9,0)+IF($F$6="Ja",SUMIFS(Kit_BOM!$F$2:$F$300,Kit_BOM!$E$2:$E$300,$A77,Kit_BOM!$A$2:$A$300,$A$9,Kit_BOM!$G$2:$G$300,"DNP")*$C$9,0)+SUMIFS(Kit_BOM!$F$2:$F$300,Kit_BOM!$E$2:$E$300,$A77,Kit_BOM!$A$2:$A$300,$A$10,Kit_BOM!$G$2:$G$300,"Bestücken")*$C$10+SUMIFS(Kit_BOM!$F$2:$F$300,Kit_BOM!$E$2:$E$300,$A77,Kit_BOM!$A$2:$A$300,$A$10,Kit_BOM!$G$2:$G$300,"Mechanical")*$C$10+IF($F$5="Ja",SUMIFS(Kit_BOM!$F$2:$F$300,Kit_BOM!$E$2:$E$300,$A77,Kit_BOM!$A$2:$A$300,$A$10,Kit_BOM!$G$2:$G$300,"Optional")*$C$10,0)+IF($F$6="Ja",SUMIFS(Kit_BOM!$F$2:$F$300,Kit_BOM!$E$2:$E$300,$A77,Kit_BOM!$A$2:$A$300,$A$10,Kit_BOM!$G$2:$G$300,"DNP")*$C$10,0)+SUMIFS(Kit_BOM!$F$2:$F$300,Kit_BOM!$E$2:$E$300,$A77,Kit_BOM!$A$2:$A$300,$A$11,Kit_BOM!$G$2:$G$300,"Bestücken")*$C$11+SUMIFS(Kit_BOM!$F$2:$F$300,Kit_BOM!$E$2:$E$300,$A77,Kit_BOM!$A$2:$A$300,$A$11,Kit_BOM!$G$2:$G$300,"Mechanical")*$C$11+IF($F$5="Ja",SUMIFS(Kit_BOM!$F$2:$F$300,Kit_BOM!$E$2:$E$300,$A77,Kit_BOM!$A$2:$A$300,$A$11,Kit_BOM!$G$2:$G$300,"Optional")*$C$11,0)+IF($F$6="Ja",SUMIFS(Kit_BOM!$F$2:$F$300,Kit_BOM!$E$2:$E$300,$A77,Kit_BOM!$A$2:$A$300,$A$11,Kit_BOM!$G$2:$G$300,"DNP")*$C$11,0)+SUMIFS(Kit_BOM!$F$2:$F$300,Kit_BOM!$E$2:$E$300,$A77,Kit_BOM!$A$2:$A$300,$A$12,Kit_BOM!$G$2:$G$300,"Bestücken")*$C$12+SUMIFS(Kit_BOM!$F$2:$F$300,Kit_BOM!$E$2:$E$300,$A77,Kit_BOM!$A$2:$A$300,$A$12,Kit_BOM!$G$2:$G$300,"Mechanical")*$C$12+IF($F$5="Ja",SUMIFS(Kit_BOM!$F$2:$F$300,Kit_BOM!$E$2:$E$300,$A77,Kit_BOM!$A$2:$A$300,$A$12,Kit_BOM!$G$2:$G$300,"Optional")*$C$12,0)+IF($F$6="Ja",SUMIFS(Kit_BOM!$F$2:$F$300,Kit_BOM!$E$2:$E$300,$A77,Kit_BOM!$A$2:$A$300,$A$12,Kit_BOM!$G$2:$G$300,"DNP")*$C$12,0)+SUMIFS(Kit_BOM!$F$2:$F$300,Kit_BOM!$E$2:$E$300,$A77,Kit_BOM!$A$2:$A$300,$H$5,Kit_BOM!$G$2:$G$300,"Bestücken")*$J$5+SUMIFS(Kit_BOM!$F$2:$F$300,Kit_BOM!$E$2:$E$300,$A77,Kit_BOM!$A$2:$A$300,$H$5,Kit_BOM!$G$2:$G$300,"Mechanical")*$J$5+IF($F$5="Ja",SUMIFS(Kit_BOM!$F$2:$F$300,Kit_BOM!$E$2:$E$300,$A77,Kit_BOM!$A$2:$A$300,$H$5,Kit_BOM!$G$2:$G$300,"Optional")*$J$5,0)+IF($F$6="Ja",SUMIFS(Kit_BOM!$F$2:$F$300,Kit_BOM!$E$2:$E$300,$A77,Kit_BOM!$A$2:$A$300,$H$5,Kit_BOM!$G$2:$G$300,"DNP")*$J$5,0)+SUMIFS(Kit_BOM!$F$2:$F$300,Kit_BOM!$E$2:$E$300,$A77,Kit_BOM!$A$2:$A$300,$H$6,Kit_BOM!$G$2:$G$300,"Bestücken")*$J$6+SUMIFS(Kit_BOM!$F$2:$F$300,Kit_BOM!$E$2:$E$300,$A77,Kit_BOM!$A$2:$A$300,$H$6,Kit_BOM!$G$2:$G$300,"Mechanical")*$J$6+IF($F$5="Ja",SUMIFS(Kit_BOM!$F$2:$F$300,Kit_BOM!$E$2:$E$300,$A77,Kit_BOM!$A$2:$A$300,$H$6,Kit_BOM!$G$2:$G$300,"Optional")*$J$6,0)+IF($F$6="Ja",SUMIFS(Kit_BOM!$F$2:$F$300,Kit_BOM!$E$2:$E$300,$A77,Kit_BOM!$A$2:$A$300,$H$6,Kit_BOM!$G$2:$G$300,"DNP")*$J$6,0)</f>
        <v>4</v>
      </c>
      <c r="F77" s="27" t="str">
        <f>IFERROR(IF(_xlfn.XLOOKUP($A77&amp;"|Ja",Part_Suppliers!$L$2:$L$300,Part_Suppliers!$G$2:$G$300,"",0)=0,"",_xlfn.XLOOKUP($A77&amp;"|Ja",Part_Suppliers!$L$2:$L$300,Part_Suppliers!$G$2:$G$300,"",0)),"")</f>
        <v/>
      </c>
      <c r="G77" s="27">
        <f t="shared" si="13"/>
        <v>4</v>
      </c>
      <c r="H77" s="46">
        <f>IFERROR(IF(_xlfn.XLOOKUP($A77&amp;"|Ja",Part_Suppliers!$L$2:$L$300,Part_Suppliers!$E$2:$E$300,"",0)=0,"",_xlfn.XLOOKUP($A77&amp;"|Ja",Part_Suppliers!$L$2:$L$300,Part_Suppliers!$E$2:$E$300,"",0)),"")</f>
        <v>1.1000000000000001</v>
      </c>
      <c r="I77" s="46">
        <f t="shared" si="14"/>
        <v>4.4000000000000004</v>
      </c>
      <c r="J77" t="str">
        <f>IF(AND(P77&gt;0,P77&lt;&gt;O77),"Manuelle Menge prüfen",IF(E77=0,"Nicht benötigt",IF(L77&lt;0,"Bestand klären",IF(O77=0,"Gedeckt",IF(OR(C77="",C77="Noch festlegen",D77=""),"Artikel offen",IF(H77="","Preis offen","Bestellvorschlag prüfen"))))))</f>
        <v>Gedeckt</v>
      </c>
      <c r="K77" s="26" t="str">
        <f>IFERROR(IF(_xlfn.XLOOKUP($A77&amp;"|Ja",Part_Suppliers!$L$2:$L$300,Part_Suppliers!$D$2:$D$300,"",0)=0,"",_xlfn.XLOOKUP($A77&amp;"|Ja",Part_Suppliers!$L$2:$L$300,Part_Suppliers!$D$2:$D$300,"",0)),"")</f>
        <v>https://www.reichelt.de/de/de/shop/produkt/timer-ic_typ_555_so-8-188889</v>
      </c>
      <c r="L77" s="47">
        <f>IFERROR(VLOOKUP($A77,Stock!$A$5:$K$200,10,FALSE()),0)</f>
        <v>2</v>
      </c>
      <c r="M77" s="47">
        <f>IFERROR(VLOOKUP($A77,Stock!$A$5:$K$200,11,FALSE()),0)</f>
        <v>4</v>
      </c>
      <c r="N77" s="47">
        <f t="shared" si="15"/>
        <v>2</v>
      </c>
      <c r="O77" s="47">
        <f t="shared" si="16"/>
        <v>0</v>
      </c>
      <c r="P77" s="48">
        <v>0</v>
      </c>
      <c r="Q77" s="49">
        <f t="shared" si="17"/>
        <v>0</v>
      </c>
      <c r="R77" s="82">
        <f>SUMIFS(Part_Alternatives!$H$2:$H$200,Part_Alternatives!$A$2:$A$200,$A77,Part_Alternatives!$E$2:$E$200,"Ja")</f>
        <v>0</v>
      </c>
      <c r="S77" s="82">
        <f>SUMIFS(Part_Alternatives!$I$2:$I$200,Part_Alternatives!$A$2:$A$200,$A77,Part_Alternatives!$E$2:$E$200,"Ja")</f>
        <v>0</v>
      </c>
      <c r="T77" s="80" t="str">
        <f>IFERROR(VLOOKUP($A77,Part_Alternatives!$A$2:$K$200,10,FALSE()),"")</f>
        <v/>
      </c>
    </row>
    <row r="78" spans="1:20" ht="14" hidden="1" customHeight="1" x14ac:dyDescent="0.15">
      <c r="A78" t="s">
        <v>213</v>
      </c>
      <c r="B78" s="86" t="str">
        <f>IFERROR(VLOOKUP($A78,Parts!$A$2:$M$191,3,FALSE()),"")</f>
        <v>EnvNode Mini PCB Rev 0.6</v>
      </c>
      <c r="C78" s="87" t="str">
        <f>IFERROR(IF(_xlfn.XLOOKUP($A78&amp;"|Ja",Part_Suppliers!$L$2:$L$300,Part_Suppliers!$B$2:$B$300,"",0)=0,"",_xlfn.XLOOKUP($A78&amp;"|Ja",Part_Suppliers!$L$2:$L$300,Part_Suppliers!$B$2:$B$300,"",0)),"")</f>
        <v>JLCPCB</v>
      </c>
      <c r="D78" s="87" t="str">
        <f>IFERROR(IF(_xlfn.XLOOKUP($A78&amp;"|Ja",Part_Suppliers!$L$2:$L$300,Part_Suppliers!$C$2:$C$300,"",0)=0,"",_xlfn.XLOOKUP($A78&amp;"|Ja",Part_Suppliers!$L$2:$L$300,Part_Suppliers!$C$2:$C$300,"",0)),"")</f>
        <v>Y35-4808750A</v>
      </c>
      <c r="E78" s="88">
        <f>SUMIFS(Kit_BOM!$F$2:$F$300,Kit_BOM!$E$2:$E$300,$A78,Kit_BOM!$A$2:$A$300,$A$5,Kit_BOM!$G$2:$G$300,"Bestücken")*$C$5+SUMIFS(Kit_BOM!$F$2:$F$300,Kit_BOM!$E$2:$E$300,$A78,Kit_BOM!$A$2:$A$300,$A$5,Kit_BOM!$G$2:$G$300,"Mechanical")*$C$5+IF($F$5="Ja",SUMIFS(Kit_BOM!$F$2:$F$300,Kit_BOM!$E$2:$E$300,$A78,Kit_BOM!$A$2:$A$300,$A$5,Kit_BOM!$G$2:$G$300,"Optional")*$C$5,0)+IF($F$6="Ja",SUMIFS(Kit_BOM!$F$2:$F$300,Kit_BOM!$E$2:$E$300,$A78,Kit_BOM!$A$2:$A$300,$A$5,Kit_BOM!$G$2:$G$300,"DNP")*$C$5,0)+SUMIFS(Kit_BOM!$F$2:$F$300,Kit_BOM!$E$2:$E$300,$A78,Kit_BOM!$A$2:$A$300,$A$6,Kit_BOM!$G$2:$G$300,"Bestücken")*$C$6+SUMIFS(Kit_BOM!$F$2:$F$300,Kit_BOM!$E$2:$E$300,$A78,Kit_BOM!$A$2:$A$300,$A$6,Kit_BOM!$G$2:$G$300,"Mechanical")*$C$6+IF($F$5="Ja",SUMIFS(Kit_BOM!$F$2:$F$300,Kit_BOM!$E$2:$E$300,$A78,Kit_BOM!$A$2:$A$300,$A$6,Kit_BOM!$G$2:$G$300,"Optional")*$C$6,0)+IF($F$6="Ja",SUMIFS(Kit_BOM!$F$2:$F$300,Kit_BOM!$E$2:$E$300,$A78,Kit_BOM!$A$2:$A$300,$A$6,Kit_BOM!$G$2:$G$300,"DNP")*$C$6,0)+SUMIFS(Kit_BOM!$F$2:$F$300,Kit_BOM!$E$2:$E$300,$A78,Kit_BOM!$A$2:$A$300,$A$7,Kit_BOM!$G$2:$G$300,"Bestücken")*$C$7+SUMIFS(Kit_BOM!$F$2:$F$300,Kit_BOM!$E$2:$E$300,$A78,Kit_BOM!$A$2:$A$300,$A$7,Kit_BOM!$G$2:$G$300,"Mechanical")*$C$7+IF($F$5="Ja",SUMIFS(Kit_BOM!$F$2:$F$300,Kit_BOM!$E$2:$E$300,$A78,Kit_BOM!$A$2:$A$300,$A$7,Kit_BOM!$G$2:$G$300,"Optional")*$C$7,0)+IF($F$6="Ja",SUMIFS(Kit_BOM!$F$2:$F$300,Kit_BOM!$E$2:$E$300,$A78,Kit_BOM!$A$2:$A$300,$A$7,Kit_BOM!$G$2:$G$300,"DNP")*$C$7,0)+SUMIFS(Kit_BOM!$F$2:$F$300,Kit_BOM!$E$2:$E$300,$A78,Kit_BOM!$A$2:$A$300,$A$8,Kit_BOM!$G$2:$G$300,"Bestücken")*$C$8+SUMIFS(Kit_BOM!$F$2:$F$300,Kit_BOM!$E$2:$E$300,$A78,Kit_BOM!$A$2:$A$300,$A$8,Kit_BOM!$G$2:$G$300,"Mechanical")*$C$8+IF($F$5="Ja",SUMIFS(Kit_BOM!$F$2:$F$300,Kit_BOM!$E$2:$E$300,$A78,Kit_BOM!$A$2:$A$300,$A$8,Kit_BOM!$G$2:$G$300,"Optional")*$C$8,0)+IF($F$6="Ja",SUMIFS(Kit_BOM!$F$2:$F$300,Kit_BOM!$E$2:$E$300,$A78,Kit_BOM!$A$2:$A$300,$A$8,Kit_BOM!$G$2:$G$300,"DNP")*$C$8,0)+SUMIFS(Kit_BOM!$F$2:$F$300,Kit_BOM!$E$2:$E$300,$A78,Kit_BOM!$A$2:$A$300,$A$9,Kit_BOM!$G$2:$G$300,"Bestücken")*$C$9+SUMIFS(Kit_BOM!$F$2:$F$300,Kit_BOM!$E$2:$E$300,$A78,Kit_BOM!$A$2:$A$300,$A$9,Kit_BOM!$G$2:$G$300,"Mechanical")*$C$9+IF($F$5="Ja",SUMIFS(Kit_BOM!$F$2:$F$300,Kit_BOM!$E$2:$E$300,$A78,Kit_BOM!$A$2:$A$300,$A$9,Kit_BOM!$G$2:$G$300,"Optional")*$C$9,0)+IF($F$6="Ja",SUMIFS(Kit_BOM!$F$2:$F$300,Kit_BOM!$E$2:$E$300,$A78,Kit_BOM!$A$2:$A$300,$A$9,Kit_BOM!$G$2:$G$300,"DNP")*$C$9,0)+SUMIFS(Kit_BOM!$F$2:$F$300,Kit_BOM!$E$2:$E$300,$A78,Kit_BOM!$A$2:$A$300,$A$10,Kit_BOM!$G$2:$G$300,"Bestücken")*$C$10+SUMIFS(Kit_BOM!$F$2:$F$300,Kit_BOM!$E$2:$E$300,$A78,Kit_BOM!$A$2:$A$300,$A$10,Kit_BOM!$G$2:$G$300,"Mechanical")*$C$10+IF($F$5="Ja",SUMIFS(Kit_BOM!$F$2:$F$300,Kit_BOM!$E$2:$E$300,$A78,Kit_BOM!$A$2:$A$300,$A$10,Kit_BOM!$G$2:$G$300,"Optional")*$C$10,0)+IF($F$6="Ja",SUMIFS(Kit_BOM!$F$2:$F$300,Kit_BOM!$E$2:$E$300,$A78,Kit_BOM!$A$2:$A$300,$A$10,Kit_BOM!$G$2:$G$300,"DNP")*$C$10,0)+SUMIFS(Kit_BOM!$F$2:$F$300,Kit_BOM!$E$2:$E$300,$A78,Kit_BOM!$A$2:$A$300,$A$11,Kit_BOM!$G$2:$G$300,"Bestücken")*$C$11+SUMIFS(Kit_BOM!$F$2:$F$300,Kit_BOM!$E$2:$E$300,$A78,Kit_BOM!$A$2:$A$300,$A$11,Kit_BOM!$G$2:$G$300,"Mechanical")*$C$11+IF($F$5="Ja",SUMIFS(Kit_BOM!$F$2:$F$300,Kit_BOM!$E$2:$E$300,$A78,Kit_BOM!$A$2:$A$300,$A$11,Kit_BOM!$G$2:$G$300,"Optional")*$C$11,0)+IF($F$6="Ja",SUMIFS(Kit_BOM!$F$2:$F$300,Kit_BOM!$E$2:$E$300,$A78,Kit_BOM!$A$2:$A$300,$A$11,Kit_BOM!$G$2:$G$300,"DNP")*$C$11,0)+SUMIFS(Kit_BOM!$F$2:$F$300,Kit_BOM!$E$2:$E$300,$A78,Kit_BOM!$A$2:$A$300,$A$12,Kit_BOM!$G$2:$G$300,"Bestücken")*$C$12+SUMIFS(Kit_BOM!$F$2:$F$300,Kit_BOM!$E$2:$E$300,$A78,Kit_BOM!$A$2:$A$300,$A$12,Kit_BOM!$G$2:$G$300,"Mechanical")*$C$12+IF($F$5="Ja",SUMIFS(Kit_BOM!$F$2:$F$300,Kit_BOM!$E$2:$E$300,$A78,Kit_BOM!$A$2:$A$300,$A$12,Kit_BOM!$G$2:$G$300,"Optional")*$C$12,0)+IF($F$6="Ja",SUMIFS(Kit_BOM!$F$2:$F$300,Kit_BOM!$E$2:$E$300,$A78,Kit_BOM!$A$2:$A$300,$A$12,Kit_BOM!$G$2:$G$300,"DNP")*$C$12,0)+SUMIFS(Kit_BOM!$F$2:$F$300,Kit_BOM!$E$2:$E$300,$A78,Kit_BOM!$A$2:$A$300,$H$5,Kit_BOM!$G$2:$G$300,"Bestücken")*$J$5+SUMIFS(Kit_BOM!$F$2:$F$300,Kit_BOM!$E$2:$E$300,$A78,Kit_BOM!$A$2:$A$300,$H$5,Kit_BOM!$G$2:$G$300,"Mechanical")*$J$5+IF($F$5="Ja",SUMIFS(Kit_BOM!$F$2:$F$300,Kit_BOM!$E$2:$E$300,$A78,Kit_BOM!$A$2:$A$300,$H$5,Kit_BOM!$G$2:$G$300,"Optional")*$J$5,0)+IF($F$6="Ja",SUMIFS(Kit_BOM!$F$2:$F$300,Kit_BOM!$E$2:$E$300,$A78,Kit_BOM!$A$2:$A$300,$H$5,Kit_BOM!$G$2:$G$300,"DNP")*$J$5,0)+SUMIFS(Kit_BOM!$F$2:$F$300,Kit_BOM!$E$2:$E$300,$A78,Kit_BOM!$A$2:$A$300,$H$6,Kit_BOM!$G$2:$G$300,"Bestücken")*$J$6+SUMIFS(Kit_BOM!$F$2:$F$300,Kit_BOM!$E$2:$E$300,$A78,Kit_BOM!$A$2:$A$300,$H$6,Kit_BOM!$G$2:$G$300,"Mechanical")*$J$6+IF($F$5="Ja",SUMIFS(Kit_BOM!$F$2:$F$300,Kit_BOM!$E$2:$E$300,$A78,Kit_BOM!$A$2:$A$300,$H$6,Kit_BOM!$G$2:$G$300,"Optional")*$J$6,0)+IF($F$6="Ja",SUMIFS(Kit_BOM!$F$2:$F$300,Kit_BOM!$E$2:$E$300,$A78,Kit_BOM!$A$2:$A$300,$H$6,Kit_BOM!$G$2:$G$300,"DNP")*$J$6,0)</f>
        <v>0</v>
      </c>
      <c r="F78" s="88">
        <f>IFERROR(IF(_xlfn.XLOOKUP($A78&amp;"|Ja",Part_Suppliers!$L$2:$L$300,Part_Suppliers!$G$2:$G$300,"",0)=0,"",_xlfn.XLOOKUP($A78&amp;"|Ja",Part_Suppliers!$L$2:$L$300,Part_Suppliers!$G$2:$G$300,"",0)),"")</f>
        <v>5</v>
      </c>
      <c r="G78" s="88">
        <f t="shared" si="13"/>
        <v>0</v>
      </c>
      <c r="H78" s="89" t="str">
        <f>IFERROR(IF(_xlfn.XLOOKUP($A78&amp;"|Ja",Part_Suppliers!$L$2:$L$300,Part_Suppliers!$E$2:$E$300,"",0)=0,"",_xlfn.XLOOKUP($A78&amp;"|Ja",Part_Suppliers!$L$2:$L$300,Part_Suppliers!$E$2:$E$300,"",0)),"")</f>
        <v/>
      </c>
      <c r="I78" s="89" t="str">
        <f t="shared" si="14"/>
        <v/>
      </c>
      <c r="J78" s="85" t="str">
        <f>IF(AND(P78&gt;0,P78&lt;&gt;O78),"Manuelle Menge prüfen",IF(E78=0,"Nicht benötigt",IF(L78&lt;0,"Bestand klären",IF(O78=0,"Gedeckt","PCB-Auftrag prüfen"))))</f>
        <v>Nicht benötigt</v>
      </c>
      <c r="K78" s="87" t="str">
        <f>IFERROR(IF(_xlfn.XLOOKUP($A78&amp;"|Ja",Part_Suppliers!$L$2:$L$300,Part_Suppliers!$D$2:$D$300,"",0)=0,"",_xlfn.XLOOKUP($A78&amp;"|Ja",Part_Suppliers!$L$2:$L$300,Part_Suppliers!$D$2:$D$300,"",0)),"")</f>
        <v>https://jlcpcb.com/</v>
      </c>
      <c r="L78" s="90">
        <f>IFERROR(VLOOKUP($A78,Stock!$A$5:$K$200,10,FALSE()),0)</f>
        <v>0</v>
      </c>
      <c r="M78" s="90">
        <f>IFERROR(VLOOKUP($A78,Stock!$A$5:$K$200,11,FALSE()),0)</f>
        <v>0</v>
      </c>
      <c r="N78" s="90">
        <f t="shared" si="15"/>
        <v>0</v>
      </c>
      <c r="O78" s="90">
        <f t="shared" si="16"/>
        <v>0</v>
      </c>
      <c r="P78" s="91">
        <v>0</v>
      </c>
      <c r="Q78" s="92">
        <f t="shared" si="17"/>
        <v>0</v>
      </c>
      <c r="R78" s="93">
        <f>SUMIFS(Part_Alternatives!$H$2:$H$200,Part_Alternatives!$A$2:$A$200,$A78,Part_Alternatives!$E$2:$E$200,"Ja")</f>
        <v>0</v>
      </c>
      <c r="S78" s="93">
        <f>SUMIFS(Part_Alternatives!$I$2:$I$200,Part_Alternatives!$A$2:$A$200,$A78,Part_Alternatives!$E$2:$E$200,"Ja")</f>
        <v>0</v>
      </c>
      <c r="T78" s="85" t="str">
        <f>IFERROR(VLOOKUP($A78,Part_Alternatives!$A$2:$K$200,10,FALSE()),"")</f>
        <v/>
      </c>
    </row>
    <row r="79" spans="1:20" ht="14" hidden="1" customHeight="1" x14ac:dyDescent="0.15">
      <c r="A79" t="s">
        <v>214</v>
      </c>
      <c r="B79" s="86" t="str">
        <f>IFERROR(VLOOKUP($A79,Parts!$A$2:$M$191,3,FALSE()),"")</f>
        <v>EnvNode Weatherstation Rev 0.1</v>
      </c>
      <c r="C79" s="87" t="str">
        <f>IFERROR(IF(_xlfn.XLOOKUP($A79&amp;"|Ja",Part_Suppliers!$L$2:$L$300,Part_Suppliers!$B$2:$B$300,"",0)=0,"",_xlfn.XLOOKUP($A79&amp;"|Ja",Part_Suppliers!$L$2:$L$300,Part_Suppliers!$B$2:$B$300,"",0)),"")</f>
        <v>JLCPCB</v>
      </c>
      <c r="D79" s="87" t="str">
        <f>IFERROR(IF(_xlfn.XLOOKUP($A79&amp;"|Ja",Part_Suppliers!$L$2:$L$300,Part_Suppliers!$C$2:$C$300,"",0)=0,"",_xlfn.XLOOKUP($A79&amp;"|Ja",Part_Suppliers!$L$2:$L$300,Part_Suppliers!$C$2:$C$300,"",0)),"")</f>
        <v/>
      </c>
      <c r="E79" s="88">
        <f>SUMIFS(Kit_BOM!$F$2:$F$300,Kit_BOM!$E$2:$E$300,$A79,Kit_BOM!$A$2:$A$300,$A$5,Kit_BOM!$G$2:$G$300,"Bestücken")*$C$5+SUMIFS(Kit_BOM!$F$2:$F$300,Kit_BOM!$E$2:$E$300,$A79,Kit_BOM!$A$2:$A$300,$A$5,Kit_BOM!$G$2:$G$300,"Mechanical")*$C$5+IF($F$5="Ja",SUMIFS(Kit_BOM!$F$2:$F$300,Kit_BOM!$E$2:$E$300,$A79,Kit_BOM!$A$2:$A$300,$A$5,Kit_BOM!$G$2:$G$300,"Optional")*$C$5,0)+IF($F$6="Ja",SUMIFS(Kit_BOM!$F$2:$F$300,Kit_BOM!$E$2:$E$300,$A79,Kit_BOM!$A$2:$A$300,$A$5,Kit_BOM!$G$2:$G$300,"DNP")*$C$5,0)+SUMIFS(Kit_BOM!$F$2:$F$300,Kit_BOM!$E$2:$E$300,$A79,Kit_BOM!$A$2:$A$300,$A$6,Kit_BOM!$G$2:$G$300,"Bestücken")*$C$6+SUMIFS(Kit_BOM!$F$2:$F$300,Kit_BOM!$E$2:$E$300,$A79,Kit_BOM!$A$2:$A$300,$A$6,Kit_BOM!$G$2:$G$300,"Mechanical")*$C$6+IF($F$5="Ja",SUMIFS(Kit_BOM!$F$2:$F$300,Kit_BOM!$E$2:$E$300,$A79,Kit_BOM!$A$2:$A$300,$A$6,Kit_BOM!$G$2:$G$300,"Optional")*$C$6,0)+IF($F$6="Ja",SUMIFS(Kit_BOM!$F$2:$F$300,Kit_BOM!$E$2:$E$300,$A79,Kit_BOM!$A$2:$A$300,$A$6,Kit_BOM!$G$2:$G$300,"DNP")*$C$6,0)+SUMIFS(Kit_BOM!$F$2:$F$300,Kit_BOM!$E$2:$E$300,$A79,Kit_BOM!$A$2:$A$300,$A$7,Kit_BOM!$G$2:$G$300,"Bestücken")*$C$7+SUMIFS(Kit_BOM!$F$2:$F$300,Kit_BOM!$E$2:$E$300,$A79,Kit_BOM!$A$2:$A$300,$A$7,Kit_BOM!$G$2:$G$300,"Mechanical")*$C$7+IF($F$5="Ja",SUMIFS(Kit_BOM!$F$2:$F$300,Kit_BOM!$E$2:$E$300,$A79,Kit_BOM!$A$2:$A$300,$A$7,Kit_BOM!$G$2:$G$300,"Optional")*$C$7,0)+IF($F$6="Ja",SUMIFS(Kit_BOM!$F$2:$F$300,Kit_BOM!$E$2:$E$300,$A79,Kit_BOM!$A$2:$A$300,$A$7,Kit_BOM!$G$2:$G$300,"DNP")*$C$7,0)+SUMIFS(Kit_BOM!$F$2:$F$300,Kit_BOM!$E$2:$E$300,$A79,Kit_BOM!$A$2:$A$300,$A$8,Kit_BOM!$G$2:$G$300,"Bestücken")*$C$8+SUMIFS(Kit_BOM!$F$2:$F$300,Kit_BOM!$E$2:$E$300,$A79,Kit_BOM!$A$2:$A$300,$A$8,Kit_BOM!$G$2:$G$300,"Mechanical")*$C$8+IF($F$5="Ja",SUMIFS(Kit_BOM!$F$2:$F$300,Kit_BOM!$E$2:$E$300,$A79,Kit_BOM!$A$2:$A$300,$A$8,Kit_BOM!$G$2:$G$300,"Optional")*$C$8,0)+IF($F$6="Ja",SUMIFS(Kit_BOM!$F$2:$F$300,Kit_BOM!$E$2:$E$300,$A79,Kit_BOM!$A$2:$A$300,$A$8,Kit_BOM!$G$2:$G$300,"DNP")*$C$8,0)+SUMIFS(Kit_BOM!$F$2:$F$300,Kit_BOM!$E$2:$E$300,$A79,Kit_BOM!$A$2:$A$300,$A$9,Kit_BOM!$G$2:$G$300,"Bestücken")*$C$9+SUMIFS(Kit_BOM!$F$2:$F$300,Kit_BOM!$E$2:$E$300,$A79,Kit_BOM!$A$2:$A$300,$A$9,Kit_BOM!$G$2:$G$300,"Mechanical")*$C$9+IF($F$5="Ja",SUMIFS(Kit_BOM!$F$2:$F$300,Kit_BOM!$E$2:$E$300,$A79,Kit_BOM!$A$2:$A$300,$A$9,Kit_BOM!$G$2:$G$300,"Optional")*$C$9,0)+IF($F$6="Ja",SUMIFS(Kit_BOM!$F$2:$F$300,Kit_BOM!$E$2:$E$300,$A79,Kit_BOM!$A$2:$A$300,$A$9,Kit_BOM!$G$2:$G$300,"DNP")*$C$9,0)+SUMIFS(Kit_BOM!$F$2:$F$300,Kit_BOM!$E$2:$E$300,$A79,Kit_BOM!$A$2:$A$300,$A$10,Kit_BOM!$G$2:$G$300,"Bestücken")*$C$10+SUMIFS(Kit_BOM!$F$2:$F$300,Kit_BOM!$E$2:$E$300,$A79,Kit_BOM!$A$2:$A$300,$A$10,Kit_BOM!$G$2:$G$300,"Mechanical")*$C$10+IF($F$5="Ja",SUMIFS(Kit_BOM!$F$2:$F$300,Kit_BOM!$E$2:$E$300,$A79,Kit_BOM!$A$2:$A$300,$A$10,Kit_BOM!$G$2:$G$300,"Optional")*$C$10,0)+IF($F$6="Ja",SUMIFS(Kit_BOM!$F$2:$F$300,Kit_BOM!$E$2:$E$300,$A79,Kit_BOM!$A$2:$A$300,$A$10,Kit_BOM!$G$2:$G$300,"DNP")*$C$10,0)+SUMIFS(Kit_BOM!$F$2:$F$300,Kit_BOM!$E$2:$E$300,$A79,Kit_BOM!$A$2:$A$300,$A$11,Kit_BOM!$G$2:$G$300,"Bestücken")*$C$11+SUMIFS(Kit_BOM!$F$2:$F$300,Kit_BOM!$E$2:$E$300,$A79,Kit_BOM!$A$2:$A$300,$A$11,Kit_BOM!$G$2:$G$300,"Mechanical")*$C$11+IF($F$5="Ja",SUMIFS(Kit_BOM!$F$2:$F$300,Kit_BOM!$E$2:$E$300,$A79,Kit_BOM!$A$2:$A$300,$A$11,Kit_BOM!$G$2:$G$300,"Optional")*$C$11,0)+IF($F$6="Ja",SUMIFS(Kit_BOM!$F$2:$F$300,Kit_BOM!$E$2:$E$300,$A79,Kit_BOM!$A$2:$A$300,$A$11,Kit_BOM!$G$2:$G$300,"DNP")*$C$11,0)+SUMIFS(Kit_BOM!$F$2:$F$300,Kit_BOM!$E$2:$E$300,$A79,Kit_BOM!$A$2:$A$300,$A$12,Kit_BOM!$G$2:$G$300,"Bestücken")*$C$12+SUMIFS(Kit_BOM!$F$2:$F$300,Kit_BOM!$E$2:$E$300,$A79,Kit_BOM!$A$2:$A$300,$A$12,Kit_BOM!$G$2:$G$300,"Mechanical")*$C$12+IF($F$5="Ja",SUMIFS(Kit_BOM!$F$2:$F$300,Kit_BOM!$E$2:$E$300,$A79,Kit_BOM!$A$2:$A$300,$A$12,Kit_BOM!$G$2:$G$300,"Optional")*$C$12,0)+IF($F$6="Ja",SUMIFS(Kit_BOM!$F$2:$F$300,Kit_BOM!$E$2:$E$300,$A79,Kit_BOM!$A$2:$A$300,$A$12,Kit_BOM!$G$2:$G$300,"DNP")*$C$12,0)+SUMIFS(Kit_BOM!$F$2:$F$300,Kit_BOM!$E$2:$E$300,$A79,Kit_BOM!$A$2:$A$300,$H$5,Kit_BOM!$G$2:$G$300,"Bestücken")*$J$5+SUMIFS(Kit_BOM!$F$2:$F$300,Kit_BOM!$E$2:$E$300,$A79,Kit_BOM!$A$2:$A$300,$H$5,Kit_BOM!$G$2:$G$300,"Mechanical")*$J$5+IF($F$5="Ja",SUMIFS(Kit_BOM!$F$2:$F$300,Kit_BOM!$E$2:$E$300,$A79,Kit_BOM!$A$2:$A$300,$H$5,Kit_BOM!$G$2:$G$300,"Optional")*$J$5,0)+IF($F$6="Ja",SUMIFS(Kit_BOM!$F$2:$F$300,Kit_BOM!$E$2:$E$300,$A79,Kit_BOM!$A$2:$A$300,$H$5,Kit_BOM!$G$2:$G$300,"DNP")*$J$5,0)+SUMIFS(Kit_BOM!$F$2:$F$300,Kit_BOM!$E$2:$E$300,$A79,Kit_BOM!$A$2:$A$300,$H$6,Kit_BOM!$G$2:$G$300,"Bestücken")*$J$6+SUMIFS(Kit_BOM!$F$2:$F$300,Kit_BOM!$E$2:$E$300,$A79,Kit_BOM!$A$2:$A$300,$H$6,Kit_BOM!$G$2:$G$300,"Mechanical")*$J$6+IF($F$5="Ja",SUMIFS(Kit_BOM!$F$2:$F$300,Kit_BOM!$E$2:$E$300,$A79,Kit_BOM!$A$2:$A$300,$H$6,Kit_BOM!$G$2:$G$300,"Optional")*$J$6,0)+IF($F$6="Ja",SUMIFS(Kit_BOM!$F$2:$F$300,Kit_BOM!$E$2:$E$300,$A79,Kit_BOM!$A$2:$A$300,$H$6,Kit_BOM!$G$2:$G$300,"DNP")*$J$6,0)</f>
        <v>0</v>
      </c>
      <c r="F79" s="88">
        <f>IFERROR(IF(_xlfn.XLOOKUP($A79&amp;"|Ja",Part_Suppliers!$L$2:$L$300,Part_Suppliers!$G$2:$G$300,"",0)=0,"",_xlfn.XLOOKUP($A79&amp;"|Ja",Part_Suppliers!$L$2:$L$300,Part_Suppliers!$G$2:$G$300,"",0)),"")</f>
        <v>5</v>
      </c>
      <c r="G79" s="88">
        <f t="shared" si="13"/>
        <v>0</v>
      </c>
      <c r="H79" s="89" t="str">
        <f>IFERROR(IF(_xlfn.XLOOKUP($A79&amp;"|Ja",Part_Suppliers!$L$2:$L$300,Part_Suppliers!$E$2:$E$300,"",0)=0,"",_xlfn.XLOOKUP($A79&amp;"|Ja",Part_Suppliers!$L$2:$L$300,Part_Suppliers!$E$2:$E$300,"",0)),"")</f>
        <v/>
      </c>
      <c r="I79" s="89" t="str">
        <f t="shared" si="14"/>
        <v/>
      </c>
      <c r="J79" s="85" t="str">
        <f>IF(AND(P79&gt;0,P79&lt;&gt;O79),"Manuelle Menge prüfen",IF(E79=0,"Nicht benötigt",IF(L79&lt;0,"Bestand klären",IF(O79=0,"Gedeckt","PCB-Auftrag prüfen"))))</f>
        <v>Nicht benötigt</v>
      </c>
      <c r="K79" s="87" t="str">
        <f>IFERROR(IF(_xlfn.XLOOKUP($A79&amp;"|Ja",Part_Suppliers!$L$2:$L$300,Part_Suppliers!$D$2:$D$300,"",0)=0,"",_xlfn.XLOOKUP($A79&amp;"|Ja",Part_Suppliers!$L$2:$L$300,Part_Suppliers!$D$2:$D$300,"",0)),"")</f>
        <v>https://jlcpcb.com/</v>
      </c>
      <c r="L79" s="90">
        <f>IFERROR(VLOOKUP($A79,Stock!$A$5:$K$200,10,FALSE()),0)</f>
        <v>0</v>
      </c>
      <c r="M79" s="90">
        <f>IFERROR(VLOOKUP($A79,Stock!$A$5:$K$200,11,FALSE()),0)</f>
        <v>0</v>
      </c>
      <c r="N79" s="90">
        <f t="shared" si="15"/>
        <v>0</v>
      </c>
      <c r="O79" s="90">
        <f t="shared" si="16"/>
        <v>0</v>
      </c>
      <c r="P79" s="91">
        <v>0</v>
      </c>
      <c r="Q79" s="92">
        <f t="shared" si="17"/>
        <v>0</v>
      </c>
      <c r="R79" s="93">
        <f>SUMIFS(Part_Alternatives!$H$2:$H$200,Part_Alternatives!$A$2:$A$200,$A79,Part_Alternatives!$E$2:$E$200,"Ja")</f>
        <v>0</v>
      </c>
      <c r="S79" s="93">
        <f>SUMIFS(Part_Alternatives!$I$2:$I$200,Part_Alternatives!$A$2:$A$200,$A79,Part_Alternatives!$E$2:$E$200,"Ja")</f>
        <v>0</v>
      </c>
      <c r="T79" s="85" t="str">
        <f>IFERROR(VLOOKUP($A79,Part_Alternatives!$A$2:$K$200,10,FALSE()),"")</f>
        <v/>
      </c>
    </row>
    <row r="80" spans="1:20" ht="14" hidden="1" customHeight="1" x14ac:dyDescent="0.15">
      <c r="A80" t="s">
        <v>209</v>
      </c>
      <c r="B80" s="86" t="str">
        <f>IFERROR(VLOOKUP($A80,Parts!$A$2:$M$191,3,FALSE()),"")</f>
        <v>Buchsenleiste 2x2, 2,54 mm, THT</v>
      </c>
      <c r="C80" s="87" t="str">
        <f>IFERROR(IF(_xlfn.XLOOKUP($A80&amp;"|Ja",Part_Suppliers!$L$2:$L$300,Part_Suppliers!$B$2:$B$300,"",0)=0,"",_xlfn.XLOOKUP($A80&amp;"|Ja",Part_Suppliers!$L$2:$L$300,Part_Suppliers!$B$2:$B$300,"",0)),"")</f>
        <v>Reichelt</v>
      </c>
      <c r="D80" s="87" t="str">
        <f>IFERROR(IF(_xlfn.XLOOKUP($A80&amp;"|Ja",Part_Suppliers!$L$2:$L$300,Part_Suppliers!$C$2:$C$300,"",0)=0,"",_xlfn.XLOOKUP($A80&amp;"|Ja",Part_Suppliers!$L$2:$L$300,Part_Suppliers!$C$2:$C$300,"",0)),"")</f>
        <v>BKL 10120957</v>
      </c>
      <c r="E80" s="88">
        <f>SUMIFS(Kit_BOM!$F$2:$F$300,Kit_BOM!$E$2:$E$300,$A80,Kit_BOM!$A$2:$A$300,$A$5,Kit_BOM!$G$2:$G$300,"Bestücken")*$C$5+SUMIFS(Kit_BOM!$F$2:$F$300,Kit_BOM!$E$2:$E$300,$A80,Kit_BOM!$A$2:$A$300,$A$5,Kit_BOM!$G$2:$G$300,"Mechanical")*$C$5+IF($F$5="Ja",SUMIFS(Kit_BOM!$F$2:$F$300,Kit_BOM!$E$2:$E$300,$A80,Kit_BOM!$A$2:$A$300,$A$5,Kit_BOM!$G$2:$G$300,"Optional")*$C$5,0)+IF($F$6="Ja",SUMIFS(Kit_BOM!$F$2:$F$300,Kit_BOM!$E$2:$E$300,$A80,Kit_BOM!$A$2:$A$300,$A$5,Kit_BOM!$G$2:$G$300,"DNP")*$C$5,0)+SUMIFS(Kit_BOM!$F$2:$F$300,Kit_BOM!$E$2:$E$300,$A80,Kit_BOM!$A$2:$A$300,$A$6,Kit_BOM!$G$2:$G$300,"Bestücken")*$C$6+SUMIFS(Kit_BOM!$F$2:$F$300,Kit_BOM!$E$2:$E$300,$A80,Kit_BOM!$A$2:$A$300,$A$6,Kit_BOM!$G$2:$G$300,"Mechanical")*$C$6+IF($F$5="Ja",SUMIFS(Kit_BOM!$F$2:$F$300,Kit_BOM!$E$2:$E$300,$A80,Kit_BOM!$A$2:$A$300,$A$6,Kit_BOM!$G$2:$G$300,"Optional")*$C$6,0)+IF($F$6="Ja",SUMIFS(Kit_BOM!$F$2:$F$300,Kit_BOM!$E$2:$E$300,$A80,Kit_BOM!$A$2:$A$300,$A$6,Kit_BOM!$G$2:$G$300,"DNP")*$C$6,0)+SUMIFS(Kit_BOM!$F$2:$F$300,Kit_BOM!$E$2:$E$300,$A80,Kit_BOM!$A$2:$A$300,$A$7,Kit_BOM!$G$2:$G$300,"Bestücken")*$C$7+SUMIFS(Kit_BOM!$F$2:$F$300,Kit_BOM!$E$2:$E$300,$A80,Kit_BOM!$A$2:$A$300,$A$7,Kit_BOM!$G$2:$G$300,"Mechanical")*$C$7+IF($F$5="Ja",SUMIFS(Kit_BOM!$F$2:$F$300,Kit_BOM!$E$2:$E$300,$A80,Kit_BOM!$A$2:$A$300,$A$7,Kit_BOM!$G$2:$G$300,"Optional")*$C$7,0)+IF($F$6="Ja",SUMIFS(Kit_BOM!$F$2:$F$300,Kit_BOM!$E$2:$E$300,$A80,Kit_BOM!$A$2:$A$300,$A$7,Kit_BOM!$G$2:$G$300,"DNP")*$C$7,0)+SUMIFS(Kit_BOM!$F$2:$F$300,Kit_BOM!$E$2:$E$300,$A80,Kit_BOM!$A$2:$A$300,$A$8,Kit_BOM!$G$2:$G$300,"Bestücken")*$C$8+SUMIFS(Kit_BOM!$F$2:$F$300,Kit_BOM!$E$2:$E$300,$A80,Kit_BOM!$A$2:$A$300,$A$8,Kit_BOM!$G$2:$G$300,"Mechanical")*$C$8+IF($F$5="Ja",SUMIFS(Kit_BOM!$F$2:$F$300,Kit_BOM!$E$2:$E$300,$A80,Kit_BOM!$A$2:$A$300,$A$8,Kit_BOM!$G$2:$G$300,"Optional")*$C$8,0)+IF($F$6="Ja",SUMIFS(Kit_BOM!$F$2:$F$300,Kit_BOM!$E$2:$E$300,$A80,Kit_BOM!$A$2:$A$300,$A$8,Kit_BOM!$G$2:$G$300,"DNP")*$C$8,0)+SUMIFS(Kit_BOM!$F$2:$F$300,Kit_BOM!$E$2:$E$300,$A80,Kit_BOM!$A$2:$A$300,$A$9,Kit_BOM!$G$2:$G$300,"Bestücken")*$C$9+SUMIFS(Kit_BOM!$F$2:$F$300,Kit_BOM!$E$2:$E$300,$A80,Kit_BOM!$A$2:$A$300,$A$9,Kit_BOM!$G$2:$G$300,"Mechanical")*$C$9+IF($F$5="Ja",SUMIFS(Kit_BOM!$F$2:$F$300,Kit_BOM!$E$2:$E$300,$A80,Kit_BOM!$A$2:$A$300,$A$9,Kit_BOM!$G$2:$G$300,"Optional")*$C$9,0)+IF($F$6="Ja",SUMIFS(Kit_BOM!$F$2:$F$300,Kit_BOM!$E$2:$E$300,$A80,Kit_BOM!$A$2:$A$300,$A$9,Kit_BOM!$G$2:$G$300,"DNP")*$C$9,0)+SUMIFS(Kit_BOM!$F$2:$F$300,Kit_BOM!$E$2:$E$300,$A80,Kit_BOM!$A$2:$A$300,$A$10,Kit_BOM!$G$2:$G$300,"Bestücken")*$C$10+SUMIFS(Kit_BOM!$F$2:$F$300,Kit_BOM!$E$2:$E$300,$A80,Kit_BOM!$A$2:$A$300,$A$10,Kit_BOM!$G$2:$G$300,"Mechanical")*$C$10+IF($F$5="Ja",SUMIFS(Kit_BOM!$F$2:$F$300,Kit_BOM!$E$2:$E$300,$A80,Kit_BOM!$A$2:$A$300,$A$10,Kit_BOM!$G$2:$G$300,"Optional")*$C$10,0)+IF($F$6="Ja",SUMIFS(Kit_BOM!$F$2:$F$300,Kit_BOM!$E$2:$E$300,$A80,Kit_BOM!$A$2:$A$300,$A$10,Kit_BOM!$G$2:$G$300,"DNP")*$C$10,0)+SUMIFS(Kit_BOM!$F$2:$F$300,Kit_BOM!$E$2:$E$300,$A80,Kit_BOM!$A$2:$A$300,$A$11,Kit_BOM!$G$2:$G$300,"Bestücken")*$C$11+SUMIFS(Kit_BOM!$F$2:$F$300,Kit_BOM!$E$2:$E$300,$A80,Kit_BOM!$A$2:$A$300,$A$11,Kit_BOM!$G$2:$G$300,"Mechanical")*$C$11+IF($F$5="Ja",SUMIFS(Kit_BOM!$F$2:$F$300,Kit_BOM!$E$2:$E$300,$A80,Kit_BOM!$A$2:$A$300,$A$11,Kit_BOM!$G$2:$G$300,"Optional")*$C$11,0)+IF($F$6="Ja",SUMIFS(Kit_BOM!$F$2:$F$300,Kit_BOM!$E$2:$E$300,$A80,Kit_BOM!$A$2:$A$300,$A$11,Kit_BOM!$G$2:$G$300,"DNP")*$C$11,0)+SUMIFS(Kit_BOM!$F$2:$F$300,Kit_BOM!$E$2:$E$300,$A80,Kit_BOM!$A$2:$A$300,$A$12,Kit_BOM!$G$2:$G$300,"Bestücken")*$C$12+SUMIFS(Kit_BOM!$F$2:$F$300,Kit_BOM!$E$2:$E$300,$A80,Kit_BOM!$A$2:$A$300,$A$12,Kit_BOM!$G$2:$G$300,"Mechanical")*$C$12+IF($F$5="Ja",SUMIFS(Kit_BOM!$F$2:$F$300,Kit_BOM!$E$2:$E$300,$A80,Kit_BOM!$A$2:$A$300,$A$12,Kit_BOM!$G$2:$G$300,"Optional")*$C$12,0)+IF($F$6="Ja",SUMIFS(Kit_BOM!$F$2:$F$300,Kit_BOM!$E$2:$E$300,$A80,Kit_BOM!$A$2:$A$300,$A$12,Kit_BOM!$G$2:$G$300,"DNP")*$C$12,0)+SUMIFS(Kit_BOM!$F$2:$F$300,Kit_BOM!$E$2:$E$300,$A80,Kit_BOM!$A$2:$A$300,$H$5,Kit_BOM!$G$2:$G$300,"Bestücken")*$J$5+SUMIFS(Kit_BOM!$F$2:$F$300,Kit_BOM!$E$2:$E$300,$A80,Kit_BOM!$A$2:$A$300,$H$5,Kit_BOM!$G$2:$G$300,"Mechanical")*$J$5+IF($F$5="Ja",SUMIFS(Kit_BOM!$F$2:$F$300,Kit_BOM!$E$2:$E$300,$A80,Kit_BOM!$A$2:$A$300,$H$5,Kit_BOM!$G$2:$G$300,"Optional")*$J$5,0)+IF($F$6="Ja",SUMIFS(Kit_BOM!$F$2:$F$300,Kit_BOM!$E$2:$E$300,$A80,Kit_BOM!$A$2:$A$300,$H$5,Kit_BOM!$G$2:$G$300,"DNP")*$J$5,0)+SUMIFS(Kit_BOM!$F$2:$F$300,Kit_BOM!$E$2:$E$300,$A80,Kit_BOM!$A$2:$A$300,$H$6,Kit_BOM!$G$2:$G$300,"Bestücken")*$J$6+SUMIFS(Kit_BOM!$F$2:$F$300,Kit_BOM!$E$2:$E$300,$A80,Kit_BOM!$A$2:$A$300,$H$6,Kit_BOM!$G$2:$G$300,"Mechanical")*$J$6+IF($F$5="Ja",SUMIFS(Kit_BOM!$F$2:$F$300,Kit_BOM!$E$2:$E$300,$A80,Kit_BOM!$A$2:$A$300,$H$6,Kit_BOM!$G$2:$G$300,"Optional")*$J$6,0)+IF($F$6="Ja",SUMIFS(Kit_BOM!$F$2:$F$300,Kit_BOM!$E$2:$E$300,$A80,Kit_BOM!$A$2:$A$300,$H$6,Kit_BOM!$G$2:$G$300,"DNP")*$J$6,0)</f>
        <v>8</v>
      </c>
      <c r="F80" s="88">
        <f>IFERROR(IF(_xlfn.XLOOKUP($A80&amp;"|Ja",Part_Suppliers!$L$2:$L$300,Part_Suppliers!$G$2:$G$300,"",0)=0,"",_xlfn.XLOOKUP($A80&amp;"|Ja",Part_Suppliers!$L$2:$L$300,Part_Suppliers!$G$2:$G$300,"",0)),"")</f>
        <v>1</v>
      </c>
      <c r="G80" s="88">
        <f t="shared" si="13"/>
        <v>8</v>
      </c>
      <c r="H80" s="89">
        <f>IFERROR(IF(_xlfn.XLOOKUP($A80&amp;"|Ja",Part_Suppliers!$L$2:$L$300,Part_Suppliers!$E$2:$E$300,"",0)=0,"",_xlfn.XLOOKUP($A80&amp;"|Ja",Part_Suppliers!$L$2:$L$300,Part_Suppliers!$E$2:$E$300,"",0)),"")</f>
        <v>0.71</v>
      </c>
      <c r="I80" s="89">
        <f t="shared" si="14"/>
        <v>5.68</v>
      </c>
      <c r="J80" s="85" t="str">
        <f>IF(AND(P80&gt;0,P80&lt;&gt;O80),"Manuelle Menge prüfen",IF(E80=0,"Nicht benötigt",IF(L80&lt;0,"Bestand klären",IF(O80=0,"Gedeckt",IF(OR(C80="",C80="Noch festlegen",D80=""),"Artikel offen",IF(H80="","Preis offen","Bestellvorschlag prüfen"))))))</f>
        <v>Gedeckt</v>
      </c>
      <c r="K80" s="87" t="str">
        <f>IFERROR(IF(_xlfn.XLOOKUP($A80&amp;"|Ja",Part_Suppliers!$L$2:$L$300,Part_Suppliers!$D$2:$D$300,"",0)=0,"",_xlfn.XLOOKUP($A80&amp;"|Ja",Part_Suppliers!$L$2:$L$300,Part_Suppliers!$D$2:$D$300,"",0)),"")</f>
        <v>https://www.reichelt.de/de/de/shop/produkt/buchsenleiste_2_54mm_2x2_gerade-266682</v>
      </c>
      <c r="L80" s="90">
        <f>IFERROR(VLOOKUP($A80,Stock!$A$5:$K$200,10,FALSE()),0)</f>
        <v>0</v>
      </c>
      <c r="M80" s="90">
        <f>IFERROR(VLOOKUP($A80,Stock!$A$5:$K$200,11,FALSE()),0)</f>
        <v>8</v>
      </c>
      <c r="N80" s="90">
        <f t="shared" si="15"/>
        <v>0</v>
      </c>
      <c r="O80" s="90">
        <f t="shared" si="16"/>
        <v>0</v>
      </c>
      <c r="P80" s="91">
        <v>0</v>
      </c>
      <c r="Q80" s="92">
        <f t="shared" si="17"/>
        <v>0</v>
      </c>
      <c r="R80" s="93">
        <f>SUMIFS(Part_Alternatives!$H$2:$H$200,Part_Alternatives!$A$2:$A$200,$A80,Part_Alternatives!$E$2:$E$200,"Ja")</f>
        <v>0</v>
      </c>
      <c r="S80" s="93">
        <f>SUMIFS(Part_Alternatives!$I$2:$I$200,Part_Alternatives!$A$2:$A$200,$A80,Part_Alternatives!$E$2:$E$200,"Ja")</f>
        <v>0</v>
      </c>
      <c r="T80" s="85" t="str">
        <f>IFERROR(VLOOKUP($A80,Part_Alternatives!$A$2:$K$200,10,FALSE()),"")</f>
        <v/>
      </c>
    </row>
    <row r="81" spans="1:20" ht="16" hidden="1" x14ac:dyDescent="0.2">
      <c r="A81" s="26" t="s">
        <v>99</v>
      </c>
      <c r="B81" s="45" t="str">
        <f>IFERROR(VLOOKUP($A81,Parts!$A$2:$M$191,3,FALSE()),"")</f>
        <v>LDO 3.3V SOT-223</v>
      </c>
      <c r="C81" s="26" t="str">
        <f>IFERROR(IF(_xlfn.XLOOKUP($A81&amp;"|Ja",Part_Suppliers!$L$2:$L$300,Part_Suppliers!$B$2:$B$300,"",0)=0,"",_xlfn.XLOOKUP($A81&amp;"|Ja",Part_Suppliers!$L$2:$L$300,Part_Suppliers!$B$2:$B$300,"",0)),"")</f>
        <v>Reichelt</v>
      </c>
      <c r="D81" s="26" t="str">
        <f>IFERROR(IF(_xlfn.XLOOKUP($A81&amp;"|Ja",Part_Suppliers!$L$2:$L$300,Part_Suppliers!$C$2:$C$300,"",0)=0,"",_xlfn.XLOOKUP($A81&amp;"|Ja",Part_Suppliers!$L$2:$L$300,Part_Suppliers!$C$2:$C$300,"",0)),"")</f>
        <v>LM 3940 IMP-3,3</v>
      </c>
      <c r="E81" s="27">
        <f>SUMIFS(Kit_BOM!$F$2:$F$300,Kit_BOM!$E$2:$E$300,$A81,Kit_BOM!$A$2:$A$300,$A$5,Kit_BOM!$G$2:$G$300,"Bestücken")*$C$5+SUMIFS(Kit_BOM!$F$2:$F$300,Kit_BOM!$E$2:$E$300,$A81,Kit_BOM!$A$2:$A$300,$A$5,Kit_BOM!$G$2:$G$300,"Mechanical")*$C$5+IF($F$5="Ja",SUMIFS(Kit_BOM!$F$2:$F$300,Kit_BOM!$E$2:$E$300,$A81,Kit_BOM!$A$2:$A$300,$A$5,Kit_BOM!$G$2:$G$300,"Optional")*$C$5,0)+IF($F$6="Ja",SUMIFS(Kit_BOM!$F$2:$F$300,Kit_BOM!$E$2:$E$300,$A81,Kit_BOM!$A$2:$A$300,$A$5,Kit_BOM!$G$2:$G$300,"DNP")*$C$5,0)+SUMIFS(Kit_BOM!$F$2:$F$300,Kit_BOM!$E$2:$E$300,$A81,Kit_BOM!$A$2:$A$300,$A$6,Kit_BOM!$G$2:$G$300,"Bestücken")*$C$6+SUMIFS(Kit_BOM!$F$2:$F$300,Kit_BOM!$E$2:$E$300,$A81,Kit_BOM!$A$2:$A$300,$A$6,Kit_BOM!$G$2:$G$300,"Mechanical")*$C$6+IF($F$5="Ja",SUMIFS(Kit_BOM!$F$2:$F$300,Kit_BOM!$E$2:$E$300,$A81,Kit_BOM!$A$2:$A$300,$A$6,Kit_BOM!$G$2:$G$300,"Optional")*$C$6,0)+IF($F$6="Ja",SUMIFS(Kit_BOM!$F$2:$F$300,Kit_BOM!$E$2:$E$300,$A81,Kit_BOM!$A$2:$A$300,$A$6,Kit_BOM!$G$2:$G$300,"DNP")*$C$6,0)+SUMIFS(Kit_BOM!$F$2:$F$300,Kit_BOM!$E$2:$E$300,$A81,Kit_BOM!$A$2:$A$300,$A$7,Kit_BOM!$G$2:$G$300,"Bestücken")*$C$7+SUMIFS(Kit_BOM!$F$2:$F$300,Kit_BOM!$E$2:$E$300,$A81,Kit_BOM!$A$2:$A$300,$A$7,Kit_BOM!$G$2:$G$300,"Mechanical")*$C$7+IF($F$5="Ja",SUMIFS(Kit_BOM!$F$2:$F$300,Kit_BOM!$E$2:$E$300,$A81,Kit_BOM!$A$2:$A$300,$A$7,Kit_BOM!$G$2:$G$300,"Optional")*$C$7,0)+IF($F$6="Ja",SUMIFS(Kit_BOM!$F$2:$F$300,Kit_BOM!$E$2:$E$300,$A81,Kit_BOM!$A$2:$A$300,$A$7,Kit_BOM!$G$2:$G$300,"DNP")*$C$7,0)+SUMIFS(Kit_BOM!$F$2:$F$300,Kit_BOM!$E$2:$E$300,$A81,Kit_BOM!$A$2:$A$300,$A$8,Kit_BOM!$G$2:$G$300,"Bestücken")*$C$8+SUMIFS(Kit_BOM!$F$2:$F$300,Kit_BOM!$E$2:$E$300,$A81,Kit_BOM!$A$2:$A$300,$A$8,Kit_BOM!$G$2:$G$300,"Mechanical")*$C$8+IF($F$5="Ja",SUMIFS(Kit_BOM!$F$2:$F$300,Kit_BOM!$E$2:$E$300,$A81,Kit_BOM!$A$2:$A$300,$A$8,Kit_BOM!$G$2:$G$300,"Optional")*$C$8,0)+IF($F$6="Ja",SUMIFS(Kit_BOM!$F$2:$F$300,Kit_BOM!$E$2:$E$300,$A81,Kit_BOM!$A$2:$A$300,$A$8,Kit_BOM!$G$2:$G$300,"DNP")*$C$8,0)+SUMIFS(Kit_BOM!$F$2:$F$300,Kit_BOM!$E$2:$E$300,$A81,Kit_BOM!$A$2:$A$300,$A$9,Kit_BOM!$G$2:$G$300,"Bestücken")*$C$9+SUMIFS(Kit_BOM!$F$2:$F$300,Kit_BOM!$E$2:$E$300,$A81,Kit_BOM!$A$2:$A$300,$A$9,Kit_BOM!$G$2:$G$300,"Mechanical")*$C$9+IF($F$5="Ja",SUMIFS(Kit_BOM!$F$2:$F$300,Kit_BOM!$E$2:$E$300,$A81,Kit_BOM!$A$2:$A$300,$A$9,Kit_BOM!$G$2:$G$300,"Optional")*$C$9,0)+IF($F$6="Ja",SUMIFS(Kit_BOM!$F$2:$F$300,Kit_BOM!$E$2:$E$300,$A81,Kit_BOM!$A$2:$A$300,$A$9,Kit_BOM!$G$2:$G$300,"DNP")*$C$9,0)+SUMIFS(Kit_BOM!$F$2:$F$300,Kit_BOM!$E$2:$E$300,$A81,Kit_BOM!$A$2:$A$300,$A$10,Kit_BOM!$G$2:$G$300,"Bestücken")*$C$10+SUMIFS(Kit_BOM!$F$2:$F$300,Kit_BOM!$E$2:$E$300,$A81,Kit_BOM!$A$2:$A$300,$A$10,Kit_BOM!$G$2:$G$300,"Mechanical")*$C$10+IF($F$5="Ja",SUMIFS(Kit_BOM!$F$2:$F$300,Kit_BOM!$E$2:$E$300,$A81,Kit_BOM!$A$2:$A$300,$A$10,Kit_BOM!$G$2:$G$300,"Optional")*$C$10,0)+IF($F$6="Ja",SUMIFS(Kit_BOM!$F$2:$F$300,Kit_BOM!$E$2:$E$300,$A81,Kit_BOM!$A$2:$A$300,$A$10,Kit_BOM!$G$2:$G$300,"DNP")*$C$10,0)+SUMIFS(Kit_BOM!$F$2:$F$300,Kit_BOM!$E$2:$E$300,$A81,Kit_BOM!$A$2:$A$300,$A$11,Kit_BOM!$G$2:$G$300,"Bestücken")*$C$11+SUMIFS(Kit_BOM!$F$2:$F$300,Kit_BOM!$E$2:$E$300,$A81,Kit_BOM!$A$2:$A$300,$A$11,Kit_BOM!$G$2:$G$300,"Mechanical")*$C$11+IF($F$5="Ja",SUMIFS(Kit_BOM!$F$2:$F$300,Kit_BOM!$E$2:$E$300,$A81,Kit_BOM!$A$2:$A$300,$A$11,Kit_BOM!$G$2:$G$300,"Optional")*$C$11,0)+IF($F$6="Ja",SUMIFS(Kit_BOM!$F$2:$F$300,Kit_BOM!$E$2:$E$300,$A81,Kit_BOM!$A$2:$A$300,$A$11,Kit_BOM!$G$2:$G$300,"DNP")*$C$11,0)+SUMIFS(Kit_BOM!$F$2:$F$300,Kit_BOM!$E$2:$E$300,$A81,Kit_BOM!$A$2:$A$300,$A$12,Kit_BOM!$G$2:$G$300,"Bestücken")*$C$12+SUMIFS(Kit_BOM!$F$2:$F$300,Kit_BOM!$E$2:$E$300,$A81,Kit_BOM!$A$2:$A$300,$A$12,Kit_BOM!$G$2:$G$300,"Mechanical")*$C$12+IF($F$5="Ja",SUMIFS(Kit_BOM!$F$2:$F$300,Kit_BOM!$E$2:$E$300,$A81,Kit_BOM!$A$2:$A$300,$A$12,Kit_BOM!$G$2:$G$300,"Optional")*$C$12,0)+IF($F$6="Ja",SUMIFS(Kit_BOM!$F$2:$F$300,Kit_BOM!$E$2:$E$300,$A81,Kit_BOM!$A$2:$A$300,$A$12,Kit_BOM!$G$2:$G$300,"DNP")*$C$12,0)+SUMIFS(Kit_BOM!$F$2:$F$300,Kit_BOM!$E$2:$E$300,$A81,Kit_BOM!$A$2:$A$300,$H$5,Kit_BOM!$G$2:$G$300,"Bestücken")*$J$5+SUMIFS(Kit_BOM!$F$2:$F$300,Kit_BOM!$E$2:$E$300,$A81,Kit_BOM!$A$2:$A$300,$H$5,Kit_BOM!$G$2:$G$300,"Mechanical")*$J$5+IF($F$5="Ja",SUMIFS(Kit_BOM!$F$2:$F$300,Kit_BOM!$E$2:$E$300,$A81,Kit_BOM!$A$2:$A$300,$H$5,Kit_BOM!$G$2:$G$300,"Optional")*$J$5,0)+IF($F$6="Ja",SUMIFS(Kit_BOM!$F$2:$F$300,Kit_BOM!$E$2:$E$300,$A81,Kit_BOM!$A$2:$A$300,$H$5,Kit_BOM!$G$2:$G$300,"DNP")*$J$5,0)+SUMIFS(Kit_BOM!$F$2:$F$300,Kit_BOM!$E$2:$E$300,$A81,Kit_BOM!$A$2:$A$300,$H$6,Kit_BOM!$G$2:$G$300,"Bestücken")*$J$6+SUMIFS(Kit_BOM!$F$2:$F$300,Kit_BOM!$E$2:$E$300,$A81,Kit_BOM!$A$2:$A$300,$H$6,Kit_BOM!$G$2:$G$300,"Mechanical")*$J$6+IF($F$5="Ja",SUMIFS(Kit_BOM!$F$2:$F$300,Kit_BOM!$E$2:$E$300,$A81,Kit_BOM!$A$2:$A$300,$H$6,Kit_BOM!$G$2:$G$300,"Optional")*$J$6,0)+IF($F$6="Ja",SUMIFS(Kit_BOM!$F$2:$F$300,Kit_BOM!$E$2:$E$300,$A81,Kit_BOM!$A$2:$A$300,$H$6,Kit_BOM!$G$2:$G$300,"DNP")*$J$6,0)</f>
        <v>5</v>
      </c>
      <c r="F81" s="27">
        <f>IFERROR(IF(_xlfn.XLOOKUP($A81&amp;"|Ja",Part_Suppliers!$L$2:$L$300,Part_Suppliers!$G$2:$G$300,"",0)=0,"",_xlfn.XLOOKUP($A81&amp;"|Ja",Part_Suppliers!$L$2:$L$300,Part_Suppliers!$G$2:$G$300,"",0)),"")</f>
        <v>3</v>
      </c>
      <c r="G81" s="27">
        <f t="shared" si="13"/>
        <v>6</v>
      </c>
      <c r="H81" s="46">
        <f>IFERROR(IF(_xlfn.XLOOKUP($A81&amp;"|Ja",Part_Suppliers!$L$2:$L$300,Part_Suppliers!$E$2:$E$300,"",0)=0,"",_xlfn.XLOOKUP($A81&amp;"|Ja",Part_Suppliers!$L$2:$L$300,Part_Suppliers!$E$2:$E$300,"",0)),"")</f>
        <v>1</v>
      </c>
      <c r="I81" s="46">
        <f t="shared" si="14"/>
        <v>6</v>
      </c>
      <c r="J81" t="str">
        <f>IF(AND(P81&gt;0,P81&lt;&gt;O81),"Manuelle Menge prüfen",IF(E81=0,"Nicht benötigt",IF(L81&lt;0,"Bestand klären",IF(O81=0,"Gedeckt",IF(OR(C81="",C81="Noch festlegen",D81=""),"Artikel offen",IF(H81="","Preis offen","Bestellvorschlag prüfen"))))))</f>
        <v>Gedeckt</v>
      </c>
      <c r="K81" s="26" t="str">
        <f>IFERROR(IF(_xlfn.XLOOKUP($A81&amp;"|Ja",Part_Suppliers!$L$2:$L$300,Part_Suppliers!$D$2:$D$300,"",0)=0,"",_xlfn.XLOOKUP($A81&amp;"|Ja",Part_Suppliers!$L$2:$L$300,Part_Suppliers!$D$2:$D$300,"",0)),"")</f>
        <v>https://www.reichelt.de/de/de/shop/produkt/ldo-spannungsregler_fix_3_3_vout_1_a_sot-223-109407?search=LM3940%2520&amp;</v>
      </c>
      <c r="L81" s="47">
        <f>IFERROR(VLOOKUP($A81,Stock!$A$5:$K$200,10,FALSE()),0)</f>
        <v>1</v>
      </c>
      <c r="M81" s="47">
        <f>IFERROR(VLOOKUP($A81,Stock!$A$5:$K$200,11,FALSE()),0)</f>
        <v>6</v>
      </c>
      <c r="N81" s="47">
        <f t="shared" si="15"/>
        <v>2</v>
      </c>
      <c r="O81" s="47">
        <f t="shared" si="16"/>
        <v>0</v>
      </c>
      <c r="P81" s="48">
        <v>0</v>
      </c>
      <c r="Q81" s="49">
        <f t="shared" si="17"/>
        <v>0</v>
      </c>
      <c r="R81" s="82">
        <f>SUMIFS(Part_Alternatives!$H$2:$H$200,Part_Alternatives!$A$2:$A$200,$A81,Part_Alternatives!$E$2:$E$200,"Ja")</f>
        <v>0</v>
      </c>
      <c r="S81" s="82">
        <f>SUMIFS(Part_Alternatives!$I$2:$I$200,Part_Alternatives!$A$2:$A$200,$A81,Part_Alternatives!$E$2:$E$200,"Ja")</f>
        <v>0</v>
      </c>
      <c r="T81" s="80" t="str">
        <f>IFERROR(VLOOKUP($A81,Part_Alternatives!$A$2:$K$200,10,FALSE()),"")</f>
        <v/>
      </c>
    </row>
    <row r="82" spans="1:20" hidden="1" x14ac:dyDescent="0.15">
      <c r="A82" t="s">
        <v>1024</v>
      </c>
      <c r="B82" t="str">
        <f>IFERROR(VLOOKUP($A82,Parts!$A$2:$M$191,3,FALSE()),"")</f>
        <v>Klinkeneinbaubuchse Lumberg 1503 09</v>
      </c>
      <c r="C82" t="str">
        <f>IFERROR(IF(_xlfn.XLOOKUP($A82&amp;"|Ja",Part_Suppliers!$L$2:$L$300,Part_Suppliers!$B$2:$B$300,"",0)=0,"",_xlfn.XLOOKUP($A82&amp;"|Ja",Part_Suppliers!$L$2:$L$300,Part_Suppliers!$B$2:$B$300,"",0)),"")</f>
        <v>TME</v>
      </c>
      <c r="D82" t="str">
        <f>IFERROR(IF(_xlfn.XLOOKUP($A82&amp;"|Ja",Part_Suppliers!$L$2:$L$300,Part_Suppliers!$C$2:$C$300,"",0)=0,"",_xlfn.XLOOKUP($A82&amp;"|Ja",Part_Suppliers!$L$2:$L$300,Part_Suppliers!$C$2:$C$300,"",0)),"")</f>
        <v>1503-09</v>
      </c>
      <c r="E82">
        <f>SUMIFS(Kit_BOM!$F$2:$F$300,Kit_BOM!$E$2:$E$300,$A82,Kit_BOM!$A$2:$A$300,$A$5,Kit_BOM!$G$2:$G$300,"Bestücken")*$C$5+SUMIFS(Kit_BOM!$F$2:$F$300,Kit_BOM!$E$2:$E$300,$A82,Kit_BOM!$A$2:$A$300,$A$5,Kit_BOM!$G$2:$G$300,"Mechanical")*$C$5+IF($F$5="Ja",SUMIFS(Kit_BOM!$F$2:$F$300,Kit_BOM!$E$2:$E$300,$A82,Kit_BOM!$A$2:$A$300,$A$5,Kit_BOM!$G$2:$G$300,"Optional")*$C$5,0)+IF($F$6="Ja",SUMIFS(Kit_BOM!$F$2:$F$300,Kit_BOM!$E$2:$E$300,$A82,Kit_BOM!$A$2:$A$300,$A$5,Kit_BOM!$G$2:$G$300,"DNP")*$C$5,0)+SUMIFS(Kit_BOM!$F$2:$F$300,Kit_BOM!$E$2:$E$300,$A82,Kit_BOM!$A$2:$A$300,$A$6,Kit_BOM!$G$2:$G$300,"Bestücken")*$C$6+SUMIFS(Kit_BOM!$F$2:$F$300,Kit_BOM!$E$2:$E$300,$A82,Kit_BOM!$A$2:$A$300,$A$6,Kit_BOM!$G$2:$G$300,"Mechanical")*$C$6+IF($F$5="Ja",SUMIFS(Kit_BOM!$F$2:$F$300,Kit_BOM!$E$2:$E$300,$A82,Kit_BOM!$A$2:$A$300,$A$6,Kit_BOM!$G$2:$G$300,"Optional")*$C$6,0)+IF($F$6="Ja",SUMIFS(Kit_BOM!$F$2:$F$300,Kit_BOM!$E$2:$E$300,$A82,Kit_BOM!$A$2:$A$300,$A$6,Kit_BOM!$G$2:$G$300,"DNP")*$C$6,0)+SUMIFS(Kit_BOM!$F$2:$F$300,Kit_BOM!$E$2:$E$300,$A82,Kit_BOM!$A$2:$A$300,$A$7,Kit_BOM!$G$2:$G$300,"Bestücken")*$C$7+SUMIFS(Kit_BOM!$F$2:$F$300,Kit_BOM!$E$2:$E$300,$A82,Kit_BOM!$A$2:$A$300,$A$7,Kit_BOM!$G$2:$G$300,"Mechanical")*$C$7+IF($F$5="Ja",SUMIFS(Kit_BOM!$F$2:$F$300,Kit_BOM!$E$2:$E$300,$A82,Kit_BOM!$A$2:$A$300,$A$7,Kit_BOM!$G$2:$G$300,"Optional")*$C$7,0)+IF($F$6="Ja",SUMIFS(Kit_BOM!$F$2:$F$300,Kit_BOM!$E$2:$E$300,$A82,Kit_BOM!$A$2:$A$300,$A$7,Kit_BOM!$G$2:$G$300,"DNP")*$C$7,0)+SUMIFS(Kit_BOM!$F$2:$F$300,Kit_BOM!$E$2:$E$300,$A82,Kit_BOM!$A$2:$A$300,$A$8,Kit_BOM!$G$2:$G$300,"Bestücken")*$C$8+SUMIFS(Kit_BOM!$F$2:$F$300,Kit_BOM!$E$2:$E$300,$A82,Kit_BOM!$A$2:$A$300,$A$8,Kit_BOM!$G$2:$G$300,"Mechanical")*$C$8+IF($F$5="Ja",SUMIFS(Kit_BOM!$F$2:$F$300,Kit_BOM!$E$2:$E$300,$A82,Kit_BOM!$A$2:$A$300,$A$8,Kit_BOM!$G$2:$G$300,"Optional")*$C$8,0)+IF($F$6="Ja",SUMIFS(Kit_BOM!$F$2:$F$300,Kit_BOM!$E$2:$E$300,$A82,Kit_BOM!$A$2:$A$300,$A$8,Kit_BOM!$G$2:$G$300,"DNP")*$C$8,0)+SUMIFS(Kit_BOM!$F$2:$F$300,Kit_BOM!$E$2:$E$300,$A82,Kit_BOM!$A$2:$A$300,$A$9,Kit_BOM!$G$2:$G$300,"Bestücken")*$C$9+SUMIFS(Kit_BOM!$F$2:$F$300,Kit_BOM!$E$2:$E$300,$A82,Kit_BOM!$A$2:$A$300,$A$9,Kit_BOM!$G$2:$G$300,"Mechanical")*$C$9+IF($F$5="Ja",SUMIFS(Kit_BOM!$F$2:$F$300,Kit_BOM!$E$2:$E$300,$A82,Kit_BOM!$A$2:$A$300,$A$9,Kit_BOM!$G$2:$G$300,"Optional")*$C$9,0)+IF($F$6="Ja",SUMIFS(Kit_BOM!$F$2:$F$300,Kit_BOM!$E$2:$E$300,$A82,Kit_BOM!$A$2:$A$300,$A$9,Kit_BOM!$G$2:$G$300,"DNP")*$C$9,0)+SUMIFS(Kit_BOM!$F$2:$F$300,Kit_BOM!$E$2:$E$300,$A82,Kit_BOM!$A$2:$A$300,$A$10,Kit_BOM!$G$2:$G$300,"Bestücken")*$C$10+SUMIFS(Kit_BOM!$F$2:$F$300,Kit_BOM!$E$2:$E$300,$A82,Kit_BOM!$A$2:$A$300,$A$10,Kit_BOM!$G$2:$G$300,"Mechanical")*$C$10+IF($F$5="Ja",SUMIFS(Kit_BOM!$F$2:$F$300,Kit_BOM!$E$2:$E$300,$A82,Kit_BOM!$A$2:$A$300,$A$10,Kit_BOM!$G$2:$G$300,"Optional")*$C$10,0)+IF($F$6="Ja",SUMIFS(Kit_BOM!$F$2:$F$300,Kit_BOM!$E$2:$E$300,$A82,Kit_BOM!$A$2:$A$300,$A$10,Kit_BOM!$G$2:$G$300,"DNP")*$C$10,0)+SUMIFS(Kit_BOM!$F$2:$F$300,Kit_BOM!$E$2:$E$300,$A82,Kit_BOM!$A$2:$A$300,$A$11,Kit_BOM!$G$2:$G$300,"Bestücken")*$C$11+SUMIFS(Kit_BOM!$F$2:$F$300,Kit_BOM!$E$2:$E$300,$A82,Kit_BOM!$A$2:$A$300,$A$11,Kit_BOM!$G$2:$G$300,"Mechanical")*$C$11+IF($F$5="Ja",SUMIFS(Kit_BOM!$F$2:$F$300,Kit_BOM!$E$2:$E$300,$A82,Kit_BOM!$A$2:$A$300,$A$11,Kit_BOM!$G$2:$G$300,"Optional")*$C$11,0)+IF($F$6="Ja",SUMIFS(Kit_BOM!$F$2:$F$300,Kit_BOM!$E$2:$E$300,$A82,Kit_BOM!$A$2:$A$300,$A$11,Kit_BOM!$G$2:$G$300,"DNP")*$C$11,0)+SUMIFS(Kit_BOM!$F$2:$F$300,Kit_BOM!$E$2:$E$300,$A82,Kit_BOM!$A$2:$A$300,$A$12,Kit_BOM!$G$2:$G$300,"Bestücken")*$C$12+SUMIFS(Kit_BOM!$F$2:$F$300,Kit_BOM!$E$2:$E$300,$A82,Kit_BOM!$A$2:$A$300,$A$12,Kit_BOM!$G$2:$G$300,"Mechanical")*$C$12+IF($F$5="Ja",SUMIFS(Kit_BOM!$F$2:$F$300,Kit_BOM!$E$2:$E$300,$A82,Kit_BOM!$A$2:$A$300,$A$12,Kit_BOM!$G$2:$G$300,"Optional")*$C$12,0)+IF($F$6="Ja",SUMIFS(Kit_BOM!$F$2:$F$300,Kit_BOM!$E$2:$E$300,$A82,Kit_BOM!$A$2:$A$300,$A$12,Kit_BOM!$G$2:$G$300,"DNP")*$C$12,0)+SUMIFS(Kit_BOM!$F$2:$F$300,Kit_BOM!$E$2:$E$300,$A82,Kit_BOM!$A$2:$A$300,$H$5,Kit_BOM!$G$2:$G$300,"Bestücken")*$J$5+SUMIFS(Kit_BOM!$F$2:$F$300,Kit_BOM!$E$2:$E$300,$A82,Kit_BOM!$A$2:$A$300,$H$5,Kit_BOM!$G$2:$G$300,"Mechanical")*$J$5+IF($F$5="Ja",SUMIFS(Kit_BOM!$F$2:$F$300,Kit_BOM!$E$2:$E$300,$A82,Kit_BOM!$A$2:$A$300,$H$5,Kit_BOM!$G$2:$G$300,"Optional")*$J$5,0)+IF($F$6="Ja",SUMIFS(Kit_BOM!$F$2:$F$300,Kit_BOM!$E$2:$E$300,$A82,Kit_BOM!$A$2:$A$300,$H$5,Kit_BOM!$G$2:$G$300,"DNP")*$J$5,0)+SUMIFS(Kit_BOM!$F$2:$F$300,Kit_BOM!$E$2:$E$300,$A82,Kit_BOM!$A$2:$A$300,$H$6,Kit_BOM!$G$2:$G$300,"Bestücken")*$J$6+SUMIFS(Kit_BOM!$F$2:$F$300,Kit_BOM!$E$2:$E$300,$A82,Kit_BOM!$A$2:$A$300,$H$6,Kit_BOM!$G$2:$G$300,"Mechanical")*$J$6+IF($F$5="Ja",SUMIFS(Kit_BOM!$F$2:$F$300,Kit_BOM!$E$2:$E$300,$A82,Kit_BOM!$A$2:$A$300,$H$6,Kit_BOM!$G$2:$G$300,"Optional")*$J$6,0)+IF($F$6="Ja",SUMIFS(Kit_BOM!$F$2:$F$300,Kit_BOM!$E$2:$E$300,$A82,Kit_BOM!$A$2:$A$300,$H$6,Kit_BOM!$G$2:$G$300,"DNP")*$J$6,0)</f>
        <v>1</v>
      </c>
      <c r="F82">
        <f>IFERROR(IF(_xlfn.XLOOKUP($A82&amp;"|Ja",Part_Suppliers!$L$2:$L$300,Part_Suppliers!$G$2:$G$300,"",0)=0,"",_xlfn.XLOOKUP($A82&amp;"|Ja",Part_Suppliers!$L$2:$L$300,Part_Suppliers!$G$2:$G$300,"",0)),"")</f>
        <v>1</v>
      </c>
      <c r="G82">
        <f t="shared" si="13"/>
        <v>1</v>
      </c>
      <c r="H82">
        <f>IFERROR(IF(_xlfn.XLOOKUP($A82&amp;"|Ja",Part_Suppliers!$L$2:$L$300,Part_Suppliers!$E$2:$E$300,"",0)=0,"",_xlfn.XLOOKUP($A82&amp;"|Ja",Part_Suppliers!$L$2:$L$300,Part_Suppliers!$E$2:$E$300,"",0)),"")</f>
        <v>2.04</v>
      </c>
      <c r="I82">
        <f t="shared" si="14"/>
        <v>2.04</v>
      </c>
      <c r="J82" t="str">
        <f>IF(AND(P82&gt;0,P82&lt;&gt;O82),"Manuelle Menge prüfen",IF(E82=0,"Nicht benötigt",IF(L82&lt;0,"Bestand klären",IF(O82=0,"Gedeckt",IF(OR(C82="",C82="Noch festlegen",D82=""),"Artikel offen",IF(H82="","Preis offen","Bestellvorschlag prüfen"))))))</f>
        <v>Bestellvorschlag prüfen</v>
      </c>
      <c r="K82" t="str">
        <f>IFERROR(IF(_xlfn.XLOOKUP($A82&amp;"|Ja",Part_Suppliers!$L$2:$L$300,Part_Suppliers!$D$2:$D$300,"",0)=0,"",_xlfn.XLOOKUP($A82&amp;"|Ja",Part_Suppliers!$L$2:$L$300,Part_Suppliers!$D$2:$D$300,"",0)),"")</f>
        <v>https://www.tme.eu/de/details/1503-09/klinken-steckverbinder/lumberg/1503-09/</v>
      </c>
      <c r="L82">
        <f>IFERROR(VLOOKUP($A82,Stock!$A$5:$K$200,10,FALSE()),0)</f>
        <v>0</v>
      </c>
      <c r="M82">
        <f>IFERROR(VLOOKUP($A82,Stock!$A$5:$K$200,11,FALSE()),0)</f>
        <v>0</v>
      </c>
      <c r="N82">
        <f t="shared" si="15"/>
        <v>-1</v>
      </c>
      <c r="O82">
        <f t="shared" si="16"/>
        <v>1</v>
      </c>
      <c r="P82">
        <v>0</v>
      </c>
      <c r="Q82">
        <f t="shared" si="17"/>
        <v>0</v>
      </c>
      <c r="R82">
        <f>SUMIFS(Part_Alternatives!$H$2:$H$200,Part_Alternatives!$A$2:$A$200,$A82,Part_Alternatives!$E$2:$E$200,"Ja")</f>
        <v>0</v>
      </c>
      <c r="S82">
        <f>SUMIFS(Part_Alternatives!$I$2:$I$200,Part_Alternatives!$A$2:$A$200,$A82,Part_Alternatives!$E$2:$E$200,"Ja")</f>
        <v>0</v>
      </c>
      <c r="T82" t="str">
        <f>IFERROR(VLOOKUP($A82,Part_Alternatives!$A$2:$K$200,10,FALSE()),"")</f>
        <v/>
      </c>
    </row>
    <row r="83" spans="1:20" hidden="1" x14ac:dyDescent="0.15">
      <c r="A83" t="s">
        <v>1011</v>
      </c>
      <c r="B83" t="str">
        <f>IFERROR(VLOOKUP($A83,Parts!$A$2:$M$191,3,FALSE()),"")</f>
        <v>EnvNode Mini PCB Rev 0.8</v>
      </c>
      <c r="C83" t="str">
        <f>IFERROR(IF(_xlfn.XLOOKUP($A83&amp;"|Ja",Part_Suppliers!$L$2:$L$300,Part_Suppliers!$B$2:$B$300,"",0)=0,"",_xlfn.XLOOKUP($A83&amp;"|Ja",Part_Suppliers!$L$2:$L$300,Part_Suppliers!$B$2:$B$300,"",0)),"")</f>
        <v>JLCPCB</v>
      </c>
      <c r="D83" t="str">
        <f>IFERROR(IF(_xlfn.XLOOKUP($A83&amp;"|Ja",Part_Suppliers!$L$2:$L$300,Part_Suppliers!$C$2:$C$300,"",0)=0,"",_xlfn.XLOOKUP($A83&amp;"|Ja",Part_Suppliers!$L$2:$L$300,Part_Suppliers!$C$2:$C$300,"",0)),"")</f>
        <v/>
      </c>
      <c r="E83">
        <f>SUMIFS(Kit_BOM!$F$2:$F$300,Kit_BOM!$E$2:$E$300,$A83,Kit_BOM!$A$2:$A$300,$A$5,Kit_BOM!$G$2:$G$300,"Bestücken")*$C$5+SUMIFS(Kit_BOM!$F$2:$F$300,Kit_BOM!$E$2:$E$300,$A83,Kit_BOM!$A$2:$A$300,$A$5,Kit_BOM!$G$2:$G$300,"Mechanical")*$C$5+IF($F$5="Ja",SUMIFS(Kit_BOM!$F$2:$F$300,Kit_BOM!$E$2:$E$300,$A83,Kit_BOM!$A$2:$A$300,$A$5,Kit_BOM!$G$2:$G$300,"Optional")*$C$5,0)+IF($F$6="Ja",SUMIFS(Kit_BOM!$F$2:$F$300,Kit_BOM!$E$2:$E$300,$A83,Kit_BOM!$A$2:$A$300,$A$5,Kit_BOM!$G$2:$G$300,"DNP")*$C$5,0)+SUMIFS(Kit_BOM!$F$2:$F$300,Kit_BOM!$E$2:$E$300,$A83,Kit_BOM!$A$2:$A$300,$A$6,Kit_BOM!$G$2:$G$300,"Bestücken")*$C$6+SUMIFS(Kit_BOM!$F$2:$F$300,Kit_BOM!$E$2:$E$300,$A83,Kit_BOM!$A$2:$A$300,$A$6,Kit_BOM!$G$2:$G$300,"Mechanical")*$C$6+IF($F$5="Ja",SUMIFS(Kit_BOM!$F$2:$F$300,Kit_BOM!$E$2:$E$300,$A83,Kit_BOM!$A$2:$A$300,$A$6,Kit_BOM!$G$2:$G$300,"Optional")*$C$6,0)+IF($F$6="Ja",SUMIFS(Kit_BOM!$F$2:$F$300,Kit_BOM!$E$2:$E$300,$A83,Kit_BOM!$A$2:$A$300,$A$6,Kit_BOM!$G$2:$G$300,"DNP")*$C$6,0)+SUMIFS(Kit_BOM!$F$2:$F$300,Kit_BOM!$E$2:$E$300,$A83,Kit_BOM!$A$2:$A$300,$A$7,Kit_BOM!$G$2:$G$300,"Bestücken")*$C$7+SUMIFS(Kit_BOM!$F$2:$F$300,Kit_BOM!$E$2:$E$300,$A83,Kit_BOM!$A$2:$A$300,$A$7,Kit_BOM!$G$2:$G$300,"Mechanical")*$C$7+IF($F$5="Ja",SUMIFS(Kit_BOM!$F$2:$F$300,Kit_BOM!$E$2:$E$300,$A83,Kit_BOM!$A$2:$A$300,$A$7,Kit_BOM!$G$2:$G$300,"Optional")*$C$7,0)+IF($F$6="Ja",SUMIFS(Kit_BOM!$F$2:$F$300,Kit_BOM!$E$2:$E$300,$A83,Kit_BOM!$A$2:$A$300,$A$7,Kit_BOM!$G$2:$G$300,"DNP")*$C$7,0)+SUMIFS(Kit_BOM!$F$2:$F$300,Kit_BOM!$E$2:$E$300,$A83,Kit_BOM!$A$2:$A$300,$A$8,Kit_BOM!$G$2:$G$300,"Bestücken")*$C$8+SUMIFS(Kit_BOM!$F$2:$F$300,Kit_BOM!$E$2:$E$300,$A83,Kit_BOM!$A$2:$A$300,$A$8,Kit_BOM!$G$2:$G$300,"Mechanical")*$C$8+IF($F$5="Ja",SUMIFS(Kit_BOM!$F$2:$F$300,Kit_BOM!$E$2:$E$300,$A83,Kit_BOM!$A$2:$A$300,$A$8,Kit_BOM!$G$2:$G$300,"Optional")*$C$8,0)+IF($F$6="Ja",SUMIFS(Kit_BOM!$F$2:$F$300,Kit_BOM!$E$2:$E$300,$A83,Kit_BOM!$A$2:$A$300,$A$8,Kit_BOM!$G$2:$G$300,"DNP")*$C$8,0)+SUMIFS(Kit_BOM!$F$2:$F$300,Kit_BOM!$E$2:$E$300,$A83,Kit_BOM!$A$2:$A$300,$A$9,Kit_BOM!$G$2:$G$300,"Bestücken")*$C$9+SUMIFS(Kit_BOM!$F$2:$F$300,Kit_BOM!$E$2:$E$300,$A83,Kit_BOM!$A$2:$A$300,$A$9,Kit_BOM!$G$2:$G$300,"Mechanical")*$C$9+IF($F$5="Ja",SUMIFS(Kit_BOM!$F$2:$F$300,Kit_BOM!$E$2:$E$300,$A83,Kit_BOM!$A$2:$A$300,$A$9,Kit_BOM!$G$2:$G$300,"Optional")*$C$9,0)+IF($F$6="Ja",SUMIFS(Kit_BOM!$F$2:$F$300,Kit_BOM!$E$2:$E$300,$A83,Kit_BOM!$A$2:$A$300,$A$9,Kit_BOM!$G$2:$G$300,"DNP")*$C$9,0)+SUMIFS(Kit_BOM!$F$2:$F$300,Kit_BOM!$E$2:$E$300,$A83,Kit_BOM!$A$2:$A$300,$A$10,Kit_BOM!$G$2:$G$300,"Bestücken")*$C$10+SUMIFS(Kit_BOM!$F$2:$F$300,Kit_BOM!$E$2:$E$300,$A83,Kit_BOM!$A$2:$A$300,$A$10,Kit_BOM!$G$2:$G$300,"Mechanical")*$C$10+IF($F$5="Ja",SUMIFS(Kit_BOM!$F$2:$F$300,Kit_BOM!$E$2:$E$300,$A83,Kit_BOM!$A$2:$A$300,$A$10,Kit_BOM!$G$2:$G$300,"Optional")*$C$10,0)+IF($F$6="Ja",SUMIFS(Kit_BOM!$F$2:$F$300,Kit_BOM!$E$2:$E$300,$A83,Kit_BOM!$A$2:$A$300,$A$10,Kit_BOM!$G$2:$G$300,"DNP")*$C$10,0)+SUMIFS(Kit_BOM!$F$2:$F$300,Kit_BOM!$E$2:$E$300,$A83,Kit_BOM!$A$2:$A$300,$A$11,Kit_BOM!$G$2:$G$300,"Bestücken")*$C$11+SUMIFS(Kit_BOM!$F$2:$F$300,Kit_BOM!$E$2:$E$300,$A83,Kit_BOM!$A$2:$A$300,$A$11,Kit_BOM!$G$2:$G$300,"Mechanical")*$C$11+IF($F$5="Ja",SUMIFS(Kit_BOM!$F$2:$F$300,Kit_BOM!$E$2:$E$300,$A83,Kit_BOM!$A$2:$A$300,$A$11,Kit_BOM!$G$2:$G$300,"Optional")*$C$11,0)+IF($F$6="Ja",SUMIFS(Kit_BOM!$F$2:$F$300,Kit_BOM!$E$2:$E$300,$A83,Kit_BOM!$A$2:$A$300,$A$11,Kit_BOM!$G$2:$G$300,"DNP")*$C$11,0)+SUMIFS(Kit_BOM!$F$2:$F$300,Kit_BOM!$E$2:$E$300,$A83,Kit_BOM!$A$2:$A$300,$A$12,Kit_BOM!$G$2:$G$300,"Bestücken")*$C$12+SUMIFS(Kit_BOM!$F$2:$F$300,Kit_BOM!$E$2:$E$300,$A83,Kit_BOM!$A$2:$A$300,$A$12,Kit_BOM!$G$2:$G$300,"Mechanical")*$C$12+IF($F$5="Ja",SUMIFS(Kit_BOM!$F$2:$F$300,Kit_BOM!$E$2:$E$300,$A83,Kit_BOM!$A$2:$A$300,$A$12,Kit_BOM!$G$2:$G$300,"Optional")*$C$12,0)+IF($F$6="Ja",SUMIFS(Kit_BOM!$F$2:$F$300,Kit_BOM!$E$2:$E$300,$A83,Kit_BOM!$A$2:$A$300,$A$12,Kit_BOM!$G$2:$G$300,"DNP")*$C$12,0)+SUMIFS(Kit_BOM!$F$2:$F$300,Kit_BOM!$E$2:$E$300,$A83,Kit_BOM!$A$2:$A$300,$H$5,Kit_BOM!$G$2:$G$300,"Bestücken")*$J$5+SUMIFS(Kit_BOM!$F$2:$F$300,Kit_BOM!$E$2:$E$300,$A83,Kit_BOM!$A$2:$A$300,$H$5,Kit_BOM!$G$2:$G$300,"Mechanical")*$J$5+IF($F$5="Ja",SUMIFS(Kit_BOM!$F$2:$F$300,Kit_BOM!$E$2:$E$300,$A83,Kit_BOM!$A$2:$A$300,$H$5,Kit_BOM!$G$2:$G$300,"Optional")*$J$5,0)+IF($F$6="Ja",SUMIFS(Kit_BOM!$F$2:$F$300,Kit_BOM!$E$2:$E$300,$A83,Kit_BOM!$A$2:$A$300,$H$5,Kit_BOM!$G$2:$G$300,"DNP")*$J$5,0)+SUMIFS(Kit_BOM!$F$2:$F$300,Kit_BOM!$E$2:$E$300,$A83,Kit_BOM!$A$2:$A$300,$H$6,Kit_BOM!$G$2:$G$300,"Bestücken")*$J$6+SUMIFS(Kit_BOM!$F$2:$F$300,Kit_BOM!$E$2:$E$300,$A83,Kit_BOM!$A$2:$A$300,$H$6,Kit_BOM!$G$2:$G$300,"Mechanical")*$J$6+IF($F$5="Ja",SUMIFS(Kit_BOM!$F$2:$F$300,Kit_BOM!$E$2:$E$300,$A83,Kit_BOM!$A$2:$A$300,$H$6,Kit_BOM!$G$2:$G$300,"Optional")*$J$6,0)+IF($F$6="Ja",SUMIFS(Kit_BOM!$F$2:$F$300,Kit_BOM!$E$2:$E$300,$A83,Kit_BOM!$A$2:$A$300,$H$6,Kit_BOM!$G$2:$G$300,"DNP")*$J$6,0)</f>
        <v>2</v>
      </c>
      <c r="F83">
        <f>IFERROR(IF(_xlfn.XLOOKUP($A83&amp;"|Ja",Part_Suppliers!$L$2:$L$300,Part_Suppliers!$G$2:$G$300,"",0)=0,"",_xlfn.XLOOKUP($A83&amp;"|Ja",Part_Suppliers!$L$2:$L$300,Part_Suppliers!$G$2:$G$300,"",0)),"")</f>
        <v>5</v>
      </c>
      <c r="G83">
        <f t="shared" si="13"/>
        <v>5</v>
      </c>
      <c r="H83" t="str">
        <f>IFERROR(IF(_xlfn.XLOOKUP($A83&amp;"|Ja",Part_Suppliers!$L$2:$L$300,Part_Suppliers!$E$2:$E$300,"",0)=0,"",_xlfn.XLOOKUP($A83&amp;"|Ja",Part_Suppliers!$L$2:$L$300,Part_Suppliers!$E$2:$E$300,"",0)),"")</f>
        <v/>
      </c>
      <c r="I83" t="str">
        <f t="shared" si="14"/>
        <v/>
      </c>
      <c r="J83" t="str">
        <f>IF(AND(P83&gt;0,P83&lt;&gt;O83),"Manuelle Menge prüfen",IF(E83=0,"Nicht benötigt",IF(L83&lt;0,"Bestand klären",IF(O83=0,"Gedeckt","PCB-Auftrag prüfen"))))</f>
        <v>PCB-Auftrag prüfen</v>
      </c>
      <c r="K83" t="str">
        <f>IFERROR(IF(_xlfn.XLOOKUP($A83&amp;"|Ja",Part_Suppliers!$L$2:$L$300,Part_Suppliers!$D$2:$D$300,"",0)=0,"",_xlfn.XLOOKUP($A83&amp;"|Ja",Part_Suppliers!$L$2:$L$300,Part_Suppliers!$D$2:$D$300,"",0)),"")</f>
        <v>https://jlcpcb.com/</v>
      </c>
      <c r="L83">
        <f>IFERROR(VLOOKUP($A83,Stock!$A$5:$K$200,10,FALSE()),0)</f>
        <v>0</v>
      </c>
      <c r="M83">
        <f>IFERROR(VLOOKUP($A83,Stock!$A$5:$K$200,11,FALSE()),0)</f>
        <v>0</v>
      </c>
      <c r="N83">
        <f t="shared" si="15"/>
        <v>-2</v>
      </c>
      <c r="O83">
        <f t="shared" si="16"/>
        <v>5</v>
      </c>
      <c r="P83">
        <v>0</v>
      </c>
      <c r="Q83">
        <f t="shared" si="17"/>
        <v>0</v>
      </c>
      <c r="R83">
        <f>SUMIFS(Part_Alternatives!$H$2:$H$200,Part_Alternatives!$A$2:$A$200,$A83,Part_Alternatives!$E$2:$E$200,"Ja")</f>
        <v>0</v>
      </c>
      <c r="S83">
        <f>SUMIFS(Part_Alternatives!$I$2:$I$200,Part_Alternatives!$A$2:$A$200,$A83,Part_Alternatives!$E$2:$E$200,"Ja")</f>
        <v>0</v>
      </c>
      <c r="T83" t="str">
        <f>IFERROR(VLOOKUP($A83,Part_Alternatives!$A$2:$K$200,10,FALSE()),"")</f>
        <v/>
      </c>
    </row>
    <row r="84" spans="1:20" hidden="1" x14ac:dyDescent="0.15">
      <c r="A84" t="s">
        <v>1018</v>
      </c>
      <c r="B84" t="str">
        <f>IFERROR(VLOOKUP($A84,Parts!$A$2:$M$191,3,FALSE()),"")</f>
        <v>EnvNode Weatherstation PCB Rev 0.2</v>
      </c>
      <c r="C84" t="str">
        <f>IFERROR(IF(_xlfn.XLOOKUP($A84&amp;"|Ja",Part_Suppliers!$L$2:$L$300,Part_Suppliers!$B$2:$B$300,"",0)=0,"",_xlfn.XLOOKUP($A84&amp;"|Ja",Part_Suppliers!$L$2:$L$300,Part_Suppliers!$B$2:$B$300,"",0)),"")</f>
        <v>JLCPCB</v>
      </c>
      <c r="D84" t="str">
        <f>IFERROR(IF(_xlfn.XLOOKUP($A84&amp;"|Ja",Part_Suppliers!$L$2:$L$300,Part_Suppliers!$C$2:$C$300,"",0)=0,"",_xlfn.XLOOKUP($A84&amp;"|Ja",Part_Suppliers!$L$2:$L$300,Part_Suppliers!$C$2:$C$300,"",0)),"")</f>
        <v/>
      </c>
      <c r="E84">
        <f>SUMIFS(Kit_BOM!$F$2:$F$300,Kit_BOM!$E$2:$E$300,$A84,Kit_BOM!$A$2:$A$300,$A$5,Kit_BOM!$G$2:$G$300,"Bestücken")*$C$5+SUMIFS(Kit_BOM!$F$2:$F$300,Kit_BOM!$E$2:$E$300,$A84,Kit_BOM!$A$2:$A$300,$A$5,Kit_BOM!$G$2:$G$300,"Mechanical")*$C$5+IF($F$5="Ja",SUMIFS(Kit_BOM!$F$2:$F$300,Kit_BOM!$E$2:$E$300,$A84,Kit_BOM!$A$2:$A$300,$A$5,Kit_BOM!$G$2:$G$300,"Optional")*$C$5,0)+IF($F$6="Ja",SUMIFS(Kit_BOM!$F$2:$F$300,Kit_BOM!$E$2:$E$300,$A84,Kit_BOM!$A$2:$A$300,$A$5,Kit_BOM!$G$2:$G$300,"DNP")*$C$5,0)+SUMIFS(Kit_BOM!$F$2:$F$300,Kit_BOM!$E$2:$E$300,$A84,Kit_BOM!$A$2:$A$300,$A$6,Kit_BOM!$G$2:$G$300,"Bestücken")*$C$6+SUMIFS(Kit_BOM!$F$2:$F$300,Kit_BOM!$E$2:$E$300,$A84,Kit_BOM!$A$2:$A$300,$A$6,Kit_BOM!$G$2:$G$300,"Mechanical")*$C$6+IF($F$5="Ja",SUMIFS(Kit_BOM!$F$2:$F$300,Kit_BOM!$E$2:$E$300,$A84,Kit_BOM!$A$2:$A$300,$A$6,Kit_BOM!$G$2:$G$300,"Optional")*$C$6,0)+IF($F$6="Ja",SUMIFS(Kit_BOM!$F$2:$F$300,Kit_BOM!$E$2:$E$300,$A84,Kit_BOM!$A$2:$A$300,$A$6,Kit_BOM!$G$2:$G$300,"DNP")*$C$6,0)+SUMIFS(Kit_BOM!$F$2:$F$300,Kit_BOM!$E$2:$E$300,$A84,Kit_BOM!$A$2:$A$300,$A$7,Kit_BOM!$G$2:$G$300,"Bestücken")*$C$7+SUMIFS(Kit_BOM!$F$2:$F$300,Kit_BOM!$E$2:$E$300,$A84,Kit_BOM!$A$2:$A$300,$A$7,Kit_BOM!$G$2:$G$300,"Mechanical")*$C$7+IF($F$5="Ja",SUMIFS(Kit_BOM!$F$2:$F$300,Kit_BOM!$E$2:$E$300,$A84,Kit_BOM!$A$2:$A$300,$A$7,Kit_BOM!$G$2:$G$300,"Optional")*$C$7,0)+IF($F$6="Ja",SUMIFS(Kit_BOM!$F$2:$F$300,Kit_BOM!$E$2:$E$300,$A84,Kit_BOM!$A$2:$A$300,$A$7,Kit_BOM!$G$2:$G$300,"DNP")*$C$7,0)+SUMIFS(Kit_BOM!$F$2:$F$300,Kit_BOM!$E$2:$E$300,$A84,Kit_BOM!$A$2:$A$300,$A$8,Kit_BOM!$G$2:$G$300,"Bestücken")*$C$8+SUMIFS(Kit_BOM!$F$2:$F$300,Kit_BOM!$E$2:$E$300,$A84,Kit_BOM!$A$2:$A$300,$A$8,Kit_BOM!$G$2:$G$300,"Mechanical")*$C$8+IF($F$5="Ja",SUMIFS(Kit_BOM!$F$2:$F$300,Kit_BOM!$E$2:$E$300,$A84,Kit_BOM!$A$2:$A$300,$A$8,Kit_BOM!$G$2:$G$300,"Optional")*$C$8,0)+IF($F$6="Ja",SUMIFS(Kit_BOM!$F$2:$F$300,Kit_BOM!$E$2:$E$300,$A84,Kit_BOM!$A$2:$A$300,$A$8,Kit_BOM!$G$2:$G$300,"DNP")*$C$8,0)+SUMIFS(Kit_BOM!$F$2:$F$300,Kit_BOM!$E$2:$E$300,$A84,Kit_BOM!$A$2:$A$300,$A$9,Kit_BOM!$G$2:$G$300,"Bestücken")*$C$9+SUMIFS(Kit_BOM!$F$2:$F$300,Kit_BOM!$E$2:$E$300,$A84,Kit_BOM!$A$2:$A$300,$A$9,Kit_BOM!$G$2:$G$300,"Mechanical")*$C$9+IF($F$5="Ja",SUMIFS(Kit_BOM!$F$2:$F$300,Kit_BOM!$E$2:$E$300,$A84,Kit_BOM!$A$2:$A$300,$A$9,Kit_BOM!$G$2:$G$300,"Optional")*$C$9,0)+IF($F$6="Ja",SUMIFS(Kit_BOM!$F$2:$F$300,Kit_BOM!$E$2:$E$300,$A84,Kit_BOM!$A$2:$A$300,$A$9,Kit_BOM!$G$2:$G$300,"DNP")*$C$9,0)+SUMIFS(Kit_BOM!$F$2:$F$300,Kit_BOM!$E$2:$E$300,$A84,Kit_BOM!$A$2:$A$300,$A$10,Kit_BOM!$G$2:$G$300,"Bestücken")*$C$10+SUMIFS(Kit_BOM!$F$2:$F$300,Kit_BOM!$E$2:$E$300,$A84,Kit_BOM!$A$2:$A$300,$A$10,Kit_BOM!$G$2:$G$300,"Mechanical")*$C$10+IF($F$5="Ja",SUMIFS(Kit_BOM!$F$2:$F$300,Kit_BOM!$E$2:$E$300,$A84,Kit_BOM!$A$2:$A$300,$A$10,Kit_BOM!$G$2:$G$300,"Optional")*$C$10,0)+IF($F$6="Ja",SUMIFS(Kit_BOM!$F$2:$F$300,Kit_BOM!$E$2:$E$300,$A84,Kit_BOM!$A$2:$A$300,$A$10,Kit_BOM!$G$2:$G$300,"DNP")*$C$10,0)+SUMIFS(Kit_BOM!$F$2:$F$300,Kit_BOM!$E$2:$E$300,$A84,Kit_BOM!$A$2:$A$300,$A$11,Kit_BOM!$G$2:$G$300,"Bestücken")*$C$11+SUMIFS(Kit_BOM!$F$2:$F$300,Kit_BOM!$E$2:$E$300,$A84,Kit_BOM!$A$2:$A$300,$A$11,Kit_BOM!$G$2:$G$300,"Mechanical")*$C$11+IF($F$5="Ja",SUMIFS(Kit_BOM!$F$2:$F$300,Kit_BOM!$E$2:$E$300,$A84,Kit_BOM!$A$2:$A$300,$A$11,Kit_BOM!$G$2:$G$300,"Optional")*$C$11,0)+IF($F$6="Ja",SUMIFS(Kit_BOM!$F$2:$F$300,Kit_BOM!$E$2:$E$300,$A84,Kit_BOM!$A$2:$A$300,$A$11,Kit_BOM!$G$2:$G$300,"DNP")*$C$11,0)+SUMIFS(Kit_BOM!$F$2:$F$300,Kit_BOM!$E$2:$E$300,$A84,Kit_BOM!$A$2:$A$300,$A$12,Kit_BOM!$G$2:$G$300,"Bestücken")*$C$12+SUMIFS(Kit_BOM!$F$2:$F$300,Kit_BOM!$E$2:$E$300,$A84,Kit_BOM!$A$2:$A$300,$A$12,Kit_BOM!$G$2:$G$300,"Mechanical")*$C$12+IF($F$5="Ja",SUMIFS(Kit_BOM!$F$2:$F$300,Kit_BOM!$E$2:$E$300,$A84,Kit_BOM!$A$2:$A$300,$A$12,Kit_BOM!$G$2:$G$300,"Optional")*$C$12,0)+IF($F$6="Ja",SUMIFS(Kit_BOM!$F$2:$F$300,Kit_BOM!$E$2:$E$300,$A84,Kit_BOM!$A$2:$A$300,$A$12,Kit_BOM!$G$2:$G$300,"DNP")*$C$12,0)+SUMIFS(Kit_BOM!$F$2:$F$300,Kit_BOM!$E$2:$E$300,$A84,Kit_BOM!$A$2:$A$300,$H$5,Kit_BOM!$G$2:$G$300,"Bestücken")*$J$5+SUMIFS(Kit_BOM!$F$2:$F$300,Kit_BOM!$E$2:$E$300,$A84,Kit_BOM!$A$2:$A$300,$H$5,Kit_BOM!$G$2:$G$300,"Mechanical")*$J$5+IF($F$5="Ja",SUMIFS(Kit_BOM!$F$2:$F$300,Kit_BOM!$E$2:$E$300,$A84,Kit_BOM!$A$2:$A$300,$H$5,Kit_BOM!$G$2:$G$300,"Optional")*$J$5,0)+IF($F$6="Ja",SUMIFS(Kit_BOM!$F$2:$F$300,Kit_BOM!$E$2:$E$300,$A84,Kit_BOM!$A$2:$A$300,$H$5,Kit_BOM!$G$2:$G$300,"DNP")*$J$5,0)+SUMIFS(Kit_BOM!$F$2:$F$300,Kit_BOM!$E$2:$E$300,$A84,Kit_BOM!$A$2:$A$300,$H$6,Kit_BOM!$G$2:$G$300,"Bestücken")*$J$6+SUMIFS(Kit_BOM!$F$2:$F$300,Kit_BOM!$E$2:$E$300,$A84,Kit_BOM!$A$2:$A$300,$H$6,Kit_BOM!$G$2:$G$300,"Mechanical")*$J$6+IF($F$5="Ja",SUMIFS(Kit_BOM!$F$2:$F$300,Kit_BOM!$E$2:$E$300,$A84,Kit_BOM!$A$2:$A$300,$H$6,Kit_BOM!$G$2:$G$300,"Optional")*$J$6,0)+IF($F$6="Ja",SUMIFS(Kit_BOM!$F$2:$F$300,Kit_BOM!$E$2:$E$300,$A84,Kit_BOM!$A$2:$A$300,$H$6,Kit_BOM!$G$2:$G$300,"DNP")*$J$6,0)</f>
        <v>2</v>
      </c>
      <c r="F84">
        <f>IFERROR(IF(_xlfn.XLOOKUP($A84&amp;"|Ja",Part_Suppliers!$L$2:$L$300,Part_Suppliers!$G$2:$G$300,"",0)=0,"",_xlfn.XLOOKUP($A84&amp;"|Ja",Part_Suppliers!$L$2:$L$300,Part_Suppliers!$G$2:$G$300,"",0)),"")</f>
        <v>5</v>
      </c>
      <c r="G84">
        <f t="shared" si="13"/>
        <v>5</v>
      </c>
      <c r="H84" t="str">
        <f>IFERROR(IF(_xlfn.XLOOKUP($A84&amp;"|Ja",Part_Suppliers!$L$2:$L$300,Part_Suppliers!$E$2:$E$300,"",0)=0,"",_xlfn.XLOOKUP($A84&amp;"|Ja",Part_Suppliers!$L$2:$L$300,Part_Suppliers!$E$2:$E$300,"",0)),"")</f>
        <v/>
      </c>
      <c r="I84" t="str">
        <f t="shared" si="14"/>
        <v/>
      </c>
      <c r="J84" t="str">
        <f>IF(AND(P84&gt;0,P84&lt;&gt;O84),"Manuelle Menge prüfen",IF(E84=0,"Nicht benötigt",IF(L84&lt;0,"Bestand klären",IF(O84=0,"Gedeckt","PCB-Auftrag prüfen"))))</f>
        <v>PCB-Auftrag prüfen</v>
      </c>
      <c r="K84" t="str">
        <f>IFERROR(IF(_xlfn.XLOOKUP($A84&amp;"|Ja",Part_Suppliers!$L$2:$L$300,Part_Suppliers!$D$2:$D$300,"",0)=0,"",_xlfn.XLOOKUP($A84&amp;"|Ja",Part_Suppliers!$L$2:$L$300,Part_Suppliers!$D$2:$D$300,"",0)),"")</f>
        <v>https://jlcpcb.com/</v>
      </c>
      <c r="L84">
        <f>IFERROR(VLOOKUP($A84,Stock!$A$5:$K$200,10,FALSE()),0)</f>
        <v>0</v>
      </c>
      <c r="M84">
        <f>IFERROR(VLOOKUP($A84,Stock!$A$5:$K$200,11,FALSE()),0)</f>
        <v>0</v>
      </c>
      <c r="N84">
        <f t="shared" si="15"/>
        <v>-2</v>
      </c>
      <c r="O84">
        <f t="shared" si="16"/>
        <v>5</v>
      </c>
      <c r="P84">
        <v>0</v>
      </c>
      <c r="Q84">
        <f t="shared" si="17"/>
        <v>0</v>
      </c>
      <c r="R84">
        <f>SUMIFS(Part_Alternatives!$H$2:$H$200,Part_Alternatives!$A$2:$A$200,$A84,Part_Alternatives!$E$2:$E$200,"Ja")</f>
        <v>0</v>
      </c>
      <c r="S84">
        <f>SUMIFS(Part_Alternatives!$I$2:$I$200,Part_Alternatives!$A$2:$A$200,$A84,Part_Alternatives!$E$2:$E$200,"Ja")</f>
        <v>0</v>
      </c>
      <c r="T84" t="str">
        <f>IFERROR(VLOOKUP($A84,Part_Alternatives!$A$2:$K$200,10,FALSE()),"")</f>
        <v/>
      </c>
    </row>
    <row r="85" spans="1:20" ht="15" hidden="1" x14ac:dyDescent="0.2">
      <c r="A85" t="s">
        <v>172</v>
      </c>
      <c r="B85" t="str">
        <f>IFERROR(VLOOKUP($A85,Parts!$A$2:$M$191,3,FALSE()),"")</f>
        <v>WEIPU SP13 Gehäusebuchse, 2-polig</v>
      </c>
      <c r="C85" t="str">
        <f>IFERROR(IF(_xlfn.XLOOKUP($A85&amp;"|Ja",Part_Suppliers!$L$2:$L$300,Part_Suppliers!$B$2:$B$300,"",0)=0,"",_xlfn.XLOOKUP($A85&amp;"|Ja",Part_Suppliers!$L$2:$L$300,Part_Suppliers!$B$2:$B$300,"",0)),"")</f>
        <v>TME</v>
      </c>
      <c r="D85" t="str">
        <f>IFERROR(IF(_xlfn.XLOOKUP($A85&amp;"|Ja",Part_Suppliers!$L$2:$L$300,Part_Suppliers!$C$2:$C$300,"",0)=0,"",_xlfn.XLOOKUP($A85&amp;"|Ja",Part_Suppliers!$L$2:$L$300,Part_Suppliers!$C$2:$C$300,"",0)),"")</f>
        <v>SP1312/S2</v>
      </c>
      <c r="E85">
        <f>SUMIFS(Kit_BOM!$F$2:$F$300,Kit_BOM!$E$2:$E$300,$A85,Kit_BOM!$A$2:$A$300,$A$5,Kit_BOM!$G$2:$G$300,"Bestücken")*$C$5+SUMIFS(Kit_BOM!$F$2:$F$300,Kit_BOM!$E$2:$E$300,$A85,Kit_BOM!$A$2:$A$300,$A$5,Kit_BOM!$G$2:$G$300,"Mechanical")*$C$5+IF($F$5="Ja",SUMIFS(Kit_BOM!$F$2:$F$300,Kit_BOM!$E$2:$E$300,$A85,Kit_BOM!$A$2:$A$300,$A$5,Kit_BOM!$G$2:$G$300,"Optional")*$C$5,0)+IF($F$6="Ja",SUMIFS(Kit_BOM!$F$2:$F$300,Kit_BOM!$E$2:$E$300,$A85,Kit_BOM!$A$2:$A$300,$A$5,Kit_BOM!$G$2:$G$300,"DNP")*$C$5,0)+SUMIFS(Kit_BOM!$F$2:$F$300,Kit_BOM!$E$2:$E$300,$A85,Kit_BOM!$A$2:$A$300,$A$6,Kit_BOM!$G$2:$G$300,"Bestücken")*$C$6+SUMIFS(Kit_BOM!$F$2:$F$300,Kit_BOM!$E$2:$E$300,$A85,Kit_BOM!$A$2:$A$300,$A$6,Kit_BOM!$G$2:$G$300,"Mechanical")*$C$6+IF($F$5="Ja",SUMIFS(Kit_BOM!$F$2:$F$300,Kit_BOM!$E$2:$E$300,$A85,Kit_BOM!$A$2:$A$300,$A$6,Kit_BOM!$G$2:$G$300,"Optional")*$C$6,0)+IF($F$6="Ja",SUMIFS(Kit_BOM!$F$2:$F$300,Kit_BOM!$E$2:$E$300,$A85,Kit_BOM!$A$2:$A$300,$A$6,Kit_BOM!$G$2:$G$300,"DNP")*$C$6,0)+SUMIFS(Kit_BOM!$F$2:$F$300,Kit_BOM!$E$2:$E$300,$A85,Kit_BOM!$A$2:$A$300,$A$7,Kit_BOM!$G$2:$G$300,"Bestücken")*$C$7+SUMIFS(Kit_BOM!$F$2:$F$300,Kit_BOM!$E$2:$E$300,$A85,Kit_BOM!$A$2:$A$300,$A$7,Kit_BOM!$G$2:$G$300,"Mechanical")*$C$7+IF($F$5="Ja",SUMIFS(Kit_BOM!$F$2:$F$300,Kit_BOM!$E$2:$E$300,$A85,Kit_BOM!$A$2:$A$300,$A$7,Kit_BOM!$G$2:$G$300,"Optional")*$C$7,0)+IF($F$6="Ja",SUMIFS(Kit_BOM!$F$2:$F$300,Kit_BOM!$E$2:$E$300,$A85,Kit_BOM!$A$2:$A$300,$A$7,Kit_BOM!$G$2:$G$300,"DNP")*$C$7,0)+SUMIFS(Kit_BOM!$F$2:$F$300,Kit_BOM!$E$2:$E$300,$A85,Kit_BOM!$A$2:$A$300,$A$8,Kit_BOM!$G$2:$G$300,"Bestücken")*$C$8+SUMIFS(Kit_BOM!$F$2:$F$300,Kit_BOM!$E$2:$E$300,$A85,Kit_BOM!$A$2:$A$300,$A$8,Kit_BOM!$G$2:$G$300,"Mechanical")*$C$8+IF($F$5="Ja",SUMIFS(Kit_BOM!$F$2:$F$300,Kit_BOM!$E$2:$E$300,$A85,Kit_BOM!$A$2:$A$300,$A$8,Kit_BOM!$G$2:$G$300,"Optional")*$C$8,0)+IF($F$6="Ja",SUMIFS(Kit_BOM!$F$2:$F$300,Kit_BOM!$E$2:$E$300,$A85,Kit_BOM!$A$2:$A$300,$A$8,Kit_BOM!$G$2:$G$300,"DNP")*$C$8,0)+SUMIFS(Kit_BOM!$F$2:$F$300,Kit_BOM!$E$2:$E$300,$A85,Kit_BOM!$A$2:$A$300,$A$9,Kit_BOM!$G$2:$G$300,"Bestücken")*$C$9+SUMIFS(Kit_BOM!$F$2:$F$300,Kit_BOM!$E$2:$E$300,$A85,Kit_BOM!$A$2:$A$300,$A$9,Kit_BOM!$G$2:$G$300,"Mechanical")*$C$9+IF($F$5="Ja",SUMIFS(Kit_BOM!$F$2:$F$300,Kit_BOM!$E$2:$E$300,$A85,Kit_BOM!$A$2:$A$300,$A$9,Kit_BOM!$G$2:$G$300,"Optional")*$C$9,0)+IF($F$6="Ja",SUMIFS(Kit_BOM!$F$2:$F$300,Kit_BOM!$E$2:$E$300,$A85,Kit_BOM!$A$2:$A$300,$A$9,Kit_BOM!$G$2:$G$300,"DNP")*$C$9,0)+SUMIFS(Kit_BOM!$F$2:$F$300,Kit_BOM!$E$2:$E$300,$A85,Kit_BOM!$A$2:$A$300,$A$10,Kit_BOM!$G$2:$G$300,"Bestücken")*$C$10+SUMIFS(Kit_BOM!$F$2:$F$300,Kit_BOM!$E$2:$E$300,$A85,Kit_BOM!$A$2:$A$300,$A$10,Kit_BOM!$G$2:$G$300,"Mechanical")*$C$10+IF($F$5="Ja",SUMIFS(Kit_BOM!$F$2:$F$300,Kit_BOM!$E$2:$E$300,$A85,Kit_BOM!$A$2:$A$300,$A$10,Kit_BOM!$G$2:$G$300,"Optional")*$C$10,0)+IF($F$6="Ja",SUMIFS(Kit_BOM!$F$2:$F$300,Kit_BOM!$E$2:$E$300,$A85,Kit_BOM!$A$2:$A$300,$A$10,Kit_BOM!$G$2:$G$300,"DNP")*$C$10,0)+SUMIFS(Kit_BOM!$F$2:$F$300,Kit_BOM!$E$2:$E$300,$A85,Kit_BOM!$A$2:$A$300,$A$11,Kit_BOM!$G$2:$G$300,"Bestücken")*$C$11+SUMIFS(Kit_BOM!$F$2:$F$300,Kit_BOM!$E$2:$E$300,$A85,Kit_BOM!$A$2:$A$300,$A$11,Kit_BOM!$G$2:$G$300,"Mechanical")*$C$11+IF($F$5="Ja",SUMIFS(Kit_BOM!$F$2:$F$300,Kit_BOM!$E$2:$E$300,$A85,Kit_BOM!$A$2:$A$300,$A$11,Kit_BOM!$G$2:$G$300,"Optional")*$C$11,0)+IF($F$6="Ja",SUMIFS(Kit_BOM!$F$2:$F$300,Kit_BOM!$E$2:$E$300,$A85,Kit_BOM!$A$2:$A$300,$A$11,Kit_BOM!$G$2:$G$300,"DNP")*$C$11,0)+SUMIFS(Kit_BOM!$F$2:$F$300,Kit_BOM!$E$2:$E$300,$A85,Kit_BOM!$A$2:$A$300,$A$12,Kit_BOM!$G$2:$G$300,"Bestücken")*$C$12+SUMIFS(Kit_BOM!$F$2:$F$300,Kit_BOM!$E$2:$E$300,$A85,Kit_BOM!$A$2:$A$300,$A$12,Kit_BOM!$G$2:$G$300,"Mechanical")*$C$12+IF($F$5="Ja",SUMIFS(Kit_BOM!$F$2:$F$300,Kit_BOM!$E$2:$E$300,$A85,Kit_BOM!$A$2:$A$300,$A$12,Kit_BOM!$G$2:$G$300,"Optional")*$C$12,0)+IF($F$6="Ja",SUMIFS(Kit_BOM!$F$2:$F$300,Kit_BOM!$E$2:$E$300,$A85,Kit_BOM!$A$2:$A$300,$A$12,Kit_BOM!$G$2:$G$300,"DNP")*$C$12,0)+SUMIFS(Kit_BOM!$F$2:$F$300,Kit_BOM!$E$2:$E$300,$A85,Kit_BOM!$A$2:$A$300,$H$5,Kit_BOM!$G$2:$G$300,"Bestücken")*$J$5+SUMIFS(Kit_BOM!$F$2:$F$300,Kit_BOM!$E$2:$E$300,$A85,Kit_BOM!$A$2:$A$300,$H$5,Kit_BOM!$G$2:$G$300,"Mechanical")*$J$5+IF($F$5="Ja",SUMIFS(Kit_BOM!$F$2:$F$300,Kit_BOM!$E$2:$E$300,$A85,Kit_BOM!$A$2:$A$300,$H$5,Kit_BOM!$G$2:$G$300,"Optional")*$J$5,0)+IF($F$6="Ja",SUMIFS(Kit_BOM!$F$2:$F$300,Kit_BOM!$E$2:$E$300,$A85,Kit_BOM!$A$2:$A$300,$H$5,Kit_BOM!$G$2:$G$300,"DNP")*$J$5,0)+SUMIFS(Kit_BOM!$F$2:$F$300,Kit_BOM!$E$2:$E$300,$A85,Kit_BOM!$A$2:$A$300,$H$6,Kit_BOM!$G$2:$G$300,"Bestücken")*$J$6+SUMIFS(Kit_BOM!$F$2:$F$300,Kit_BOM!$E$2:$E$300,$A85,Kit_BOM!$A$2:$A$300,$H$6,Kit_BOM!$G$2:$G$300,"Mechanical")*$J$6+IF($F$5="Ja",SUMIFS(Kit_BOM!$F$2:$F$300,Kit_BOM!$E$2:$E$300,$A85,Kit_BOM!$A$2:$A$300,$H$6,Kit_BOM!$G$2:$G$300,"Optional")*$J$6,0)+IF($F$6="Ja",SUMIFS(Kit_BOM!$F$2:$F$300,Kit_BOM!$E$2:$E$300,$A85,Kit_BOM!$A$2:$A$300,$H$6,Kit_BOM!$G$2:$G$300,"DNP")*$J$6,0)</f>
        <v>2</v>
      </c>
      <c r="F85">
        <f>IFERROR(IF(_xlfn.XLOOKUP($A85&amp;"|Ja",Part_Suppliers!$L$2:$L$300,Part_Suppliers!$G$2:$G$300,"",0)=0,"",_xlfn.XLOOKUP($A85&amp;"|Ja",Part_Suppliers!$L$2:$L$300,Part_Suppliers!$G$2:$G$300,"",0)),"")</f>
        <v>1</v>
      </c>
      <c r="G85">
        <f t="shared" si="13"/>
        <v>2</v>
      </c>
      <c r="H85">
        <f>IFERROR(IF(_xlfn.XLOOKUP($A85&amp;"|Ja",Part_Suppliers!$L$2:$L$300,Part_Suppliers!$E$2:$E$300,"",0)=0,"",_xlfn.XLOOKUP($A85&amp;"|Ja",Part_Suppliers!$L$2:$L$300,Part_Suppliers!$E$2:$E$300,"",0)),"")</f>
        <v>3.59</v>
      </c>
      <c r="I85" s="46">
        <f t="shared" si="14"/>
        <v>7.18</v>
      </c>
      <c r="J85" t="str">
        <f>IF(AND(P85&gt;0,P85&lt;&gt;O85),"Manuelle Menge prüfen",IF(E85=0,"Nicht benötigt",IF(L85&lt;0,"Bestand klären",IF(O85=0,"Gedeckt",IF(OR(C85="",C85="Noch festlegen",D85=""),"Artikel offen",IF(H85="","Preis offen","Bestellvorschlag prüfen"))))))</f>
        <v>Bestellvorschlag prüfen</v>
      </c>
      <c r="K85" t="str">
        <f>IFERROR(IF(_xlfn.XLOOKUP($A85&amp;"|Ja",Part_Suppliers!$L$2:$L$300,Part_Suppliers!$D$2:$D$300,"",0)=0,"",_xlfn.XLOOKUP($A85&amp;"|Ja",Part_Suppliers!$L$2:$L$300,Part_Suppliers!$D$2:$D$300,"",0)),"")</f>
        <v>https://www.tme.eu/de/details/sp1312_s2/weipu-steckverbinder/weipu/sp1312-s2-n/</v>
      </c>
      <c r="L85" s="118">
        <f>IFERROR(VLOOKUP($A85,Stock!$A$5:$K$200,10,FALSE()),0)</f>
        <v>0</v>
      </c>
      <c r="M85" s="118">
        <f>IFERROR(VLOOKUP($A85,Stock!$A$5:$K$200,11,FALSE()),0)</f>
        <v>0</v>
      </c>
      <c r="N85" s="118">
        <f t="shared" si="15"/>
        <v>-2</v>
      </c>
      <c r="O85" s="118">
        <f t="shared" si="16"/>
        <v>2</v>
      </c>
      <c r="P85" s="48">
        <v>0</v>
      </c>
      <c r="Q85" s="49">
        <f t="shared" si="17"/>
        <v>0</v>
      </c>
      <c r="R85" s="82">
        <f>SUMIFS(Part_Alternatives!$H$2:$H$200,Part_Alternatives!$A$2:$A$200,$A85,Part_Alternatives!$E$2:$E$200,"Ja")</f>
        <v>0</v>
      </c>
      <c r="S85" s="82">
        <f>SUMIFS(Part_Alternatives!$I$2:$I$200,Part_Alternatives!$A$2:$A$200,$A85,Part_Alternatives!$E$2:$E$200,"Ja")</f>
        <v>0</v>
      </c>
      <c r="T85" s="80" t="str">
        <f>IFERROR(VLOOKUP($A85,Part_Alternatives!$A$2:$K$200,10,FALSE()),"")</f>
        <v/>
      </c>
    </row>
    <row r="86" spans="1:20" ht="15" hidden="1" x14ac:dyDescent="0.2">
      <c r="A86" t="s">
        <v>173</v>
      </c>
      <c r="B86" t="str">
        <f>IFERROR(VLOOKUP($A86,Parts!$A$2:$M$191,3,FALSE()),"")</f>
        <v>WEIPU SP13 Kabelstecker, 2-polig</v>
      </c>
      <c r="C86" t="str">
        <f>IFERROR(IF(_xlfn.XLOOKUP($A86&amp;"|Ja",Part_Suppliers!$L$2:$L$300,Part_Suppliers!$B$2:$B$300,"",0)=0,"",_xlfn.XLOOKUP($A86&amp;"|Ja",Part_Suppliers!$L$2:$L$300,Part_Suppliers!$B$2:$B$300,"",0)),"")</f>
        <v>TME</v>
      </c>
      <c r="D86" t="str">
        <f>IFERROR(IF(_xlfn.XLOOKUP($A86&amp;"|Ja",Part_Suppliers!$L$2:$L$300,Part_Suppliers!$C$2:$C$300,"",0)=0,"",_xlfn.XLOOKUP($A86&amp;"|Ja",Part_Suppliers!$L$2:$L$300,Part_Suppliers!$C$2:$C$300,"",0)),"")</f>
        <v>SP1310/P2</v>
      </c>
      <c r="E86">
        <f>SUMIFS(Kit_BOM!$F$2:$F$300,Kit_BOM!$E$2:$E$300,$A86,Kit_BOM!$A$2:$A$300,$A$5,Kit_BOM!$G$2:$G$300,"Bestücken")*$C$5+SUMIFS(Kit_BOM!$F$2:$F$300,Kit_BOM!$E$2:$E$300,$A86,Kit_BOM!$A$2:$A$300,$A$5,Kit_BOM!$G$2:$G$300,"Mechanical")*$C$5+IF($F$5="Ja",SUMIFS(Kit_BOM!$F$2:$F$300,Kit_BOM!$E$2:$E$300,$A86,Kit_BOM!$A$2:$A$300,$A$5,Kit_BOM!$G$2:$G$300,"Optional")*$C$5,0)+IF($F$6="Ja",SUMIFS(Kit_BOM!$F$2:$F$300,Kit_BOM!$E$2:$E$300,$A86,Kit_BOM!$A$2:$A$300,$A$5,Kit_BOM!$G$2:$G$300,"DNP")*$C$5,0)+SUMIFS(Kit_BOM!$F$2:$F$300,Kit_BOM!$E$2:$E$300,$A86,Kit_BOM!$A$2:$A$300,$A$6,Kit_BOM!$G$2:$G$300,"Bestücken")*$C$6+SUMIFS(Kit_BOM!$F$2:$F$300,Kit_BOM!$E$2:$E$300,$A86,Kit_BOM!$A$2:$A$300,$A$6,Kit_BOM!$G$2:$G$300,"Mechanical")*$C$6+IF($F$5="Ja",SUMIFS(Kit_BOM!$F$2:$F$300,Kit_BOM!$E$2:$E$300,$A86,Kit_BOM!$A$2:$A$300,$A$6,Kit_BOM!$G$2:$G$300,"Optional")*$C$6,0)+IF($F$6="Ja",SUMIFS(Kit_BOM!$F$2:$F$300,Kit_BOM!$E$2:$E$300,$A86,Kit_BOM!$A$2:$A$300,$A$6,Kit_BOM!$G$2:$G$300,"DNP")*$C$6,0)+SUMIFS(Kit_BOM!$F$2:$F$300,Kit_BOM!$E$2:$E$300,$A86,Kit_BOM!$A$2:$A$300,$A$7,Kit_BOM!$G$2:$G$300,"Bestücken")*$C$7+SUMIFS(Kit_BOM!$F$2:$F$300,Kit_BOM!$E$2:$E$300,$A86,Kit_BOM!$A$2:$A$300,$A$7,Kit_BOM!$G$2:$G$300,"Mechanical")*$C$7+IF($F$5="Ja",SUMIFS(Kit_BOM!$F$2:$F$300,Kit_BOM!$E$2:$E$300,$A86,Kit_BOM!$A$2:$A$300,$A$7,Kit_BOM!$G$2:$G$300,"Optional")*$C$7,0)+IF($F$6="Ja",SUMIFS(Kit_BOM!$F$2:$F$300,Kit_BOM!$E$2:$E$300,$A86,Kit_BOM!$A$2:$A$300,$A$7,Kit_BOM!$G$2:$G$300,"DNP")*$C$7,0)+SUMIFS(Kit_BOM!$F$2:$F$300,Kit_BOM!$E$2:$E$300,$A86,Kit_BOM!$A$2:$A$300,$A$8,Kit_BOM!$G$2:$G$300,"Bestücken")*$C$8+SUMIFS(Kit_BOM!$F$2:$F$300,Kit_BOM!$E$2:$E$300,$A86,Kit_BOM!$A$2:$A$300,$A$8,Kit_BOM!$G$2:$G$300,"Mechanical")*$C$8+IF($F$5="Ja",SUMIFS(Kit_BOM!$F$2:$F$300,Kit_BOM!$E$2:$E$300,$A86,Kit_BOM!$A$2:$A$300,$A$8,Kit_BOM!$G$2:$G$300,"Optional")*$C$8,0)+IF($F$6="Ja",SUMIFS(Kit_BOM!$F$2:$F$300,Kit_BOM!$E$2:$E$300,$A86,Kit_BOM!$A$2:$A$300,$A$8,Kit_BOM!$G$2:$G$300,"DNP")*$C$8,0)+SUMIFS(Kit_BOM!$F$2:$F$300,Kit_BOM!$E$2:$E$300,$A86,Kit_BOM!$A$2:$A$300,$A$9,Kit_BOM!$G$2:$G$300,"Bestücken")*$C$9+SUMIFS(Kit_BOM!$F$2:$F$300,Kit_BOM!$E$2:$E$300,$A86,Kit_BOM!$A$2:$A$300,$A$9,Kit_BOM!$G$2:$G$300,"Mechanical")*$C$9+IF($F$5="Ja",SUMIFS(Kit_BOM!$F$2:$F$300,Kit_BOM!$E$2:$E$300,$A86,Kit_BOM!$A$2:$A$300,$A$9,Kit_BOM!$G$2:$G$300,"Optional")*$C$9,0)+IF($F$6="Ja",SUMIFS(Kit_BOM!$F$2:$F$300,Kit_BOM!$E$2:$E$300,$A86,Kit_BOM!$A$2:$A$300,$A$9,Kit_BOM!$G$2:$G$300,"DNP")*$C$9,0)+SUMIFS(Kit_BOM!$F$2:$F$300,Kit_BOM!$E$2:$E$300,$A86,Kit_BOM!$A$2:$A$300,$A$10,Kit_BOM!$G$2:$G$300,"Bestücken")*$C$10+SUMIFS(Kit_BOM!$F$2:$F$300,Kit_BOM!$E$2:$E$300,$A86,Kit_BOM!$A$2:$A$300,$A$10,Kit_BOM!$G$2:$G$300,"Mechanical")*$C$10+IF($F$5="Ja",SUMIFS(Kit_BOM!$F$2:$F$300,Kit_BOM!$E$2:$E$300,$A86,Kit_BOM!$A$2:$A$300,$A$10,Kit_BOM!$G$2:$G$300,"Optional")*$C$10,0)+IF($F$6="Ja",SUMIFS(Kit_BOM!$F$2:$F$300,Kit_BOM!$E$2:$E$300,$A86,Kit_BOM!$A$2:$A$300,$A$10,Kit_BOM!$G$2:$G$300,"DNP")*$C$10,0)+SUMIFS(Kit_BOM!$F$2:$F$300,Kit_BOM!$E$2:$E$300,$A86,Kit_BOM!$A$2:$A$300,$A$11,Kit_BOM!$G$2:$G$300,"Bestücken")*$C$11+SUMIFS(Kit_BOM!$F$2:$F$300,Kit_BOM!$E$2:$E$300,$A86,Kit_BOM!$A$2:$A$300,$A$11,Kit_BOM!$G$2:$G$300,"Mechanical")*$C$11+IF($F$5="Ja",SUMIFS(Kit_BOM!$F$2:$F$300,Kit_BOM!$E$2:$E$300,$A86,Kit_BOM!$A$2:$A$300,$A$11,Kit_BOM!$G$2:$G$300,"Optional")*$C$11,0)+IF($F$6="Ja",SUMIFS(Kit_BOM!$F$2:$F$300,Kit_BOM!$E$2:$E$300,$A86,Kit_BOM!$A$2:$A$300,$A$11,Kit_BOM!$G$2:$G$300,"DNP")*$C$11,0)+SUMIFS(Kit_BOM!$F$2:$F$300,Kit_BOM!$E$2:$E$300,$A86,Kit_BOM!$A$2:$A$300,$A$12,Kit_BOM!$G$2:$G$300,"Bestücken")*$C$12+SUMIFS(Kit_BOM!$F$2:$F$300,Kit_BOM!$E$2:$E$300,$A86,Kit_BOM!$A$2:$A$300,$A$12,Kit_BOM!$G$2:$G$300,"Mechanical")*$C$12+IF($F$5="Ja",SUMIFS(Kit_BOM!$F$2:$F$300,Kit_BOM!$E$2:$E$300,$A86,Kit_BOM!$A$2:$A$300,$A$12,Kit_BOM!$G$2:$G$300,"Optional")*$C$12,0)+IF($F$6="Ja",SUMIFS(Kit_BOM!$F$2:$F$300,Kit_BOM!$E$2:$E$300,$A86,Kit_BOM!$A$2:$A$300,$A$12,Kit_BOM!$G$2:$G$300,"DNP")*$C$12,0)+SUMIFS(Kit_BOM!$F$2:$F$300,Kit_BOM!$E$2:$E$300,$A86,Kit_BOM!$A$2:$A$300,$H$5,Kit_BOM!$G$2:$G$300,"Bestücken")*$J$5+SUMIFS(Kit_BOM!$F$2:$F$300,Kit_BOM!$E$2:$E$300,$A86,Kit_BOM!$A$2:$A$300,$H$5,Kit_BOM!$G$2:$G$300,"Mechanical")*$J$5+IF($F$5="Ja",SUMIFS(Kit_BOM!$F$2:$F$300,Kit_BOM!$E$2:$E$300,$A86,Kit_BOM!$A$2:$A$300,$H$5,Kit_BOM!$G$2:$G$300,"Optional")*$J$5,0)+IF($F$6="Ja",SUMIFS(Kit_BOM!$F$2:$F$300,Kit_BOM!$E$2:$E$300,$A86,Kit_BOM!$A$2:$A$300,$H$5,Kit_BOM!$G$2:$G$300,"DNP")*$J$5,0)+SUMIFS(Kit_BOM!$F$2:$F$300,Kit_BOM!$E$2:$E$300,$A86,Kit_BOM!$A$2:$A$300,$H$6,Kit_BOM!$G$2:$G$300,"Bestücken")*$J$6+SUMIFS(Kit_BOM!$F$2:$F$300,Kit_BOM!$E$2:$E$300,$A86,Kit_BOM!$A$2:$A$300,$H$6,Kit_BOM!$G$2:$G$300,"Mechanical")*$J$6+IF($F$5="Ja",SUMIFS(Kit_BOM!$F$2:$F$300,Kit_BOM!$E$2:$E$300,$A86,Kit_BOM!$A$2:$A$300,$H$6,Kit_BOM!$G$2:$G$300,"Optional")*$J$6,0)+IF($F$6="Ja",SUMIFS(Kit_BOM!$F$2:$F$300,Kit_BOM!$E$2:$E$300,$A86,Kit_BOM!$A$2:$A$300,$H$6,Kit_BOM!$G$2:$G$300,"DNP")*$J$6,0)</f>
        <v>2</v>
      </c>
      <c r="F86">
        <f>IFERROR(IF(_xlfn.XLOOKUP($A86&amp;"|Ja",Part_Suppliers!$L$2:$L$300,Part_Suppliers!$G$2:$G$300,"",0)=0,"",_xlfn.XLOOKUP($A86&amp;"|Ja",Part_Suppliers!$L$2:$L$300,Part_Suppliers!$G$2:$G$300,"",0)),"")</f>
        <v>1</v>
      </c>
      <c r="G86">
        <f t="shared" si="13"/>
        <v>2</v>
      </c>
      <c r="H86">
        <f>IFERROR(IF(_xlfn.XLOOKUP($A86&amp;"|Ja",Part_Suppliers!$L$2:$L$300,Part_Suppliers!$E$2:$E$300,"",0)=0,"",_xlfn.XLOOKUP($A86&amp;"|Ja",Part_Suppliers!$L$2:$L$300,Part_Suppliers!$E$2:$E$300,"",0)),"")</f>
        <v>3.6</v>
      </c>
      <c r="I86">
        <f t="shared" si="14"/>
        <v>7.2</v>
      </c>
      <c r="J86" t="str">
        <f>IF(AND(P86&gt;0,P86&lt;&gt;O86),"Manuelle Menge prüfen",IF(E86=0,"Nicht benötigt",IF(L86&lt;0,"Bestand klären",IF(O86=0,"Gedeckt",IF(OR(C86="",C86="Noch festlegen",D86=""),"Artikel offen",IF(H86="","Preis offen","Bestellvorschlag prüfen"))))))</f>
        <v>Bestellvorschlag prüfen</v>
      </c>
      <c r="K86" t="str">
        <f>IFERROR(IF(_xlfn.XLOOKUP($A86&amp;"|Ja",Part_Suppliers!$L$2:$L$300,Part_Suppliers!$D$2:$D$300,"",0)=0,"",_xlfn.XLOOKUP($A86&amp;"|Ja",Part_Suppliers!$L$2:$L$300,Part_Suppliers!$D$2:$D$300,"",0)),"")</f>
        <v>https://www.tme.eu/de/katalog/weipu-steckverbinder_112972/params/b1322_mechanische-montage/p1436305_fuer-leitungen/</v>
      </c>
      <c r="L86">
        <f>IFERROR(VLOOKUP($A86,Stock!$A$5:$K$200,10,FALSE()),0)</f>
        <v>0</v>
      </c>
      <c r="M86">
        <f>IFERROR(VLOOKUP($A86,Stock!$A$5:$K$200,11,FALSE()),0)</f>
        <v>0</v>
      </c>
      <c r="N86">
        <f t="shared" si="15"/>
        <v>-2</v>
      </c>
      <c r="O86">
        <f t="shared" si="16"/>
        <v>2</v>
      </c>
      <c r="P86" s="48">
        <v>0</v>
      </c>
      <c r="Q86" s="49">
        <f t="shared" si="17"/>
        <v>0</v>
      </c>
      <c r="R86" s="82">
        <f>SUMIFS(Part_Alternatives!$H$2:$H$200,Part_Alternatives!$A$2:$A$200,$A86,Part_Alternatives!$E$2:$E$200,"Ja")</f>
        <v>0</v>
      </c>
      <c r="S86" s="82">
        <f>SUMIFS(Part_Alternatives!$I$2:$I$200,Part_Alternatives!$A$2:$A$200,$A86,Part_Alternatives!$E$2:$E$200,"Ja")</f>
        <v>0</v>
      </c>
      <c r="T86" s="80" t="str">
        <f>IFERROR(VLOOKUP($A86,Part_Alternatives!$A$2:$K$200,10,FALSE()),"")</f>
        <v/>
      </c>
    </row>
    <row r="87" spans="1:20" hidden="1" x14ac:dyDescent="0.15">
      <c r="A87" t="s">
        <v>137</v>
      </c>
      <c r="B87" t="str">
        <f>IFERROR(VLOOKUP($A87,Parts!$A$2:$M$191,3,FALSE()),"")</f>
        <v>Solarzelle KXOB25-14X1TF-TR</v>
      </c>
      <c r="C87" t="str">
        <f>IFERROR(IF(_xlfn.XLOOKUP($A87&amp;"|Ja",Part_Suppliers!$L$2:$L$300,Part_Suppliers!$B$2:$B$300,"",0)=0,"",_xlfn.XLOOKUP($A87&amp;"|Ja",Part_Suppliers!$L$2:$L$300,Part_Suppliers!$B$2:$B$300,"",0)),"")</f>
        <v>DigiKey</v>
      </c>
      <c r="D87" t="str">
        <f>IFERROR(IF(_xlfn.XLOOKUP($A87&amp;"|Ja",Part_Suppliers!$L$2:$L$300,Part_Suppliers!$C$2:$C$300,"",0)=0,"",_xlfn.XLOOKUP($A87&amp;"|Ja",Part_Suppliers!$L$2:$L$300,Part_Suppliers!$C$2:$C$300,"",0)),"")</f>
        <v>2994-KXOB25-14X1TF-TRCT-ND</v>
      </c>
      <c r="E87">
        <f>SUMIFS(Kit_BOM!$F$2:$F$300,Kit_BOM!$E$2:$E$300,$A87,Kit_BOM!$A$2:$A$300,$A$5,Kit_BOM!$G$2:$G$300,"Bestücken")*$C$5+SUMIFS(Kit_BOM!$F$2:$F$300,Kit_BOM!$E$2:$E$300,$A87,Kit_BOM!$A$2:$A$300,$A$5,Kit_BOM!$G$2:$G$300,"Mechanical")*$C$5+IF($F$5="Ja",SUMIFS(Kit_BOM!$F$2:$F$300,Kit_BOM!$E$2:$E$300,$A87,Kit_BOM!$A$2:$A$300,$A$5,Kit_BOM!$G$2:$G$300,"Optional")*$C$5,0)+IF($F$6="Ja",SUMIFS(Kit_BOM!$F$2:$F$300,Kit_BOM!$E$2:$E$300,$A87,Kit_BOM!$A$2:$A$300,$A$5,Kit_BOM!$G$2:$G$300,"DNP")*$C$5,0)+SUMIFS(Kit_BOM!$F$2:$F$300,Kit_BOM!$E$2:$E$300,$A87,Kit_BOM!$A$2:$A$300,$A$6,Kit_BOM!$G$2:$G$300,"Bestücken")*$C$6+SUMIFS(Kit_BOM!$F$2:$F$300,Kit_BOM!$E$2:$E$300,$A87,Kit_BOM!$A$2:$A$300,$A$6,Kit_BOM!$G$2:$G$300,"Mechanical")*$C$6+IF($F$5="Ja",SUMIFS(Kit_BOM!$F$2:$F$300,Kit_BOM!$E$2:$E$300,$A87,Kit_BOM!$A$2:$A$300,$A$6,Kit_BOM!$G$2:$G$300,"Optional")*$C$6,0)+IF($F$6="Ja",SUMIFS(Kit_BOM!$F$2:$F$300,Kit_BOM!$E$2:$E$300,$A87,Kit_BOM!$A$2:$A$300,$A$6,Kit_BOM!$G$2:$G$300,"DNP")*$C$6,0)+SUMIFS(Kit_BOM!$F$2:$F$300,Kit_BOM!$E$2:$E$300,$A87,Kit_BOM!$A$2:$A$300,$A$7,Kit_BOM!$G$2:$G$300,"Bestücken")*$C$7+SUMIFS(Kit_BOM!$F$2:$F$300,Kit_BOM!$E$2:$E$300,$A87,Kit_BOM!$A$2:$A$300,$A$7,Kit_BOM!$G$2:$G$300,"Mechanical")*$C$7+IF($F$5="Ja",SUMIFS(Kit_BOM!$F$2:$F$300,Kit_BOM!$E$2:$E$300,$A87,Kit_BOM!$A$2:$A$300,$A$7,Kit_BOM!$G$2:$G$300,"Optional")*$C$7,0)+IF($F$6="Ja",SUMIFS(Kit_BOM!$F$2:$F$300,Kit_BOM!$E$2:$E$300,$A87,Kit_BOM!$A$2:$A$300,$A$7,Kit_BOM!$G$2:$G$300,"DNP")*$C$7,0)+SUMIFS(Kit_BOM!$F$2:$F$300,Kit_BOM!$E$2:$E$300,$A87,Kit_BOM!$A$2:$A$300,$A$8,Kit_BOM!$G$2:$G$300,"Bestücken")*$C$8+SUMIFS(Kit_BOM!$F$2:$F$300,Kit_BOM!$E$2:$E$300,$A87,Kit_BOM!$A$2:$A$300,$A$8,Kit_BOM!$G$2:$G$300,"Mechanical")*$C$8+IF($F$5="Ja",SUMIFS(Kit_BOM!$F$2:$F$300,Kit_BOM!$E$2:$E$300,$A87,Kit_BOM!$A$2:$A$300,$A$8,Kit_BOM!$G$2:$G$300,"Optional")*$C$8,0)+IF($F$6="Ja",SUMIFS(Kit_BOM!$F$2:$F$300,Kit_BOM!$E$2:$E$300,$A87,Kit_BOM!$A$2:$A$300,$A$8,Kit_BOM!$G$2:$G$300,"DNP")*$C$8,0)+SUMIFS(Kit_BOM!$F$2:$F$300,Kit_BOM!$E$2:$E$300,$A87,Kit_BOM!$A$2:$A$300,$A$9,Kit_BOM!$G$2:$G$300,"Bestücken")*$C$9+SUMIFS(Kit_BOM!$F$2:$F$300,Kit_BOM!$E$2:$E$300,$A87,Kit_BOM!$A$2:$A$300,$A$9,Kit_BOM!$G$2:$G$300,"Mechanical")*$C$9+IF($F$5="Ja",SUMIFS(Kit_BOM!$F$2:$F$300,Kit_BOM!$E$2:$E$300,$A87,Kit_BOM!$A$2:$A$300,$A$9,Kit_BOM!$G$2:$G$300,"Optional")*$C$9,0)+IF($F$6="Ja",SUMIFS(Kit_BOM!$F$2:$F$300,Kit_BOM!$E$2:$E$300,$A87,Kit_BOM!$A$2:$A$300,$A$9,Kit_BOM!$G$2:$G$300,"DNP")*$C$9,0)+SUMIFS(Kit_BOM!$F$2:$F$300,Kit_BOM!$E$2:$E$300,$A87,Kit_BOM!$A$2:$A$300,$A$10,Kit_BOM!$G$2:$G$300,"Bestücken")*$C$10+SUMIFS(Kit_BOM!$F$2:$F$300,Kit_BOM!$E$2:$E$300,$A87,Kit_BOM!$A$2:$A$300,$A$10,Kit_BOM!$G$2:$G$300,"Mechanical")*$C$10+IF($F$5="Ja",SUMIFS(Kit_BOM!$F$2:$F$300,Kit_BOM!$E$2:$E$300,$A87,Kit_BOM!$A$2:$A$300,$A$10,Kit_BOM!$G$2:$G$300,"Optional")*$C$10,0)+IF($F$6="Ja",SUMIFS(Kit_BOM!$F$2:$F$300,Kit_BOM!$E$2:$E$300,$A87,Kit_BOM!$A$2:$A$300,$A$10,Kit_BOM!$G$2:$G$300,"DNP")*$C$10,0)+SUMIFS(Kit_BOM!$F$2:$F$300,Kit_BOM!$E$2:$E$300,$A87,Kit_BOM!$A$2:$A$300,$A$11,Kit_BOM!$G$2:$G$300,"Bestücken")*$C$11+SUMIFS(Kit_BOM!$F$2:$F$300,Kit_BOM!$E$2:$E$300,$A87,Kit_BOM!$A$2:$A$300,$A$11,Kit_BOM!$G$2:$G$300,"Mechanical")*$C$11+IF($F$5="Ja",SUMIFS(Kit_BOM!$F$2:$F$300,Kit_BOM!$E$2:$E$300,$A87,Kit_BOM!$A$2:$A$300,$A$11,Kit_BOM!$G$2:$G$300,"Optional")*$C$11,0)+IF($F$6="Ja",SUMIFS(Kit_BOM!$F$2:$F$300,Kit_BOM!$E$2:$E$300,$A87,Kit_BOM!$A$2:$A$300,$A$11,Kit_BOM!$G$2:$G$300,"DNP")*$C$11,0)+SUMIFS(Kit_BOM!$F$2:$F$300,Kit_BOM!$E$2:$E$300,$A87,Kit_BOM!$A$2:$A$300,$A$12,Kit_BOM!$G$2:$G$300,"Bestücken")*$C$12+SUMIFS(Kit_BOM!$F$2:$F$300,Kit_BOM!$E$2:$E$300,$A87,Kit_BOM!$A$2:$A$300,$A$12,Kit_BOM!$G$2:$G$300,"Mechanical")*$C$12+IF($F$5="Ja",SUMIFS(Kit_BOM!$F$2:$F$300,Kit_BOM!$E$2:$E$300,$A87,Kit_BOM!$A$2:$A$300,$A$12,Kit_BOM!$G$2:$G$300,"Optional")*$C$12,0)+IF($F$6="Ja",SUMIFS(Kit_BOM!$F$2:$F$300,Kit_BOM!$E$2:$E$300,$A87,Kit_BOM!$A$2:$A$300,$A$12,Kit_BOM!$G$2:$G$300,"DNP")*$C$12,0)+SUMIFS(Kit_BOM!$F$2:$F$300,Kit_BOM!$E$2:$E$300,$A87,Kit_BOM!$A$2:$A$300,$H$5,Kit_BOM!$G$2:$G$300,"Bestücken")*$J$5+SUMIFS(Kit_BOM!$F$2:$F$300,Kit_BOM!$E$2:$E$300,$A87,Kit_BOM!$A$2:$A$300,$H$5,Kit_BOM!$G$2:$G$300,"Mechanical")*$J$5+IF($F$5="Ja",SUMIFS(Kit_BOM!$F$2:$F$300,Kit_BOM!$E$2:$E$300,$A87,Kit_BOM!$A$2:$A$300,$H$5,Kit_BOM!$G$2:$G$300,"Optional")*$J$5,0)+IF($F$6="Ja",SUMIFS(Kit_BOM!$F$2:$F$300,Kit_BOM!$E$2:$E$300,$A87,Kit_BOM!$A$2:$A$300,$H$5,Kit_BOM!$G$2:$G$300,"DNP")*$J$5,0)+SUMIFS(Kit_BOM!$F$2:$F$300,Kit_BOM!$E$2:$E$300,$A87,Kit_BOM!$A$2:$A$300,$H$6,Kit_BOM!$G$2:$G$300,"Bestücken")*$J$6+SUMIFS(Kit_BOM!$F$2:$F$300,Kit_BOM!$E$2:$E$300,$A87,Kit_BOM!$A$2:$A$300,$H$6,Kit_BOM!$G$2:$G$300,"Mechanical")*$J$6+IF($F$5="Ja",SUMIFS(Kit_BOM!$F$2:$F$300,Kit_BOM!$E$2:$E$300,$A87,Kit_BOM!$A$2:$A$300,$H$6,Kit_BOM!$G$2:$G$300,"Optional")*$J$6,0)+IF($F$6="Ja",SUMIFS(Kit_BOM!$F$2:$F$300,Kit_BOM!$E$2:$E$300,$A87,Kit_BOM!$A$2:$A$300,$H$6,Kit_BOM!$G$2:$G$300,"DNP")*$J$6,0)</f>
        <v>2</v>
      </c>
      <c r="F87" t="str">
        <f>IFERROR(IF(_xlfn.XLOOKUP($A87&amp;"|Ja",Part_Suppliers!$L$2:$L$300,Part_Suppliers!$G$2:$G$300,"",0)=0,"",_xlfn.XLOOKUP($A87&amp;"|Ja",Part_Suppliers!$L$2:$L$300,Part_Suppliers!$G$2:$G$300,"",0)),"")</f>
        <v/>
      </c>
      <c r="G87">
        <f t="shared" si="13"/>
        <v>2</v>
      </c>
      <c r="H87">
        <f>IFERROR(IF(_xlfn.XLOOKUP($A87&amp;"|Ja",Part_Suppliers!$L$2:$L$300,Part_Suppliers!$E$2:$E$300,"",0)=0,"",_xlfn.XLOOKUP($A87&amp;"|Ja",Part_Suppliers!$L$2:$L$300,Part_Suppliers!$E$2:$E$300,"",0)),"")</f>
        <v>2.93</v>
      </c>
      <c r="I87">
        <f t="shared" ref="I87:I118" si="19">IF(H87="","",G87*H87)</f>
        <v>5.86</v>
      </c>
      <c r="J87" t="str">
        <f>IF(AND(P87&gt;0,P87&lt;&gt;O87),"Manuelle Menge prüfen",IF(E87=0,"Nicht benötigt",IF(L87&lt;0,"Bestand klären",IF(O87=0,"Gedeckt",IF(OR(C87="",C87="Noch festlegen",D87=""),"Artikel offen",IF(H87="","Preis offen","Bestellvorschlag prüfen"))))))</f>
        <v>Gedeckt</v>
      </c>
      <c r="K87" t="str">
        <f>IFERROR(IF(_xlfn.XLOOKUP($A87&amp;"|Ja",Part_Suppliers!$L$2:$L$300,Part_Suppliers!$D$2:$D$300,"",0)=0,"",_xlfn.XLOOKUP($A87&amp;"|Ja",Part_Suppliers!$L$2:$L$300,Part_Suppliers!$D$2:$D$300,"",0)),"")</f>
        <v>https://www.digikey.de/de/products/detail/anysolar-ltd/KXOB25-14X1TF-TR/13999166</v>
      </c>
      <c r="L87">
        <f>IFERROR(VLOOKUP($A87,Stock!$A$5:$K$200,10,FALSE()),0)</f>
        <v>2</v>
      </c>
      <c r="M87">
        <f>IFERROR(VLOOKUP($A87,Stock!$A$5:$K$200,11,FALSE()),0)</f>
        <v>0</v>
      </c>
      <c r="N87">
        <f t="shared" si="15"/>
        <v>0</v>
      </c>
      <c r="O87">
        <f t="shared" ref="O87:O118" si="20">IF(E87=0,0,IF(N87&gt;=0,0,CEILING(-N87,IF(OR(F87="",F87=0),1,F87))))</f>
        <v>0</v>
      </c>
      <c r="P87">
        <v>0</v>
      </c>
      <c r="Q87">
        <f t="shared" ref="Q87:Q118" si="21">IF(P87=0,0,IF(H87="","",P87*H87))</f>
        <v>0</v>
      </c>
      <c r="R87">
        <f>SUMIFS(Part_Alternatives!$H$2:$H$200,Part_Alternatives!$A$2:$A$200,$A87,Part_Alternatives!$E$2:$E$200,"Ja")</f>
        <v>0</v>
      </c>
      <c r="S87">
        <f>SUMIFS(Part_Alternatives!$I$2:$I$200,Part_Alternatives!$A$2:$A$200,$A87,Part_Alternatives!$E$2:$E$200,"Ja")</f>
        <v>0</v>
      </c>
      <c r="T87" t="str">
        <f>IFERROR(VLOOKUP($A87,Part_Alternatives!$A$2:$K$200,10,FALSE()),"")</f>
        <v/>
      </c>
    </row>
    <row r="88" spans="1:20" ht="15" hidden="1" x14ac:dyDescent="0.2">
      <c r="A88" t="s">
        <v>176</v>
      </c>
      <c r="B88" t="str">
        <f>IFERROR(VLOOKUP($A88,Parts!$A$2:$M$191,3,FALSE()),"")</f>
        <v>WEIPU SP13 Gehäusebuchse, 4-polig</v>
      </c>
      <c r="C88" t="str">
        <f>IFERROR(IF(_xlfn.XLOOKUP($A88&amp;"|Ja",Part_Suppliers!$L$2:$L$300,Part_Suppliers!$B$2:$B$300,"",0)=0,"",_xlfn.XLOOKUP($A88&amp;"|Ja",Part_Suppliers!$L$2:$L$300,Part_Suppliers!$B$2:$B$300,"",0)),"")</f>
        <v>TME</v>
      </c>
      <c r="D88" t="str">
        <f>IFERROR(IF(_xlfn.XLOOKUP($A88&amp;"|Ja",Part_Suppliers!$L$2:$L$300,Part_Suppliers!$C$2:$C$300,"",0)=0,"",_xlfn.XLOOKUP($A88&amp;"|Ja",Part_Suppliers!$L$2:$L$300,Part_Suppliers!$C$2:$C$300,"",0)),"")</f>
        <v>SP1312/S4</v>
      </c>
      <c r="E88">
        <f>SUMIFS(Kit_BOM!$F$2:$F$300,Kit_BOM!$E$2:$E$300,$A88,Kit_BOM!$A$2:$A$300,$A$5,Kit_BOM!$G$2:$G$300,"Bestücken")*$C$5+SUMIFS(Kit_BOM!$F$2:$F$300,Kit_BOM!$E$2:$E$300,$A88,Kit_BOM!$A$2:$A$300,$A$5,Kit_BOM!$G$2:$G$300,"Mechanical")*$C$5+IF($F$5="Ja",SUMIFS(Kit_BOM!$F$2:$F$300,Kit_BOM!$E$2:$E$300,$A88,Kit_BOM!$A$2:$A$300,$A$5,Kit_BOM!$G$2:$G$300,"Optional")*$C$5,0)+IF($F$6="Ja",SUMIFS(Kit_BOM!$F$2:$F$300,Kit_BOM!$E$2:$E$300,$A88,Kit_BOM!$A$2:$A$300,$A$5,Kit_BOM!$G$2:$G$300,"DNP")*$C$5,0)+SUMIFS(Kit_BOM!$F$2:$F$300,Kit_BOM!$E$2:$E$300,$A88,Kit_BOM!$A$2:$A$300,$A$6,Kit_BOM!$G$2:$G$300,"Bestücken")*$C$6+SUMIFS(Kit_BOM!$F$2:$F$300,Kit_BOM!$E$2:$E$300,$A88,Kit_BOM!$A$2:$A$300,$A$6,Kit_BOM!$G$2:$G$300,"Mechanical")*$C$6+IF($F$5="Ja",SUMIFS(Kit_BOM!$F$2:$F$300,Kit_BOM!$E$2:$E$300,$A88,Kit_BOM!$A$2:$A$300,$A$6,Kit_BOM!$G$2:$G$300,"Optional")*$C$6,0)+IF($F$6="Ja",SUMIFS(Kit_BOM!$F$2:$F$300,Kit_BOM!$E$2:$E$300,$A88,Kit_BOM!$A$2:$A$300,$A$6,Kit_BOM!$G$2:$G$300,"DNP")*$C$6,0)+SUMIFS(Kit_BOM!$F$2:$F$300,Kit_BOM!$E$2:$E$300,$A88,Kit_BOM!$A$2:$A$300,$A$7,Kit_BOM!$G$2:$G$300,"Bestücken")*$C$7+SUMIFS(Kit_BOM!$F$2:$F$300,Kit_BOM!$E$2:$E$300,$A88,Kit_BOM!$A$2:$A$300,$A$7,Kit_BOM!$G$2:$G$300,"Mechanical")*$C$7+IF($F$5="Ja",SUMIFS(Kit_BOM!$F$2:$F$300,Kit_BOM!$E$2:$E$300,$A88,Kit_BOM!$A$2:$A$300,$A$7,Kit_BOM!$G$2:$G$300,"Optional")*$C$7,0)+IF($F$6="Ja",SUMIFS(Kit_BOM!$F$2:$F$300,Kit_BOM!$E$2:$E$300,$A88,Kit_BOM!$A$2:$A$300,$A$7,Kit_BOM!$G$2:$G$300,"DNP")*$C$7,0)+SUMIFS(Kit_BOM!$F$2:$F$300,Kit_BOM!$E$2:$E$300,$A88,Kit_BOM!$A$2:$A$300,$A$8,Kit_BOM!$G$2:$G$300,"Bestücken")*$C$8+SUMIFS(Kit_BOM!$F$2:$F$300,Kit_BOM!$E$2:$E$300,$A88,Kit_BOM!$A$2:$A$300,$A$8,Kit_BOM!$G$2:$G$300,"Mechanical")*$C$8+IF($F$5="Ja",SUMIFS(Kit_BOM!$F$2:$F$300,Kit_BOM!$E$2:$E$300,$A88,Kit_BOM!$A$2:$A$300,$A$8,Kit_BOM!$G$2:$G$300,"Optional")*$C$8,0)+IF($F$6="Ja",SUMIFS(Kit_BOM!$F$2:$F$300,Kit_BOM!$E$2:$E$300,$A88,Kit_BOM!$A$2:$A$300,$A$8,Kit_BOM!$G$2:$G$300,"DNP")*$C$8,0)+SUMIFS(Kit_BOM!$F$2:$F$300,Kit_BOM!$E$2:$E$300,$A88,Kit_BOM!$A$2:$A$300,$A$9,Kit_BOM!$G$2:$G$300,"Bestücken")*$C$9+SUMIFS(Kit_BOM!$F$2:$F$300,Kit_BOM!$E$2:$E$300,$A88,Kit_BOM!$A$2:$A$300,$A$9,Kit_BOM!$G$2:$G$300,"Mechanical")*$C$9+IF($F$5="Ja",SUMIFS(Kit_BOM!$F$2:$F$300,Kit_BOM!$E$2:$E$300,$A88,Kit_BOM!$A$2:$A$300,$A$9,Kit_BOM!$G$2:$G$300,"Optional")*$C$9,0)+IF($F$6="Ja",SUMIFS(Kit_BOM!$F$2:$F$300,Kit_BOM!$E$2:$E$300,$A88,Kit_BOM!$A$2:$A$300,$A$9,Kit_BOM!$G$2:$G$300,"DNP")*$C$9,0)+SUMIFS(Kit_BOM!$F$2:$F$300,Kit_BOM!$E$2:$E$300,$A88,Kit_BOM!$A$2:$A$300,$A$10,Kit_BOM!$G$2:$G$300,"Bestücken")*$C$10+SUMIFS(Kit_BOM!$F$2:$F$300,Kit_BOM!$E$2:$E$300,$A88,Kit_BOM!$A$2:$A$300,$A$10,Kit_BOM!$G$2:$G$300,"Mechanical")*$C$10+IF($F$5="Ja",SUMIFS(Kit_BOM!$F$2:$F$300,Kit_BOM!$E$2:$E$300,$A88,Kit_BOM!$A$2:$A$300,$A$10,Kit_BOM!$G$2:$G$300,"Optional")*$C$10,0)+IF($F$6="Ja",SUMIFS(Kit_BOM!$F$2:$F$300,Kit_BOM!$E$2:$E$300,$A88,Kit_BOM!$A$2:$A$300,$A$10,Kit_BOM!$G$2:$G$300,"DNP")*$C$10,0)+SUMIFS(Kit_BOM!$F$2:$F$300,Kit_BOM!$E$2:$E$300,$A88,Kit_BOM!$A$2:$A$300,$A$11,Kit_BOM!$G$2:$G$300,"Bestücken")*$C$11+SUMIFS(Kit_BOM!$F$2:$F$300,Kit_BOM!$E$2:$E$300,$A88,Kit_BOM!$A$2:$A$300,$A$11,Kit_BOM!$G$2:$G$300,"Mechanical")*$C$11+IF($F$5="Ja",SUMIFS(Kit_BOM!$F$2:$F$300,Kit_BOM!$E$2:$E$300,$A88,Kit_BOM!$A$2:$A$300,$A$11,Kit_BOM!$G$2:$G$300,"Optional")*$C$11,0)+IF($F$6="Ja",SUMIFS(Kit_BOM!$F$2:$F$300,Kit_BOM!$E$2:$E$300,$A88,Kit_BOM!$A$2:$A$300,$A$11,Kit_BOM!$G$2:$G$300,"DNP")*$C$11,0)+SUMIFS(Kit_BOM!$F$2:$F$300,Kit_BOM!$E$2:$E$300,$A88,Kit_BOM!$A$2:$A$300,$A$12,Kit_BOM!$G$2:$G$300,"Bestücken")*$C$12+SUMIFS(Kit_BOM!$F$2:$F$300,Kit_BOM!$E$2:$E$300,$A88,Kit_BOM!$A$2:$A$300,$A$12,Kit_BOM!$G$2:$G$300,"Mechanical")*$C$12+IF($F$5="Ja",SUMIFS(Kit_BOM!$F$2:$F$300,Kit_BOM!$E$2:$E$300,$A88,Kit_BOM!$A$2:$A$300,$A$12,Kit_BOM!$G$2:$G$300,"Optional")*$C$12,0)+IF($F$6="Ja",SUMIFS(Kit_BOM!$F$2:$F$300,Kit_BOM!$E$2:$E$300,$A88,Kit_BOM!$A$2:$A$300,$A$12,Kit_BOM!$G$2:$G$300,"DNP")*$C$12,0)+SUMIFS(Kit_BOM!$F$2:$F$300,Kit_BOM!$E$2:$E$300,$A88,Kit_BOM!$A$2:$A$300,$H$5,Kit_BOM!$G$2:$G$300,"Bestücken")*$J$5+SUMIFS(Kit_BOM!$F$2:$F$300,Kit_BOM!$E$2:$E$300,$A88,Kit_BOM!$A$2:$A$300,$H$5,Kit_BOM!$G$2:$G$300,"Mechanical")*$J$5+IF($F$5="Ja",SUMIFS(Kit_BOM!$F$2:$F$300,Kit_BOM!$E$2:$E$300,$A88,Kit_BOM!$A$2:$A$300,$H$5,Kit_BOM!$G$2:$G$300,"Optional")*$J$5,0)+IF($F$6="Ja",SUMIFS(Kit_BOM!$F$2:$F$300,Kit_BOM!$E$2:$E$300,$A88,Kit_BOM!$A$2:$A$300,$H$5,Kit_BOM!$G$2:$G$300,"DNP")*$J$5,0)+SUMIFS(Kit_BOM!$F$2:$F$300,Kit_BOM!$E$2:$E$300,$A88,Kit_BOM!$A$2:$A$300,$H$6,Kit_BOM!$G$2:$G$300,"Bestücken")*$J$6+SUMIFS(Kit_BOM!$F$2:$F$300,Kit_BOM!$E$2:$E$300,$A88,Kit_BOM!$A$2:$A$300,$H$6,Kit_BOM!$G$2:$G$300,"Mechanical")*$J$6+IF($F$5="Ja",SUMIFS(Kit_BOM!$F$2:$F$300,Kit_BOM!$E$2:$E$300,$A88,Kit_BOM!$A$2:$A$300,$H$6,Kit_BOM!$G$2:$G$300,"Optional")*$J$6,0)+IF($F$6="Ja",SUMIFS(Kit_BOM!$F$2:$F$300,Kit_BOM!$E$2:$E$300,$A88,Kit_BOM!$A$2:$A$300,$H$6,Kit_BOM!$G$2:$G$300,"DNP")*$J$6,0)</f>
        <v>2</v>
      </c>
      <c r="F88">
        <f>IFERROR(IF(_xlfn.XLOOKUP($A88&amp;"|Ja",Part_Suppliers!$L$2:$L$300,Part_Suppliers!$G$2:$G$300,"",0)=0,"",_xlfn.XLOOKUP($A88&amp;"|Ja",Part_Suppliers!$L$2:$L$300,Part_Suppliers!$G$2:$G$300,"",0)),"")</f>
        <v>1</v>
      </c>
      <c r="G88">
        <f t="shared" si="13"/>
        <v>2</v>
      </c>
      <c r="H88">
        <f>IFERROR(IF(_xlfn.XLOOKUP($A88&amp;"|Ja",Part_Suppliers!$L$2:$L$300,Part_Suppliers!$E$2:$E$300,"",0)=0,"",_xlfn.XLOOKUP($A88&amp;"|Ja",Part_Suppliers!$L$2:$L$300,Part_Suppliers!$E$2:$E$300,"",0)),"")</f>
        <v>3.92</v>
      </c>
      <c r="I88">
        <f t="shared" si="19"/>
        <v>7.84</v>
      </c>
      <c r="J88" t="str">
        <f>IF(AND(P88&gt;0,P88&lt;&gt;O88),"Manuelle Menge prüfen",IF(E88=0,"Nicht benötigt",IF(L88&lt;0,"Bestand klären",IF(O88=0,"Gedeckt",IF(OR(C88="",C88="Noch festlegen",D88=""),"Artikel offen",IF(H88="","Preis offen","Bestellvorschlag prüfen"))))))</f>
        <v>Bestellvorschlag prüfen</v>
      </c>
      <c r="K88" t="str">
        <f>IFERROR(IF(_xlfn.XLOOKUP($A88&amp;"|Ja",Part_Suppliers!$L$2:$L$300,Part_Suppliers!$D$2:$D$300,"",0)=0,"",_xlfn.XLOOKUP($A88&amp;"|Ja",Part_Suppliers!$L$2:$L$300,Part_Suppliers!$D$2:$D$300,"",0)),"")</f>
        <v>https://www.tme.eu/de/katalog/weipu-steckverbinder_112972/params/b1247_elektrische-montage/p1436385_loeten/</v>
      </c>
      <c r="L88">
        <f>IFERROR(VLOOKUP($A88,Stock!$A$5:$K$200,10,FALSE()),0)</f>
        <v>0</v>
      </c>
      <c r="M88">
        <f>IFERROR(VLOOKUP($A88,Stock!$A$5:$K$200,11,FALSE()),0)</f>
        <v>0</v>
      </c>
      <c r="N88">
        <f t="shared" si="15"/>
        <v>-2</v>
      </c>
      <c r="O88">
        <f t="shared" si="20"/>
        <v>2</v>
      </c>
      <c r="P88" s="48">
        <v>0</v>
      </c>
      <c r="Q88" s="49">
        <f t="shared" si="21"/>
        <v>0</v>
      </c>
      <c r="R88" s="82">
        <f>SUMIFS(Part_Alternatives!$H$2:$H$200,Part_Alternatives!$A$2:$A$200,$A88,Part_Alternatives!$E$2:$E$200,"Ja")</f>
        <v>0</v>
      </c>
      <c r="S88" s="82">
        <f>SUMIFS(Part_Alternatives!$I$2:$I$200,Part_Alternatives!$A$2:$A$200,$A88,Part_Alternatives!$E$2:$E$200,"Ja")</f>
        <v>0</v>
      </c>
      <c r="T88" s="80" t="str">
        <f>IFERROR(VLOOKUP($A88,Part_Alternatives!$A$2:$K$200,10,FALSE()),"")</f>
        <v/>
      </c>
    </row>
    <row r="89" spans="1:20" hidden="1" x14ac:dyDescent="0.15">
      <c r="A89" t="s">
        <v>143</v>
      </c>
      <c r="B89" t="str">
        <f>IFERROR(VLOOKUP($A89,Parts!$A$2:$M$191,3,FALSE()),"")</f>
        <v>SolarRadiation PCB</v>
      </c>
      <c r="C89" t="str">
        <f>IFERROR(IF(_xlfn.XLOOKUP($A89&amp;"|Ja",Part_Suppliers!$L$2:$L$300,Part_Suppliers!$B$2:$B$300,"",0)=0,"",_xlfn.XLOOKUP($A89&amp;"|Ja",Part_Suppliers!$L$2:$L$300,Part_Suppliers!$B$2:$B$300,"",0)),"")</f>
        <v>JLCPCB</v>
      </c>
      <c r="D89" t="str">
        <f>IFERROR(IF(_xlfn.XLOOKUP($A89&amp;"|Ja",Part_Suppliers!$L$2:$L$300,Part_Suppliers!$C$2:$C$300,"",0)=0,"",_xlfn.XLOOKUP($A89&amp;"|Ja",Part_Suppliers!$L$2:$L$300,Part_Suppliers!$C$2:$C$300,"",0)),"")</f>
        <v/>
      </c>
      <c r="E89">
        <f>SUMIFS(Kit_BOM!$F$2:$F$300,Kit_BOM!$E$2:$E$300,$A89,Kit_BOM!$A$2:$A$300,$A$5,Kit_BOM!$G$2:$G$300,"Bestücken")*$C$5+SUMIFS(Kit_BOM!$F$2:$F$300,Kit_BOM!$E$2:$E$300,$A89,Kit_BOM!$A$2:$A$300,$A$5,Kit_BOM!$G$2:$G$300,"Mechanical")*$C$5+IF($F$5="Ja",SUMIFS(Kit_BOM!$F$2:$F$300,Kit_BOM!$E$2:$E$300,$A89,Kit_BOM!$A$2:$A$300,$A$5,Kit_BOM!$G$2:$G$300,"Optional")*$C$5,0)+IF($F$6="Ja",SUMIFS(Kit_BOM!$F$2:$F$300,Kit_BOM!$E$2:$E$300,$A89,Kit_BOM!$A$2:$A$300,$A$5,Kit_BOM!$G$2:$G$300,"DNP")*$C$5,0)+SUMIFS(Kit_BOM!$F$2:$F$300,Kit_BOM!$E$2:$E$300,$A89,Kit_BOM!$A$2:$A$300,$A$6,Kit_BOM!$G$2:$G$300,"Bestücken")*$C$6+SUMIFS(Kit_BOM!$F$2:$F$300,Kit_BOM!$E$2:$E$300,$A89,Kit_BOM!$A$2:$A$300,$A$6,Kit_BOM!$G$2:$G$300,"Mechanical")*$C$6+IF($F$5="Ja",SUMIFS(Kit_BOM!$F$2:$F$300,Kit_BOM!$E$2:$E$300,$A89,Kit_BOM!$A$2:$A$300,$A$6,Kit_BOM!$G$2:$G$300,"Optional")*$C$6,0)+IF($F$6="Ja",SUMIFS(Kit_BOM!$F$2:$F$300,Kit_BOM!$E$2:$E$300,$A89,Kit_BOM!$A$2:$A$300,$A$6,Kit_BOM!$G$2:$G$300,"DNP")*$C$6,0)+SUMIFS(Kit_BOM!$F$2:$F$300,Kit_BOM!$E$2:$E$300,$A89,Kit_BOM!$A$2:$A$300,$A$7,Kit_BOM!$G$2:$G$300,"Bestücken")*$C$7+SUMIFS(Kit_BOM!$F$2:$F$300,Kit_BOM!$E$2:$E$300,$A89,Kit_BOM!$A$2:$A$300,$A$7,Kit_BOM!$G$2:$G$300,"Mechanical")*$C$7+IF($F$5="Ja",SUMIFS(Kit_BOM!$F$2:$F$300,Kit_BOM!$E$2:$E$300,$A89,Kit_BOM!$A$2:$A$300,$A$7,Kit_BOM!$G$2:$G$300,"Optional")*$C$7,0)+IF($F$6="Ja",SUMIFS(Kit_BOM!$F$2:$F$300,Kit_BOM!$E$2:$E$300,$A89,Kit_BOM!$A$2:$A$300,$A$7,Kit_BOM!$G$2:$G$300,"DNP")*$C$7,0)+SUMIFS(Kit_BOM!$F$2:$F$300,Kit_BOM!$E$2:$E$300,$A89,Kit_BOM!$A$2:$A$300,$A$8,Kit_BOM!$G$2:$G$300,"Bestücken")*$C$8+SUMIFS(Kit_BOM!$F$2:$F$300,Kit_BOM!$E$2:$E$300,$A89,Kit_BOM!$A$2:$A$300,$A$8,Kit_BOM!$G$2:$G$300,"Mechanical")*$C$8+IF($F$5="Ja",SUMIFS(Kit_BOM!$F$2:$F$300,Kit_BOM!$E$2:$E$300,$A89,Kit_BOM!$A$2:$A$300,$A$8,Kit_BOM!$G$2:$G$300,"Optional")*$C$8,0)+IF($F$6="Ja",SUMIFS(Kit_BOM!$F$2:$F$300,Kit_BOM!$E$2:$E$300,$A89,Kit_BOM!$A$2:$A$300,$A$8,Kit_BOM!$G$2:$G$300,"DNP")*$C$8,0)+SUMIFS(Kit_BOM!$F$2:$F$300,Kit_BOM!$E$2:$E$300,$A89,Kit_BOM!$A$2:$A$300,$A$9,Kit_BOM!$G$2:$G$300,"Bestücken")*$C$9+SUMIFS(Kit_BOM!$F$2:$F$300,Kit_BOM!$E$2:$E$300,$A89,Kit_BOM!$A$2:$A$300,$A$9,Kit_BOM!$G$2:$G$300,"Mechanical")*$C$9+IF($F$5="Ja",SUMIFS(Kit_BOM!$F$2:$F$300,Kit_BOM!$E$2:$E$300,$A89,Kit_BOM!$A$2:$A$300,$A$9,Kit_BOM!$G$2:$G$300,"Optional")*$C$9,0)+IF($F$6="Ja",SUMIFS(Kit_BOM!$F$2:$F$300,Kit_BOM!$E$2:$E$300,$A89,Kit_BOM!$A$2:$A$300,$A$9,Kit_BOM!$G$2:$G$300,"DNP")*$C$9,0)+SUMIFS(Kit_BOM!$F$2:$F$300,Kit_BOM!$E$2:$E$300,$A89,Kit_BOM!$A$2:$A$300,$A$10,Kit_BOM!$G$2:$G$300,"Bestücken")*$C$10+SUMIFS(Kit_BOM!$F$2:$F$300,Kit_BOM!$E$2:$E$300,$A89,Kit_BOM!$A$2:$A$300,$A$10,Kit_BOM!$G$2:$G$300,"Mechanical")*$C$10+IF($F$5="Ja",SUMIFS(Kit_BOM!$F$2:$F$300,Kit_BOM!$E$2:$E$300,$A89,Kit_BOM!$A$2:$A$300,$A$10,Kit_BOM!$G$2:$G$300,"Optional")*$C$10,0)+IF($F$6="Ja",SUMIFS(Kit_BOM!$F$2:$F$300,Kit_BOM!$E$2:$E$300,$A89,Kit_BOM!$A$2:$A$300,$A$10,Kit_BOM!$G$2:$G$300,"DNP")*$C$10,0)+SUMIFS(Kit_BOM!$F$2:$F$300,Kit_BOM!$E$2:$E$300,$A89,Kit_BOM!$A$2:$A$300,$A$11,Kit_BOM!$G$2:$G$300,"Bestücken")*$C$11+SUMIFS(Kit_BOM!$F$2:$F$300,Kit_BOM!$E$2:$E$300,$A89,Kit_BOM!$A$2:$A$300,$A$11,Kit_BOM!$G$2:$G$300,"Mechanical")*$C$11+IF($F$5="Ja",SUMIFS(Kit_BOM!$F$2:$F$300,Kit_BOM!$E$2:$E$300,$A89,Kit_BOM!$A$2:$A$300,$A$11,Kit_BOM!$G$2:$G$300,"Optional")*$C$11,0)+IF($F$6="Ja",SUMIFS(Kit_BOM!$F$2:$F$300,Kit_BOM!$E$2:$E$300,$A89,Kit_BOM!$A$2:$A$300,$A$11,Kit_BOM!$G$2:$G$300,"DNP")*$C$11,0)+SUMIFS(Kit_BOM!$F$2:$F$300,Kit_BOM!$E$2:$E$300,$A89,Kit_BOM!$A$2:$A$300,$A$12,Kit_BOM!$G$2:$G$300,"Bestücken")*$C$12+SUMIFS(Kit_BOM!$F$2:$F$300,Kit_BOM!$E$2:$E$300,$A89,Kit_BOM!$A$2:$A$300,$A$12,Kit_BOM!$G$2:$G$300,"Mechanical")*$C$12+IF($F$5="Ja",SUMIFS(Kit_BOM!$F$2:$F$300,Kit_BOM!$E$2:$E$300,$A89,Kit_BOM!$A$2:$A$300,$A$12,Kit_BOM!$G$2:$G$300,"Optional")*$C$12,0)+IF($F$6="Ja",SUMIFS(Kit_BOM!$F$2:$F$300,Kit_BOM!$E$2:$E$300,$A89,Kit_BOM!$A$2:$A$300,$A$12,Kit_BOM!$G$2:$G$300,"DNP")*$C$12,0)+SUMIFS(Kit_BOM!$F$2:$F$300,Kit_BOM!$E$2:$E$300,$A89,Kit_BOM!$A$2:$A$300,$H$5,Kit_BOM!$G$2:$G$300,"Bestücken")*$J$5+SUMIFS(Kit_BOM!$F$2:$F$300,Kit_BOM!$E$2:$E$300,$A89,Kit_BOM!$A$2:$A$300,$H$5,Kit_BOM!$G$2:$G$300,"Mechanical")*$J$5+IF($F$5="Ja",SUMIFS(Kit_BOM!$F$2:$F$300,Kit_BOM!$E$2:$E$300,$A89,Kit_BOM!$A$2:$A$300,$H$5,Kit_BOM!$G$2:$G$300,"Optional")*$J$5,0)+IF($F$6="Ja",SUMIFS(Kit_BOM!$F$2:$F$300,Kit_BOM!$E$2:$E$300,$A89,Kit_BOM!$A$2:$A$300,$H$5,Kit_BOM!$G$2:$G$300,"DNP")*$J$5,0)+SUMIFS(Kit_BOM!$F$2:$F$300,Kit_BOM!$E$2:$E$300,$A89,Kit_BOM!$A$2:$A$300,$H$6,Kit_BOM!$G$2:$G$300,"Bestücken")*$J$6+SUMIFS(Kit_BOM!$F$2:$F$300,Kit_BOM!$E$2:$E$300,$A89,Kit_BOM!$A$2:$A$300,$H$6,Kit_BOM!$G$2:$G$300,"Mechanical")*$J$6+IF($F$5="Ja",SUMIFS(Kit_BOM!$F$2:$F$300,Kit_BOM!$E$2:$E$300,$A89,Kit_BOM!$A$2:$A$300,$H$6,Kit_BOM!$G$2:$G$300,"Optional")*$J$6,0)+IF($F$6="Ja",SUMIFS(Kit_BOM!$F$2:$F$300,Kit_BOM!$E$2:$E$300,$A89,Kit_BOM!$A$2:$A$300,$H$6,Kit_BOM!$G$2:$G$300,"DNP")*$J$6,0)</f>
        <v>2</v>
      </c>
      <c r="F89">
        <f>IFERROR(IF(_xlfn.XLOOKUP($A89&amp;"|Ja",Part_Suppliers!$L$2:$L$300,Part_Suppliers!$G$2:$G$300,"",0)=0,"",_xlfn.XLOOKUP($A89&amp;"|Ja",Part_Suppliers!$L$2:$L$300,Part_Suppliers!$G$2:$G$300,"",0)),"")</f>
        <v>5</v>
      </c>
      <c r="G89">
        <f t="shared" si="13"/>
        <v>5</v>
      </c>
      <c r="H89" t="str">
        <f>IFERROR(IF(_xlfn.XLOOKUP($A89&amp;"|Ja",Part_Suppliers!$L$2:$L$300,Part_Suppliers!$E$2:$E$300,"",0)=0,"",_xlfn.XLOOKUP($A89&amp;"|Ja",Part_Suppliers!$L$2:$L$300,Part_Suppliers!$E$2:$E$300,"",0)),"")</f>
        <v/>
      </c>
      <c r="I89" t="str">
        <f t="shared" si="19"/>
        <v/>
      </c>
      <c r="J89" t="str">
        <f>IF(AND(P89&gt;0,P89&lt;&gt;O89),"Manuelle Menge prüfen",IF(E89=0,"Nicht benötigt",IF(L89&lt;0,"Bestand klären",IF(O89=0,"Gedeckt","PCB-Auftrag prüfen"))))</f>
        <v>PCB-Auftrag prüfen</v>
      </c>
      <c r="K89" t="str">
        <f>IFERROR(IF(_xlfn.XLOOKUP($A89&amp;"|Ja",Part_Suppliers!$L$2:$L$300,Part_Suppliers!$D$2:$D$300,"",0)=0,"",_xlfn.XLOOKUP($A89&amp;"|Ja",Part_Suppliers!$L$2:$L$300,Part_Suppliers!$D$2:$D$300,"",0)),"")</f>
        <v>https://jlcpcb.com/</v>
      </c>
      <c r="L89">
        <f>IFERROR(VLOOKUP($A89,Stock!$A$5:$K$200,10,FALSE()),0)</f>
        <v>0</v>
      </c>
      <c r="M89">
        <f>IFERROR(VLOOKUP($A89,Stock!$A$5:$K$200,11,FALSE()),0)</f>
        <v>0</v>
      </c>
      <c r="N89">
        <f t="shared" si="15"/>
        <v>-2</v>
      </c>
      <c r="O89">
        <f t="shared" si="20"/>
        <v>5</v>
      </c>
      <c r="P89">
        <v>0</v>
      </c>
      <c r="Q89">
        <f t="shared" si="21"/>
        <v>0</v>
      </c>
      <c r="R89">
        <f>SUMIFS(Part_Alternatives!$H$2:$H$200,Part_Alternatives!$A$2:$A$200,$A89,Part_Alternatives!$E$2:$E$200,"Ja")</f>
        <v>0</v>
      </c>
      <c r="S89">
        <f>SUMIFS(Part_Alternatives!$I$2:$I$200,Part_Alternatives!$A$2:$A$200,$A89,Part_Alternatives!$E$2:$E$200,"Ja")</f>
        <v>0</v>
      </c>
      <c r="T89" t="str">
        <f>IFERROR(VLOOKUP($A89,Part_Alternatives!$A$2:$K$200,10,FALSE()),"")</f>
        <v/>
      </c>
    </row>
    <row r="90" spans="1:20" hidden="1" x14ac:dyDescent="0.15">
      <c r="A90" t="s">
        <v>1039</v>
      </c>
      <c r="B90" t="str">
        <f>IFERROR(VLOOKUP($A90,Parts!$A$2:$M$191,3,FALSE()),"")</f>
        <v>SCT013Head ADC-Pigtail, direkt angelötet</v>
      </c>
      <c r="C90" t="str">
        <f>IFERROR(IF(_xlfn.XLOOKUP($A90&amp;"|Ja",Part_Suppliers!$L$2:$L$300,Part_Suppliers!$B$2:$B$300,"",0)=0,"",_xlfn.XLOOKUP($A90&amp;"|Ja",Part_Suppliers!$L$2:$L$300,Part_Suppliers!$B$2:$B$300,"",0)),"")</f>
        <v>Noch festlegen</v>
      </c>
      <c r="D90" t="str">
        <f>IFERROR(IF(_xlfn.XLOOKUP($A90&amp;"|Ja",Part_Suppliers!$L$2:$L$300,Part_Suppliers!$C$2:$C$300,"",0)=0,"",_xlfn.XLOOKUP($A90&amp;"|Ja",Part_Suppliers!$L$2:$L$300,Part_Suppliers!$C$2:$C$300,"",0)),"")</f>
        <v/>
      </c>
      <c r="E90">
        <f>SUMIFS(Kit_BOM!$F$2:$F$300,Kit_BOM!$E$2:$E$300,$A90,Kit_BOM!$A$2:$A$300,$A$5,Kit_BOM!$G$2:$G$300,"Bestücken")*$C$5+SUMIFS(Kit_BOM!$F$2:$F$300,Kit_BOM!$E$2:$E$300,$A90,Kit_BOM!$A$2:$A$300,$A$5,Kit_BOM!$G$2:$G$300,"Mechanical")*$C$5+IF($F$5="Ja",SUMIFS(Kit_BOM!$F$2:$F$300,Kit_BOM!$E$2:$E$300,$A90,Kit_BOM!$A$2:$A$300,$A$5,Kit_BOM!$G$2:$G$300,"Optional")*$C$5,0)+IF($F$6="Ja",SUMIFS(Kit_BOM!$F$2:$F$300,Kit_BOM!$E$2:$E$300,$A90,Kit_BOM!$A$2:$A$300,$A$5,Kit_BOM!$G$2:$G$300,"DNP")*$C$5,0)+SUMIFS(Kit_BOM!$F$2:$F$300,Kit_BOM!$E$2:$E$300,$A90,Kit_BOM!$A$2:$A$300,$A$6,Kit_BOM!$G$2:$G$300,"Bestücken")*$C$6+SUMIFS(Kit_BOM!$F$2:$F$300,Kit_BOM!$E$2:$E$300,$A90,Kit_BOM!$A$2:$A$300,$A$6,Kit_BOM!$G$2:$G$300,"Mechanical")*$C$6+IF($F$5="Ja",SUMIFS(Kit_BOM!$F$2:$F$300,Kit_BOM!$E$2:$E$300,$A90,Kit_BOM!$A$2:$A$300,$A$6,Kit_BOM!$G$2:$G$300,"Optional")*$C$6,0)+IF($F$6="Ja",SUMIFS(Kit_BOM!$F$2:$F$300,Kit_BOM!$E$2:$E$300,$A90,Kit_BOM!$A$2:$A$300,$A$6,Kit_BOM!$G$2:$G$300,"DNP")*$C$6,0)+SUMIFS(Kit_BOM!$F$2:$F$300,Kit_BOM!$E$2:$E$300,$A90,Kit_BOM!$A$2:$A$300,$A$7,Kit_BOM!$G$2:$G$300,"Bestücken")*$C$7+SUMIFS(Kit_BOM!$F$2:$F$300,Kit_BOM!$E$2:$E$300,$A90,Kit_BOM!$A$2:$A$300,$A$7,Kit_BOM!$G$2:$G$300,"Mechanical")*$C$7+IF($F$5="Ja",SUMIFS(Kit_BOM!$F$2:$F$300,Kit_BOM!$E$2:$E$300,$A90,Kit_BOM!$A$2:$A$300,$A$7,Kit_BOM!$G$2:$G$300,"Optional")*$C$7,0)+IF($F$6="Ja",SUMIFS(Kit_BOM!$F$2:$F$300,Kit_BOM!$E$2:$E$300,$A90,Kit_BOM!$A$2:$A$300,$A$7,Kit_BOM!$G$2:$G$300,"DNP")*$C$7,0)+SUMIFS(Kit_BOM!$F$2:$F$300,Kit_BOM!$E$2:$E$300,$A90,Kit_BOM!$A$2:$A$300,$A$8,Kit_BOM!$G$2:$G$300,"Bestücken")*$C$8+SUMIFS(Kit_BOM!$F$2:$F$300,Kit_BOM!$E$2:$E$300,$A90,Kit_BOM!$A$2:$A$300,$A$8,Kit_BOM!$G$2:$G$300,"Mechanical")*$C$8+IF($F$5="Ja",SUMIFS(Kit_BOM!$F$2:$F$300,Kit_BOM!$E$2:$E$300,$A90,Kit_BOM!$A$2:$A$300,$A$8,Kit_BOM!$G$2:$G$300,"Optional")*$C$8,0)+IF($F$6="Ja",SUMIFS(Kit_BOM!$F$2:$F$300,Kit_BOM!$E$2:$E$300,$A90,Kit_BOM!$A$2:$A$300,$A$8,Kit_BOM!$G$2:$G$300,"DNP")*$C$8,0)+SUMIFS(Kit_BOM!$F$2:$F$300,Kit_BOM!$E$2:$E$300,$A90,Kit_BOM!$A$2:$A$300,$A$9,Kit_BOM!$G$2:$G$300,"Bestücken")*$C$9+SUMIFS(Kit_BOM!$F$2:$F$300,Kit_BOM!$E$2:$E$300,$A90,Kit_BOM!$A$2:$A$300,$A$9,Kit_BOM!$G$2:$G$300,"Mechanical")*$C$9+IF($F$5="Ja",SUMIFS(Kit_BOM!$F$2:$F$300,Kit_BOM!$E$2:$E$300,$A90,Kit_BOM!$A$2:$A$300,$A$9,Kit_BOM!$G$2:$G$300,"Optional")*$C$9,0)+IF($F$6="Ja",SUMIFS(Kit_BOM!$F$2:$F$300,Kit_BOM!$E$2:$E$300,$A90,Kit_BOM!$A$2:$A$300,$A$9,Kit_BOM!$G$2:$G$300,"DNP")*$C$9,0)+SUMIFS(Kit_BOM!$F$2:$F$300,Kit_BOM!$E$2:$E$300,$A90,Kit_BOM!$A$2:$A$300,$A$10,Kit_BOM!$G$2:$G$300,"Bestücken")*$C$10+SUMIFS(Kit_BOM!$F$2:$F$300,Kit_BOM!$E$2:$E$300,$A90,Kit_BOM!$A$2:$A$300,$A$10,Kit_BOM!$G$2:$G$300,"Mechanical")*$C$10+IF($F$5="Ja",SUMIFS(Kit_BOM!$F$2:$F$300,Kit_BOM!$E$2:$E$300,$A90,Kit_BOM!$A$2:$A$300,$A$10,Kit_BOM!$G$2:$G$300,"Optional")*$C$10,0)+IF($F$6="Ja",SUMIFS(Kit_BOM!$F$2:$F$300,Kit_BOM!$E$2:$E$300,$A90,Kit_BOM!$A$2:$A$300,$A$10,Kit_BOM!$G$2:$G$300,"DNP")*$C$10,0)+SUMIFS(Kit_BOM!$F$2:$F$300,Kit_BOM!$E$2:$E$300,$A90,Kit_BOM!$A$2:$A$300,$A$11,Kit_BOM!$G$2:$G$300,"Bestücken")*$C$11+SUMIFS(Kit_BOM!$F$2:$F$300,Kit_BOM!$E$2:$E$300,$A90,Kit_BOM!$A$2:$A$300,$A$11,Kit_BOM!$G$2:$G$300,"Mechanical")*$C$11+IF($F$5="Ja",SUMIFS(Kit_BOM!$F$2:$F$300,Kit_BOM!$E$2:$E$300,$A90,Kit_BOM!$A$2:$A$300,$A$11,Kit_BOM!$G$2:$G$300,"Optional")*$C$11,0)+IF($F$6="Ja",SUMIFS(Kit_BOM!$F$2:$F$300,Kit_BOM!$E$2:$E$300,$A90,Kit_BOM!$A$2:$A$300,$A$11,Kit_BOM!$G$2:$G$300,"DNP")*$C$11,0)+SUMIFS(Kit_BOM!$F$2:$F$300,Kit_BOM!$E$2:$E$300,$A90,Kit_BOM!$A$2:$A$300,$A$12,Kit_BOM!$G$2:$G$300,"Bestücken")*$C$12+SUMIFS(Kit_BOM!$F$2:$F$300,Kit_BOM!$E$2:$E$300,$A90,Kit_BOM!$A$2:$A$300,$A$12,Kit_BOM!$G$2:$G$300,"Mechanical")*$C$12+IF($F$5="Ja",SUMIFS(Kit_BOM!$F$2:$F$300,Kit_BOM!$E$2:$E$300,$A90,Kit_BOM!$A$2:$A$300,$A$12,Kit_BOM!$G$2:$G$300,"Optional")*$C$12,0)+IF($F$6="Ja",SUMIFS(Kit_BOM!$F$2:$F$300,Kit_BOM!$E$2:$E$300,$A90,Kit_BOM!$A$2:$A$300,$A$12,Kit_BOM!$G$2:$G$300,"DNP")*$C$12,0)+SUMIFS(Kit_BOM!$F$2:$F$300,Kit_BOM!$E$2:$E$300,$A90,Kit_BOM!$A$2:$A$300,$H$5,Kit_BOM!$G$2:$G$300,"Bestücken")*$J$5+SUMIFS(Kit_BOM!$F$2:$F$300,Kit_BOM!$E$2:$E$300,$A90,Kit_BOM!$A$2:$A$300,$H$5,Kit_BOM!$G$2:$G$300,"Mechanical")*$J$5+IF($F$5="Ja",SUMIFS(Kit_BOM!$F$2:$F$300,Kit_BOM!$E$2:$E$300,$A90,Kit_BOM!$A$2:$A$300,$H$5,Kit_BOM!$G$2:$G$300,"Optional")*$J$5,0)+IF($F$6="Ja",SUMIFS(Kit_BOM!$F$2:$F$300,Kit_BOM!$E$2:$E$300,$A90,Kit_BOM!$A$2:$A$300,$H$5,Kit_BOM!$G$2:$G$300,"DNP")*$J$5,0)+SUMIFS(Kit_BOM!$F$2:$F$300,Kit_BOM!$E$2:$E$300,$A90,Kit_BOM!$A$2:$A$300,$H$6,Kit_BOM!$G$2:$G$300,"Bestücken")*$J$6+SUMIFS(Kit_BOM!$F$2:$F$300,Kit_BOM!$E$2:$E$300,$A90,Kit_BOM!$A$2:$A$300,$H$6,Kit_BOM!$G$2:$G$300,"Mechanical")*$J$6+IF($F$5="Ja",SUMIFS(Kit_BOM!$F$2:$F$300,Kit_BOM!$E$2:$E$300,$A90,Kit_BOM!$A$2:$A$300,$H$6,Kit_BOM!$G$2:$G$300,"Optional")*$J$6,0)+IF($F$6="Ja",SUMIFS(Kit_BOM!$F$2:$F$300,Kit_BOM!$E$2:$E$300,$A90,Kit_BOM!$A$2:$A$300,$H$6,Kit_BOM!$G$2:$G$300,"DNP")*$J$6,0)</f>
        <v>1</v>
      </c>
      <c r="F90">
        <f>IFERROR(IF(_xlfn.XLOOKUP($A90&amp;"|Ja",Part_Suppliers!$L$2:$L$300,Part_Suppliers!$G$2:$G$300,"",0)=0,"",_xlfn.XLOOKUP($A90&amp;"|Ja",Part_Suppliers!$L$2:$L$300,Part_Suppliers!$G$2:$G$300,"",0)),"")</f>
        <v>1</v>
      </c>
      <c r="G90">
        <f t="shared" si="13"/>
        <v>1</v>
      </c>
      <c r="H90" t="str">
        <f>IFERROR(IF(_xlfn.XLOOKUP($A90&amp;"|Ja",Part_Suppliers!$L$2:$L$300,Part_Suppliers!$E$2:$E$300,"",0)=0,"",_xlfn.XLOOKUP($A90&amp;"|Ja",Part_Suppliers!$L$2:$L$300,Part_Suppliers!$E$2:$E$300,"",0)),"")</f>
        <v/>
      </c>
      <c r="I90" t="str">
        <f t="shared" si="19"/>
        <v/>
      </c>
      <c r="J90" t="str">
        <f>IF(AND(P90&gt;0,P90&lt;&gt;O90),"Manuelle Menge prüfen",IF(E90=0,"Nicht benötigt",IF(L90&lt;0,"Bestand klären",IF(O90=0,"Gedeckt",IF(OR(C90="",C90="Noch festlegen",D90=""),"Artikel offen",IF(H90="","Preis offen","Bestellvorschlag prüfen"))))))</f>
        <v>Gedeckt</v>
      </c>
      <c r="K90" t="str">
        <f>IFERROR(IF(_xlfn.XLOOKUP($A90&amp;"|Ja",Part_Suppliers!$L$2:$L$300,Part_Suppliers!$D$2:$D$300,"",0)=0,"",_xlfn.XLOOKUP($A90&amp;"|Ja",Part_Suppliers!$L$2:$L$300,Part_Suppliers!$D$2:$D$300,"",0)),"")</f>
        <v/>
      </c>
      <c r="L90">
        <f>IFERROR(VLOOKUP($A90,Stock!$A$5:$K$200,10,FALSE()),0)</f>
        <v>8</v>
      </c>
      <c r="M90">
        <f>IFERROR(VLOOKUP($A90,Stock!$A$5:$K$200,11,FALSE()),0)</f>
        <v>0</v>
      </c>
      <c r="N90">
        <f t="shared" si="15"/>
        <v>7</v>
      </c>
      <c r="O90">
        <f t="shared" si="20"/>
        <v>0</v>
      </c>
      <c r="P90">
        <v>0</v>
      </c>
      <c r="Q90">
        <f t="shared" si="21"/>
        <v>0</v>
      </c>
      <c r="R90">
        <f>SUMIFS(Part_Alternatives!$H$2:$H$200,Part_Alternatives!$A$2:$A$200,$A90,Part_Alternatives!$E$2:$E$200,"Ja")</f>
        <v>0</v>
      </c>
      <c r="S90">
        <f>SUMIFS(Part_Alternatives!$I$2:$I$200,Part_Alternatives!$A$2:$A$200,$A90,Part_Alternatives!$E$2:$E$200,"Ja")</f>
        <v>0</v>
      </c>
      <c r="T90" t="str">
        <f>IFERROR(VLOOKUP($A90,Part_Alternatives!$A$2:$K$200,10,FALSE()),"")</f>
        <v/>
      </c>
    </row>
    <row r="91" spans="1:20" ht="15" hidden="1" x14ac:dyDescent="0.2">
      <c r="A91" t="s">
        <v>177</v>
      </c>
      <c r="B91" t="str">
        <f>IFERROR(VLOOKUP($A91,Parts!$A$2:$M$191,3,FALSE()),"")</f>
        <v>WEIPU SP13 Kabelstecker, 4-polig</v>
      </c>
      <c r="C91" t="str">
        <f>IFERROR(IF(_xlfn.XLOOKUP($A91&amp;"|Ja",Part_Suppliers!$L$2:$L$300,Part_Suppliers!$B$2:$B$300,"",0)=0,"",_xlfn.XLOOKUP($A91&amp;"|Ja",Part_Suppliers!$L$2:$L$300,Part_Suppliers!$B$2:$B$300,"",0)),"")</f>
        <v>TME</v>
      </c>
      <c r="D91" t="str">
        <f>IFERROR(IF(_xlfn.XLOOKUP($A91&amp;"|Ja",Part_Suppliers!$L$2:$L$300,Part_Suppliers!$C$2:$C$300,"",0)=0,"",_xlfn.XLOOKUP($A91&amp;"|Ja",Part_Suppliers!$L$2:$L$300,Part_Suppliers!$C$2:$C$300,"",0)),"")</f>
        <v>SP1310/P4</v>
      </c>
      <c r="E91">
        <f>SUMIFS(Kit_BOM!$F$2:$F$300,Kit_BOM!$E$2:$E$300,$A91,Kit_BOM!$A$2:$A$300,$A$5,Kit_BOM!$G$2:$G$300,"Bestücken")*$C$5+SUMIFS(Kit_BOM!$F$2:$F$300,Kit_BOM!$E$2:$E$300,$A91,Kit_BOM!$A$2:$A$300,$A$5,Kit_BOM!$G$2:$G$300,"Mechanical")*$C$5+IF($F$5="Ja",SUMIFS(Kit_BOM!$F$2:$F$300,Kit_BOM!$E$2:$E$300,$A91,Kit_BOM!$A$2:$A$300,$A$5,Kit_BOM!$G$2:$G$300,"Optional")*$C$5,0)+IF($F$6="Ja",SUMIFS(Kit_BOM!$F$2:$F$300,Kit_BOM!$E$2:$E$300,$A91,Kit_BOM!$A$2:$A$300,$A$5,Kit_BOM!$G$2:$G$300,"DNP")*$C$5,0)+SUMIFS(Kit_BOM!$F$2:$F$300,Kit_BOM!$E$2:$E$300,$A91,Kit_BOM!$A$2:$A$300,$A$6,Kit_BOM!$G$2:$G$300,"Bestücken")*$C$6+SUMIFS(Kit_BOM!$F$2:$F$300,Kit_BOM!$E$2:$E$300,$A91,Kit_BOM!$A$2:$A$300,$A$6,Kit_BOM!$G$2:$G$300,"Mechanical")*$C$6+IF($F$5="Ja",SUMIFS(Kit_BOM!$F$2:$F$300,Kit_BOM!$E$2:$E$300,$A91,Kit_BOM!$A$2:$A$300,$A$6,Kit_BOM!$G$2:$G$300,"Optional")*$C$6,0)+IF($F$6="Ja",SUMIFS(Kit_BOM!$F$2:$F$300,Kit_BOM!$E$2:$E$300,$A91,Kit_BOM!$A$2:$A$300,$A$6,Kit_BOM!$G$2:$G$300,"DNP")*$C$6,0)+SUMIFS(Kit_BOM!$F$2:$F$300,Kit_BOM!$E$2:$E$300,$A91,Kit_BOM!$A$2:$A$300,$A$7,Kit_BOM!$G$2:$G$300,"Bestücken")*$C$7+SUMIFS(Kit_BOM!$F$2:$F$300,Kit_BOM!$E$2:$E$300,$A91,Kit_BOM!$A$2:$A$300,$A$7,Kit_BOM!$G$2:$G$300,"Mechanical")*$C$7+IF($F$5="Ja",SUMIFS(Kit_BOM!$F$2:$F$300,Kit_BOM!$E$2:$E$300,$A91,Kit_BOM!$A$2:$A$300,$A$7,Kit_BOM!$G$2:$G$300,"Optional")*$C$7,0)+IF($F$6="Ja",SUMIFS(Kit_BOM!$F$2:$F$300,Kit_BOM!$E$2:$E$300,$A91,Kit_BOM!$A$2:$A$300,$A$7,Kit_BOM!$G$2:$G$300,"DNP")*$C$7,0)+SUMIFS(Kit_BOM!$F$2:$F$300,Kit_BOM!$E$2:$E$300,$A91,Kit_BOM!$A$2:$A$300,$A$8,Kit_BOM!$G$2:$G$300,"Bestücken")*$C$8+SUMIFS(Kit_BOM!$F$2:$F$300,Kit_BOM!$E$2:$E$300,$A91,Kit_BOM!$A$2:$A$300,$A$8,Kit_BOM!$G$2:$G$300,"Mechanical")*$C$8+IF($F$5="Ja",SUMIFS(Kit_BOM!$F$2:$F$300,Kit_BOM!$E$2:$E$300,$A91,Kit_BOM!$A$2:$A$300,$A$8,Kit_BOM!$G$2:$G$300,"Optional")*$C$8,0)+IF($F$6="Ja",SUMIFS(Kit_BOM!$F$2:$F$300,Kit_BOM!$E$2:$E$300,$A91,Kit_BOM!$A$2:$A$300,$A$8,Kit_BOM!$G$2:$G$300,"DNP")*$C$8,0)+SUMIFS(Kit_BOM!$F$2:$F$300,Kit_BOM!$E$2:$E$300,$A91,Kit_BOM!$A$2:$A$300,$A$9,Kit_BOM!$G$2:$G$300,"Bestücken")*$C$9+SUMIFS(Kit_BOM!$F$2:$F$300,Kit_BOM!$E$2:$E$300,$A91,Kit_BOM!$A$2:$A$300,$A$9,Kit_BOM!$G$2:$G$300,"Mechanical")*$C$9+IF($F$5="Ja",SUMIFS(Kit_BOM!$F$2:$F$300,Kit_BOM!$E$2:$E$300,$A91,Kit_BOM!$A$2:$A$300,$A$9,Kit_BOM!$G$2:$G$300,"Optional")*$C$9,0)+IF($F$6="Ja",SUMIFS(Kit_BOM!$F$2:$F$300,Kit_BOM!$E$2:$E$300,$A91,Kit_BOM!$A$2:$A$300,$A$9,Kit_BOM!$G$2:$G$300,"DNP")*$C$9,0)+SUMIFS(Kit_BOM!$F$2:$F$300,Kit_BOM!$E$2:$E$300,$A91,Kit_BOM!$A$2:$A$300,$A$10,Kit_BOM!$G$2:$G$300,"Bestücken")*$C$10+SUMIFS(Kit_BOM!$F$2:$F$300,Kit_BOM!$E$2:$E$300,$A91,Kit_BOM!$A$2:$A$300,$A$10,Kit_BOM!$G$2:$G$300,"Mechanical")*$C$10+IF($F$5="Ja",SUMIFS(Kit_BOM!$F$2:$F$300,Kit_BOM!$E$2:$E$300,$A91,Kit_BOM!$A$2:$A$300,$A$10,Kit_BOM!$G$2:$G$300,"Optional")*$C$10,0)+IF($F$6="Ja",SUMIFS(Kit_BOM!$F$2:$F$300,Kit_BOM!$E$2:$E$300,$A91,Kit_BOM!$A$2:$A$300,$A$10,Kit_BOM!$G$2:$G$300,"DNP")*$C$10,0)+SUMIFS(Kit_BOM!$F$2:$F$300,Kit_BOM!$E$2:$E$300,$A91,Kit_BOM!$A$2:$A$300,$A$11,Kit_BOM!$G$2:$G$300,"Bestücken")*$C$11+SUMIFS(Kit_BOM!$F$2:$F$300,Kit_BOM!$E$2:$E$300,$A91,Kit_BOM!$A$2:$A$300,$A$11,Kit_BOM!$G$2:$G$300,"Mechanical")*$C$11+IF($F$5="Ja",SUMIFS(Kit_BOM!$F$2:$F$300,Kit_BOM!$E$2:$E$300,$A91,Kit_BOM!$A$2:$A$300,$A$11,Kit_BOM!$G$2:$G$300,"Optional")*$C$11,0)+IF($F$6="Ja",SUMIFS(Kit_BOM!$F$2:$F$300,Kit_BOM!$E$2:$E$300,$A91,Kit_BOM!$A$2:$A$300,$A$11,Kit_BOM!$G$2:$G$300,"DNP")*$C$11,0)+SUMIFS(Kit_BOM!$F$2:$F$300,Kit_BOM!$E$2:$E$300,$A91,Kit_BOM!$A$2:$A$300,$A$12,Kit_BOM!$G$2:$G$300,"Bestücken")*$C$12+SUMIFS(Kit_BOM!$F$2:$F$300,Kit_BOM!$E$2:$E$300,$A91,Kit_BOM!$A$2:$A$300,$A$12,Kit_BOM!$G$2:$G$300,"Mechanical")*$C$12+IF($F$5="Ja",SUMIFS(Kit_BOM!$F$2:$F$300,Kit_BOM!$E$2:$E$300,$A91,Kit_BOM!$A$2:$A$300,$A$12,Kit_BOM!$G$2:$G$300,"Optional")*$C$12,0)+IF($F$6="Ja",SUMIFS(Kit_BOM!$F$2:$F$300,Kit_BOM!$E$2:$E$300,$A91,Kit_BOM!$A$2:$A$300,$A$12,Kit_BOM!$G$2:$G$300,"DNP")*$C$12,0)+SUMIFS(Kit_BOM!$F$2:$F$300,Kit_BOM!$E$2:$E$300,$A91,Kit_BOM!$A$2:$A$300,$H$5,Kit_BOM!$G$2:$G$300,"Bestücken")*$J$5+SUMIFS(Kit_BOM!$F$2:$F$300,Kit_BOM!$E$2:$E$300,$A91,Kit_BOM!$A$2:$A$300,$H$5,Kit_BOM!$G$2:$G$300,"Mechanical")*$J$5+IF($F$5="Ja",SUMIFS(Kit_BOM!$F$2:$F$300,Kit_BOM!$E$2:$E$300,$A91,Kit_BOM!$A$2:$A$300,$H$5,Kit_BOM!$G$2:$G$300,"Optional")*$J$5,0)+IF($F$6="Ja",SUMIFS(Kit_BOM!$F$2:$F$300,Kit_BOM!$E$2:$E$300,$A91,Kit_BOM!$A$2:$A$300,$H$5,Kit_BOM!$G$2:$G$300,"DNP")*$J$5,0)+SUMIFS(Kit_BOM!$F$2:$F$300,Kit_BOM!$E$2:$E$300,$A91,Kit_BOM!$A$2:$A$300,$H$6,Kit_BOM!$G$2:$G$300,"Bestücken")*$J$6+SUMIFS(Kit_BOM!$F$2:$F$300,Kit_BOM!$E$2:$E$300,$A91,Kit_BOM!$A$2:$A$300,$H$6,Kit_BOM!$G$2:$G$300,"Mechanical")*$J$6+IF($F$5="Ja",SUMIFS(Kit_BOM!$F$2:$F$300,Kit_BOM!$E$2:$E$300,$A91,Kit_BOM!$A$2:$A$300,$H$6,Kit_BOM!$G$2:$G$300,"Optional")*$J$6,0)+IF($F$6="Ja",SUMIFS(Kit_BOM!$F$2:$F$300,Kit_BOM!$E$2:$E$300,$A91,Kit_BOM!$A$2:$A$300,$H$6,Kit_BOM!$G$2:$G$300,"DNP")*$J$6,0)</f>
        <v>2</v>
      </c>
      <c r="F91">
        <f>IFERROR(IF(_xlfn.XLOOKUP($A91&amp;"|Ja",Part_Suppliers!$L$2:$L$300,Part_Suppliers!$G$2:$G$300,"",0)=0,"",_xlfn.XLOOKUP($A91&amp;"|Ja",Part_Suppliers!$L$2:$L$300,Part_Suppliers!$G$2:$G$300,"",0)),"")</f>
        <v>1</v>
      </c>
      <c r="G91">
        <f t="shared" si="13"/>
        <v>2</v>
      </c>
      <c r="H91">
        <f>IFERROR(IF(_xlfn.XLOOKUP($A91&amp;"|Ja",Part_Suppliers!$L$2:$L$300,Part_Suppliers!$E$2:$E$300,"",0)=0,"",_xlfn.XLOOKUP($A91&amp;"|Ja",Part_Suppliers!$L$2:$L$300,Part_Suppliers!$E$2:$E$300,"",0)),"")</f>
        <v>3.92</v>
      </c>
      <c r="I91">
        <f t="shared" si="19"/>
        <v>7.84</v>
      </c>
      <c r="J91" t="str">
        <f>IF(AND(P91&gt;0,P91&lt;&gt;O91),"Manuelle Menge prüfen",IF(E91=0,"Nicht benötigt",IF(L91&lt;0,"Bestand klären",IF(O91=0,"Gedeckt",IF(OR(C91="",C91="Noch festlegen",D91=""),"Artikel offen",IF(H91="","Preis offen","Bestellvorschlag prüfen"))))))</f>
        <v>Bestellvorschlag prüfen</v>
      </c>
      <c r="K91" t="str">
        <f>IFERROR(IF(_xlfn.XLOOKUP($A91&amp;"|Ja",Part_Suppliers!$L$2:$L$300,Part_Suppliers!$D$2:$D$300,"",0)=0,"",_xlfn.XLOOKUP($A91&amp;"|Ja",Part_Suppliers!$L$2:$L$300,Part_Suppliers!$D$2:$D$300,"",0)),"")</f>
        <v>https://www.tme.eu/de/katalog/weipu-steckverbinder_112972/params/b1247_elektrische-montage/p1436385_loeten/</v>
      </c>
      <c r="L91">
        <f>IFERROR(VLOOKUP($A91,Stock!$A$5:$K$200,10,FALSE()),0)</f>
        <v>0</v>
      </c>
      <c r="M91">
        <f>IFERROR(VLOOKUP($A91,Stock!$A$5:$K$200,11,FALSE()),0)</f>
        <v>0</v>
      </c>
      <c r="N91">
        <f t="shared" si="15"/>
        <v>-2</v>
      </c>
      <c r="O91">
        <f t="shared" si="20"/>
        <v>2</v>
      </c>
      <c r="P91" s="48">
        <v>0</v>
      </c>
      <c r="Q91" s="49">
        <f t="shared" si="21"/>
        <v>0</v>
      </c>
      <c r="R91" s="82">
        <f>SUMIFS(Part_Alternatives!$H$2:$H$200,Part_Alternatives!$A$2:$A$200,$A91,Part_Alternatives!$E$2:$E$200,"Ja")</f>
        <v>0</v>
      </c>
      <c r="S91" s="82">
        <f>SUMIFS(Part_Alternatives!$I$2:$I$200,Part_Alternatives!$A$2:$A$200,$A91,Part_Alternatives!$E$2:$E$200,"Ja")</f>
        <v>0</v>
      </c>
      <c r="T91" s="80" t="str">
        <f>IFERROR(VLOOKUP($A91,Part_Alternatives!$A$2:$K$200,10,FALSE()),"")</f>
        <v/>
      </c>
    </row>
    <row r="92" spans="1:20" hidden="1" x14ac:dyDescent="0.15">
      <c r="A92" t="s">
        <v>1033</v>
      </c>
      <c r="B92" t="str">
        <f>IFERROR(VLOOKUP($A92,Parts!$A$2:$M$191,3,FALSE()),"")</f>
        <v>SCT013Head PCB Rev 0.1</v>
      </c>
      <c r="C92" t="str">
        <f>IFERROR(IF(_xlfn.XLOOKUP($A92&amp;"|Ja",Part_Suppliers!$L$2:$L$300,Part_Suppliers!$B$2:$B$300,"",0)=0,"",_xlfn.XLOOKUP($A92&amp;"|Ja",Part_Suppliers!$L$2:$L$300,Part_Suppliers!$B$2:$B$300,"",0)),"")</f>
        <v>JLCPCB</v>
      </c>
      <c r="D92" t="str">
        <f>IFERROR(IF(_xlfn.XLOOKUP($A92&amp;"|Ja",Part_Suppliers!$L$2:$L$300,Part_Suppliers!$C$2:$C$300,"",0)=0,"",_xlfn.XLOOKUP($A92&amp;"|Ja",Part_Suppliers!$L$2:$L$300,Part_Suppliers!$C$2:$C$300,"",0)),"")</f>
        <v/>
      </c>
      <c r="E92">
        <f>SUMIFS(Kit_BOM!$F$2:$F$300,Kit_BOM!$E$2:$E$300,$A92,Kit_BOM!$A$2:$A$300,$A$5,Kit_BOM!$G$2:$G$300,"Bestücken")*$C$5+SUMIFS(Kit_BOM!$F$2:$F$300,Kit_BOM!$E$2:$E$300,$A92,Kit_BOM!$A$2:$A$300,$A$5,Kit_BOM!$G$2:$G$300,"Mechanical")*$C$5+IF($F$5="Ja",SUMIFS(Kit_BOM!$F$2:$F$300,Kit_BOM!$E$2:$E$300,$A92,Kit_BOM!$A$2:$A$300,$A$5,Kit_BOM!$G$2:$G$300,"Optional")*$C$5,0)+IF($F$6="Ja",SUMIFS(Kit_BOM!$F$2:$F$300,Kit_BOM!$E$2:$E$300,$A92,Kit_BOM!$A$2:$A$300,$A$5,Kit_BOM!$G$2:$G$300,"DNP")*$C$5,0)+SUMIFS(Kit_BOM!$F$2:$F$300,Kit_BOM!$E$2:$E$300,$A92,Kit_BOM!$A$2:$A$300,$A$6,Kit_BOM!$G$2:$G$300,"Bestücken")*$C$6+SUMIFS(Kit_BOM!$F$2:$F$300,Kit_BOM!$E$2:$E$300,$A92,Kit_BOM!$A$2:$A$300,$A$6,Kit_BOM!$G$2:$G$300,"Mechanical")*$C$6+IF($F$5="Ja",SUMIFS(Kit_BOM!$F$2:$F$300,Kit_BOM!$E$2:$E$300,$A92,Kit_BOM!$A$2:$A$300,$A$6,Kit_BOM!$G$2:$G$300,"Optional")*$C$6,0)+IF($F$6="Ja",SUMIFS(Kit_BOM!$F$2:$F$300,Kit_BOM!$E$2:$E$300,$A92,Kit_BOM!$A$2:$A$300,$A$6,Kit_BOM!$G$2:$G$300,"DNP")*$C$6,0)+SUMIFS(Kit_BOM!$F$2:$F$300,Kit_BOM!$E$2:$E$300,$A92,Kit_BOM!$A$2:$A$300,$A$7,Kit_BOM!$G$2:$G$300,"Bestücken")*$C$7+SUMIFS(Kit_BOM!$F$2:$F$300,Kit_BOM!$E$2:$E$300,$A92,Kit_BOM!$A$2:$A$300,$A$7,Kit_BOM!$G$2:$G$300,"Mechanical")*$C$7+IF($F$5="Ja",SUMIFS(Kit_BOM!$F$2:$F$300,Kit_BOM!$E$2:$E$300,$A92,Kit_BOM!$A$2:$A$300,$A$7,Kit_BOM!$G$2:$G$300,"Optional")*$C$7,0)+IF($F$6="Ja",SUMIFS(Kit_BOM!$F$2:$F$300,Kit_BOM!$E$2:$E$300,$A92,Kit_BOM!$A$2:$A$300,$A$7,Kit_BOM!$G$2:$G$300,"DNP")*$C$7,0)+SUMIFS(Kit_BOM!$F$2:$F$300,Kit_BOM!$E$2:$E$300,$A92,Kit_BOM!$A$2:$A$300,$A$8,Kit_BOM!$G$2:$G$300,"Bestücken")*$C$8+SUMIFS(Kit_BOM!$F$2:$F$300,Kit_BOM!$E$2:$E$300,$A92,Kit_BOM!$A$2:$A$300,$A$8,Kit_BOM!$G$2:$G$300,"Mechanical")*$C$8+IF($F$5="Ja",SUMIFS(Kit_BOM!$F$2:$F$300,Kit_BOM!$E$2:$E$300,$A92,Kit_BOM!$A$2:$A$300,$A$8,Kit_BOM!$G$2:$G$300,"Optional")*$C$8,0)+IF($F$6="Ja",SUMIFS(Kit_BOM!$F$2:$F$300,Kit_BOM!$E$2:$E$300,$A92,Kit_BOM!$A$2:$A$300,$A$8,Kit_BOM!$G$2:$G$300,"DNP")*$C$8,0)+SUMIFS(Kit_BOM!$F$2:$F$300,Kit_BOM!$E$2:$E$300,$A92,Kit_BOM!$A$2:$A$300,$A$9,Kit_BOM!$G$2:$G$300,"Bestücken")*$C$9+SUMIFS(Kit_BOM!$F$2:$F$300,Kit_BOM!$E$2:$E$300,$A92,Kit_BOM!$A$2:$A$300,$A$9,Kit_BOM!$G$2:$G$300,"Mechanical")*$C$9+IF($F$5="Ja",SUMIFS(Kit_BOM!$F$2:$F$300,Kit_BOM!$E$2:$E$300,$A92,Kit_BOM!$A$2:$A$300,$A$9,Kit_BOM!$G$2:$G$300,"Optional")*$C$9,0)+IF($F$6="Ja",SUMIFS(Kit_BOM!$F$2:$F$300,Kit_BOM!$E$2:$E$300,$A92,Kit_BOM!$A$2:$A$300,$A$9,Kit_BOM!$G$2:$G$300,"DNP")*$C$9,0)+SUMIFS(Kit_BOM!$F$2:$F$300,Kit_BOM!$E$2:$E$300,$A92,Kit_BOM!$A$2:$A$300,$A$10,Kit_BOM!$G$2:$G$300,"Bestücken")*$C$10+SUMIFS(Kit_BOM!$F$2:$F$300,Kit_BOM!$E$2:$E$300,$A92,Kit_BOM!$A$2:$A$300,$A$10,Kit_BOM!$G$2:$G$300,"Mechanical")*$C$10+IF($F$5="Ja",SUMIFS(Kit_BOM!$F$2:$F$300,Kit_BOM!$E$2:$E$300,$A92,Kit_BOM!$A$2:$A$300,$A$10,Kit_BOM!$G$2:$G$300,"Optional")*$C$10,0)+IF($F$6="Ja",SUMIFS(Kit_BOM!$F$2:$F$300,Kit_BOM!$E$2:$E$300,$A92,Kit_BOM!$A$2:$A$300,$A$10,Kit_BOM!$G$2:$G$300,"DNP")*$C$10,0)+SUMIFS(Kit_BOM!$F$2:$F$300,Kit_BOM!$E$2:$E$300,$A92,Kit_BOM!$A$2:$A$300,$A$11,Kit_BOM!$G$2:$G$300,"Bestücken")*$C$11+SUMIFS(Kit_BOM!$F$2:$F$300,Kit_BOM!$E$2:$E$300,$A92,Kit_BOM!$A$2:$A$300,$A$11,Kit_BOM!$G$2:$G$300,"Mechanical")*$C$11+IF($F$5="Ja",SUMIFS(Kit_BOM!$F$2:$F$300,Kit_BOM!$E$2:$E$300,$A92,Kit_BOM!$A$2:$A$300,$A$11,Kit_BOM!$G$2:$G$300,"Optional")*$C$11,0)+IF($F$6="Ja",SUMIFS(Kit_BOM!$F$2:$F$300,Kit_BOM!$E$2:$E$300,$A92,Kit_BOM!$A$2:$A$300,$A$11,Kit_BOM!$G$2:$G$300,"DNP")*$C$11,0)+SUMIFS(Kit_BOM!$F$2:$F$300,Kit_BOM!$E$2:$E$300,$A92,Kit_BOM!$A$2:$A$300,$A$12,Kit_BOM!$G$2:$G$300,"Bestücken")*$C$12+SUMIFS(Kit_BOM!$F$2:$F$300,Kit_BOM!$E$2:$E$300,$A92,Kit_BOM!$A$2:$A$300,$A$12,Kit_BOM!$G$2:$G$300,"Mechanical")*$C$12+IF($F$5="Ja",SUMIFS(Kit_BOM!$F$2:$F$300,Kit_BOM!$E$2:$E$300,$A92,Kit_BOM!$A$2:$A$300,$A$12,Kit_BOM!$G$2:$G$300,"Optional")*$C$12,0)+IF($F$6="Ja",SUMIFS(Kit_BOM!$F$2:$F$300,Kit_BOM!$E$2:$E$300,$A92,Kit_BOM!$A$2:$A$300,$A$12,Kit_BOM!$G$2:$G$300,"DNP")*$C$12,0)+SUMIFS(Kit_BOM!$F$2:$F$300,Kit_BOM!$E$2:$E$300,$A92,Kit_BOM!$A$2:$A$300,$H$5,Kit_BOM!$G$2:$G$300,"Bestücken")*$J$5+SUMIFS(Kit_BOM!$F$2:$F$300,Kit_BOM!$E$2:$E$300,$A92,Kit_BOM!$A$2:$A$300,$H$5,Kit_BOM!$G$2:$G$300,"Mechanical")*$J$5+IF($F$5="Ja",SUMIFS(Kit_BOM!$F$2:$F$300,Kit_BOM!$E$2:$E$300,$A92,Kit_BOM!$A$2:$A$300,$H$5,Kit_BOM!$G$2:$G$300,"Optional")*$J$5,0)+IF($F$6="Ja",SUMIFS(Kit_BOM!$F$2:$F$300,Kit_BOM!$E$2:$E$300,$A92,Kit_BOM!$A$2:$A$300,$H$5,Kit_BOM!$G$2:$G$300,"DNP")*$J$5,0)+SUMIFS(Kit_BOM!$F$2:$F$300,Kit_BOM!$E$2:$E$300,$A92,Kit_BOM!$A$2:$A$300,$H$6,Kit_BOM!$G$2:$G$300,"Bestücken")*$J$6+SUMIFS(Kit_BOM!$F$2:$F$300,Kit_BOM!$E$2:$E$300,$A92,Kit_BOM!$A$2:$A$300,$H$6,Kit_BOM!$G$2:$G$300,"Mechanical")*$J$6+IF($F$5="Ja",SUMIFS(Kit_BOM!$F$2:$F$300,Kit_BOM!$E$2:$E$300,$A92,Kit_BOM!$A$2:$A$300,$H$6,Kit_BOM!$G$2:$G$300,"Optional")*$J$6,0)+IF($F$6="Ja",SUMIFS(Kit_BOM!$F$2:$F$300,Kit_BOM!$E$2:$E$300,$A92,Kit_BOM!$A$2:$A$300,$H$6,Kit_BOM!$G$2:$G$300,"DNP")*$J$6,0)</f>
        <v>1</v>
      </c>
      <c r="F92">
        <f>IFERROR(IF(_xlfn.XLOOKUP($A92&amp;"|Ja",Part_Suppliers!$L$2:$L$300,Part_Suppliers!$G$2:$G$300,"",0)=0,"",_xlfn.XLOOKUP($A92&amp;"|Ja",Part_Suppliers!$L$2:$L$300,Part_Suppliers!$G$2:$G$300,"",0)),"")</f>
        <v>5</v>
      </c>
      <c r="G92">
        <f t="shared" ref="G92" si="22">IF($E92=0,0,IF(OR($F92="",$F92=0),$E92,CEILING($E92,$F92)))</f>
        <v>5</v>
      </c>
      <c r="H92" t="str">
        <f>IFERROR(IF(_xlfn.XLOOKUP($A92&amp;"|Ja",Part_Suppliers!$L$2:$L$300,Part_Suppliers!$E$2:$E$300,"",0)=0,"",_xlfn.XLOOKUP($A92&amp;"|Ja",Part_Suppliers!$L$2:$L$300,Part_Suppliers!$E$2:$E$300,"",0)),"")</f>
        <v/>
      </c>
      <c r="I92" t="str">
        <f t="shared" ref="I92" si="23">IF(H92="","",G92*H92)</f>
        <v/>
      </c>
      <c r="J92" t="str">
        <f>IF(AND(P92&gt;0,P92&lt;&gt;O92),"Manuelle Menge prüfen",IF(E92=0,"Nicht benötigt",IF(L92&lt;0,"Bestand klären",IF(O92=0,"Gedeckt","PCB-Auftrag prüfen"))))</f>
        <v>PCB-Auftrag prüfen</v>
      </c>
      <c r="K92" t="str">
        <f>IFERROR(IF(_xlfn.XLOOKUP($A92&amp;"|Ja",Part_Suppliers!$L$2:$L$300,Part_Suppliers!$D$2:$D$300,"",0)=0,"",_xlfn.XLOOKUP($A92&amp;"|Ja",Part_Suppliers!$L$2:$L$300,Part_Suppliers!$D$2:$D$300,"",0)),"")</f>
        <v>https://jlcpcb.com/</v>
      </c>
      <c r="L92">
        <f>IFERROR(VLOOKUP($A92,Stock!$A$5:$K$200,10,FALSE()),0)</f>
        <v>0</v>
      </c>
      <c r="M92">
        <f>IFERROR(VLOOKUP($A92,Stock!$A$5:$K$200,11,FALSE()),0)</f>
        <v>0</v>
      </c>
      <c r="N92">
        <f t="shared" ref="N92" si="24">$L92+$M92+$R92+$S92-$E92</f>
        <v>-1</v>
      </c>
      <c r="O92">
        <f t="shared" ref="O92" si="25">IF(E92=0,0,IF(N92&gt;=0,0,CEILING(-N92,IF(OR(F92="",F92=0),1,F92))))</f>
        <v>5</v>
      </c>
      <c r="P92">
        <v>0</v>
      </c>
      <c r="Q92">
        <f t="shared" ref="Q92" si="26">IF(P92=0,0,IF(H92="","",P92*H92))</f>
        <v>0</v>
      </c>
      <c r="R92">
        <f>SUMIFS(Part_Alternatives!$H$2:$H$200,Part_Alternatives!$A$2:$A$200,$A92,Part_Alternatives!$E$2:$E$200,"Ja")</f>
        <v>0</v>
      </c>
      <c r="S92">
        <f>SUMIFS(Part_Alternatives!$I$2:$I$200,Part_Alternatives!$A$2:$A$200,$A92,Part_Alternatives!$E$2:$E$200,"Ja")</f>
        <v>0</v>
      </c>
      <c r="T92" t="str">
        <f>IFERROR(VLOOKUP($A92,Part_Alternatives!$A$2:$K$200,10,FALSE()),"")</f>
        <v/>
      </c>
    </row>
    <row r="93" spans="1:20" x14ac:dyDescent="0.15">
      <c r="A93" t="s">
        <v>1157</v>
      </c>
      <c r="I93">
        <f>SUBTOTAL(109,OrderListTable[Bedarfswert_EUR])</f>
        <v>42.75</v>
      </c>
      <c r="T93">
        <f>SUBTOTAL(103,OrderListTable[Freigegebene_Alternative])</f>
        <v>5</v>
      </c>
    </row>
  </sheetData>
  <mergeCells count="3">
    <mergeCell ref="A1:K1"/>
    <mergeCell ref="A2:K2"/>
    <mergeCell ref="F8:J9"/>
  </mergeCells>
  <conditionalFormatting sqref="A18:K55 C63">
    <cfRule type="expression" dxfId="6" priority="5">
      <formula>$E18=0</formula>
    </cfRule>
  </conditionalFormatting>
  <conditionalFormatting sqref="J18:J55">
    <cfRule type="containsText" dxfId="5" priority="2" operator="containsText" text="Reichelt bereit">
      <formula>NOT(ISERROR(SEARCH("Reichelt bereit",J18)))</formula>
    </cfRule>
    <cfRule type="containsText" dxfId="4" priority="3" operator="containsText" text="Anderer Lieferant">
      <formula>NOT(ISERROR(SEARCH("Anderer Lieferant",J18)))</formula>
    </cfRule>
    <cfRule type="containsText" dxfId="3" priority="4" operator="containsText" text="Supplier-PN fehlt">
      <formula>NOT(ISERROR(SEARCH("Supplier-PN fehlt",J18)))</formula>
    </cfRule>
  </conditionalFormatting>
  <conditionalFormatting sqref="N18:N62">
    <cfRule type="cellIs" dxfId="2" priority="6" operator="lessThan">
      <formula>0</formula>
    </cfRule>
    <cfRule type="cellIs" dxfId="1" priority="7" operator="greaterThanOrEqual">
      <formula>0</formula>
    </cfRule>
  </conditionalFormatting>
  <conditionalFormatting sqref="O18:O62">
    <cfRule type="cellIs" dxfId="0" priority="8" operator="greaterThan">
      <formula>0</formula>
    </cfRule>
  </conditionalFormatting>
  <dataValidations count="3">
    <dataValidation type="whole" sqref="C5:C8" xr:uid="{00000000-0002-0000-0300-000000000000}">
      <formula1>0</formula1>
      <formula2>999</formula2>
    </dataValidation>
    <dataValidation type="list" sqref="F5:F6" xr:uid="{00000000-0002-0000-0300-000001000000}">
      <formula1>"Nein,Ja"</formula1>
      <formula2>0</formula2>
    </dataValidation>
    <dataValidation type="whole" sqref="P18:P69" xr:uid="{00000000-0002-0000-0300-000002000000}">
      <formula1>0</formula1>
      <formula2>999999</formula2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500"/>
  <sheetViews>
    <sheetView showGridLines="0" topLeftCell="A112" workbookViewId="0">
      <selection activeCell="K123" sqref="K123"/>
    </sheetView>
  </sheetViews>
  <sheetFormatPr baseColWidth="10" defaultColWidth="8.83203125" defaultRowHeight="13" x14ac:dyDescent="0.15"/>
  <cols>
    <col min="1" max="1" width="14" customWidth="1"/>
    <col min="2" max="2" width="16" customWidth="1"/>
    <col min="3" max="3" width="32" customWidth="1"/>
    <col min="4" max="4" width="22" customWidth="1"/>
    <col min="5" max="5" width="42" customWidth="1"/>
    <col min="6" max="6" width="22" customWidth="1"/>
    <col min="7" max="7" width="24" customWidth="1"/>
    <col min="8" max="8" width="16" customWidth="1"/>
    <col min="9" max="9" width="22" customWidth="1"/>
    <col min="10" max="11" width="11" customWidth="1"/>
    <col min="12" max="12" width="30" customWidth="1"/>
    <col min="13" max="13" width="48" customWidth="1"/>
    <col min="14" max="14" width="22" customWidth="1"/>
    <col min="15" max="15" width="15" customWidth="1"/>
    <col min="17" max="17" width="18" customWidth="1"/>
    <col min="18" max="18" width="24" customWidth="1"/>
    <col min="19" max="19" width="2" customWidth="1"/>
  </cols>
  <sheetData>
    <row r="1" spans="1:19" ht="26" customHeight="1" x14ac:dyDescent="0.15">
      <c r="A1" s="123" t="s">
        <v>75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Q1" s="124" t="s">
        <v>76</v>
      </c>
      <c r="R1" s="124"/>
    </row>
    <row r="2" spans="1:19" ht="26" customHeight="1" x14ac:dyDescent="0.2">
      <c r="A2" s="121" t="s">
        <v>77</v>
      </c>
      <c r="B2" s="121"/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Q2" s="50" t="s">
        <v>78</v>
      </c>
      <c r="R2" s="51">
        <v>1</v>
      </c>
    </row>
    <row r="3" spans="1:19" ht="15" x14ac:dyDescent="0.2">
      <c r="Q3" s="50" t="s">
        <v>79</v>
      </c>
      <c r="R3" s="52">
        <v>1</v>
      </c>
    </row>
    <row r="4" spans="1:19" ht="15" customHeight="1" x14ac:dyDescent="0.2">
      <c r="A4" s="26" t="s">
        <v>22</v>
      </c>
      <c r="B4" s="26" t="s">
        <v>1</v>
      </c>
      <c r="C4" s="26" t="s">
        <v>2</v>
      </c>
      <c r="D4" s="26" t="s">
        <v>3</v>
      </c>
      <c r="E4" s="26" t="s">
        <v>4</v>
      </c>
      <c r="F4" s="26" t="s">
        <v>5</v>
      </c>
      <c r="G4" s="26" t="s">
        <v>6</v>
      </c>
      <c r="H4" s="53" t="s">
        <v>59</v>
      </c>
      <c r="I4" s="53" t="s">
        <v>60</v>
      </c>
      <c r="J4" s="26" t="s">
        <v>67</v>
      </c>
      <c r="K4" s="26" t="s">
        <v>68</v>
      </c>
      <c r="L4" s="26" t="s">
        <v>7</v>
      </c>
      <c r="M4" s="26" t="s">
        <v>11</v>
      </c>
      <c r="N4" s="44" t="s">
        <v>80</v>
      </c>
      <c r="O4" s="54" t="s">
        <v>81</v>
      </c>
      <c r="Q4" s="50" t="s">
        <v>82</v>
      </c>
      <c r="R4" s="52">
        <f>MOD(Stock!R2-1,3)+1</f>
        <v>1</v>
      </c>
      <c r="S4" s="55" t="s">
        <v>83</v>
      </c>
    </row>
    <row r="5" spans="1:19" ht="39.5" customHeight="1" x14ac:dyDescent="0.2">
      <c r="A5" t="s">
        <v>84</v>
      </c>
      <c r="B5" t="str">
        <f>IFERROR(IF(VLOOKUP($A5,Parts!$A$2:$M$191,2,FALSE())=0,"",VLOOKUP($A5,Parts!$A$2:$M$191,2,FALSE())),"")</f>
        <v>Kabelsatz</v>
      </c>
      <c r="C5" s="45" t="str">
        <f>IFERROR(IF(VLOOKUP($A5,Parts!$A$2:$M$191,3,FALSE())=0,"",VLOOKUP($A5,Parts!$A$2:$M$191,3,FALSE())),"")</f>
        <v>Set, SET JST-PH 4-polig 2.00mm vertikaler PCB-Stecker, Buchse THT</v>
      </c>
      <c r="D5" s="45" t="str">
        <f>IFERROR(IF(VLOOKUP($A5,Parts!$A$2:$M$191,4,FALSE())=0,"",VLOOKUP($A5,Parts!$A$2:$M$191,4,FALSE())),"")</f>
        <v>JST-PH, 4-polig, Set, Kabellänge 4cm</v>
      </c>
      <c r="E5" s="45" t="str">
        <f>IFERROR(IF(VLOOKUP($A5,Parts!$A$2:$M$191,5,FALSE())=0,"",VLOOKUP($A5,Parts!$A$2:$M$191,5,FALSE())),"")</f>
        <v/>
      </c>
      <c r="F5" t="str">
        <f>IFERROR(IF(VLOOKUP($A5,Parts!$A$2:$M$191,6,FALSE())=0,"",VLOOKUP($A5,Parts!$A$2:$M$191,6,FALSE())),"")</f>
        <v>JST</v>
      </c>
      <c r="G5" t="str">
        <f>IFERROR(IF(VLOOKUP($A5,Parts!$A$2:$M$191,7,FALSE())=0,"",VLOOKUP($A5,Parts!$A$2:$M$191,7,FALSE())),"")</f>
        <v/>
      </c>
      <c r="H5" s="56" t="str">
        <f>IFERROR(IF(_xlfn.XLOOKUP($A5&amp;"|Ja",Part_Suppliers!$L$2:$L$300,Part_Suppliers!$B$2:$B$300,"",0)=0,"",_xlfn.XLOOKUP($A5&amp;"|Ja",Part_Suppliers!$L$2:$L$300,Part_Suppliers!$B$2:$B$300,"",0)),"")</f>
        <v>eBay</v>
      </c>
      <c r="I5" t="str">
        <f>IFERROR(IF(_xlfn.XLOOKUP($A5&amp;"|Ja",Part_Suppliers!$L$2:$L$300,Part_Suppliers!$C$2:$C$300,"",0)=0,"",_xlfn.XLOOKUP($A5&amp;"|Ja",Part_Suppliers!$L$2:$L$300,Part_Suppliers!$C$2:$C$300,"",0)),"")</f>
        <v/>
      </c>
      <c r="J5" s="57">
        <v>0</v>
      </c>
      <c r="K5" s="57">
        <v>0</v>
      </c>
      <c r="L5" s="45" t="str">
        <f>IFERROR(IF(VLOOKUP($A5,Parts!$A$2:$M$191,8,FALSE())=0,"",VLOOKUP($A5,Parts!$A$2:$M$191,8,FALSE())),"")</f>
        <v>EnvNode</v>
      </c>
      <c r="M5" s="45" t="str">
        <f>IFERROR(IF(VLOOKUP($A5,Parts!$A$2:$M$191,12,FALSE())=0,"",VLOOKUP($A5,Parts!$A$2:$M$191,12,FALSE())),"")</f>
        <v>GPIO-Anschlüsse; exakte Herstellerartikelnummer vor Bestellung gegen Footprint und Orientierung prüfen Set-Inhalt gegenüber dem separat aus KiCad abgeleiteten PCB-Header prüfen.</v>
      </c>
      <c r="N5" s="58"/>
      <c r="O5" s="59" t="s">
        <v>85</v>
      </c>
      <c r="Q5" s="50" t="s">
        <v>86</v>
      </c>
      <c r="R5" s="52" t="s">
        <v>87</v>
      </c>
      <c r="S5" t="str">
        <f>IF(O5="drucken",COUNTIF($O$5:O5,"drucken"),"")</f>
        <v/>
      </c>
    </row>
    <row r="6" spans="1:19" ht="39.5" customHeight="1" x14ac:dyDescent="0.2">
      <c r="A6" t="s">
        <v>88</v>
      </c>
      <c r="B6" t="str">
        <f>IFERROR(IF(VLOOKUP($A6,Parts!$A$2:$M$191,2,FALSE())=0,"",VLOOKUP($A6,Parts!$A$2:$M$191,2,FALSE())),"")</f>
        <v>Kabelsatz</v>
      </c>
      <c r="C6" s="45" t="str">
        <f>IFERROR(IF(VLOOKUP($A6,Parts!$A$2:$M$191,3,FALSE())=0,"",VLOOKUP($A6,Parts!$A$2:$M$191,3,FALSE())),"")</f>
        <v>Qwiic/JST-SH, 4-poliges Pigtail JST</v>
      </c>
      <c r="D6" s="45" t="str">
        <f>IFERROR(IF(VLOOKUP($A6,Parts!$A$2:$M$191,4,FALSE())=0,"",VLOOKUP($A6,Parts!$A$2:$M$191,4,FALSE())),"")</f>
        <v>JST-SH/Qwiic, 4-polig</v>
      </c>
      <c r="E6" s="45" t="str">
        <f>IFERROR(IF(VLOOKUP($A6,Parts!$A$2:$M$191,5,FALSE())=0,"",VLOOKUP($A6,Parts!$A$2:$M$191,5,FALSE())),"")</f>
        <v/>
      </c>
      <c r="F6" t="str">
        <f>IFERROR(IF(VLOOKUP($A6,Parts!$A$2:$M$191,6,FALSE())=0,"",VLOOKUP($A6,Parts!$A$2:$M$191,6,FALSE())),"")</f>
        <v>JST</v>
      </c>
      <c r="G6" t="str">
        <f>IFERROR(IF(VLOOKUP($A6,Parts!$A$2:$M$191,7,FALSE())=0,"",VLOOKUP($A6,Parts!$A$2:$M$191,7,FALSE())),"")</f>
        <v/>
      </c>
      <c r="H6" s="56" t="str">
        <f>IFERROR(IF(_xlfn.XLOOKUP($A6&amp;"|Ja",Part_Suppliers!$L$2:$L$300,Part_Suppliers!$B$2:$B$300,"",0)=0,"",_xlfn.XLOOKUP($A6&amp;"|Ja",Part_Suppliers!$L$2:$L$300,Part_Suppliers!$B$2:$B$300,"",0)),"")</f>
        <v>eBay</v>
      </c>
      <c r="I6" t="str">
        <f>IFERROR(IF(_xlfn.XLOOKUP($A6&amp;"|Ja",Part_Suppliers!$L$2:$L$300,Part_Suppliers!$C$2:$C$300,"",0)=0,"",_xlfn.XLOOKUP($A6&amp;"|Ja",Part_Suppliers!$L$2:$L$300,Part_Suppliers!$C$2:$C$300,"",0)),"")</f>
        <v/>
      </c>
      <c r="J6" s="57">
        <v>10</v>
      </c>
      <c r="K6" s="57">
        <v>0</v>
      </c>
      <c r="L6" s="45" t="str">
        <f>IFERROR(IF(VLOOKUP($A6,Parts!$A$2:$M$191,8,FALSE())=0,"",VLOOKUP($A6,Parts!$A$2:$M$191,8,FALSE())),"")</f>
        <v>EnvNode</v>
      </c>
      <c r="M6" s="45" t="str">
        <f>IFERROR(IF(VLOOKUP($A6,Parts!$A$2:$M$191,12,FALSE())=0,"",VLOOKUP($A6,Parts!$A$2:$M$191,12,FALSE())),"")</f>
        <v>Qwiic-Konvention: GND=schwarz, 3V3=rot, SDA=blau, SCL=gelb; Kabelbelegung vor Anschluss prüfen Pigtail ist ein Beschaffungsartikel und nicht der PCB-Steckverbinder.</v>
      </c>
      <c r="N6" s="58"/>
      <c r="O6" s="59" t="s">
        <v>85</v>
      </c>
      <c r="Q6" s="50" t="s">
        <v>35</v>
      </c>
      <c r="R6" s="52" t="s">
        <v>89</v>
      </c>
      <c r="S6" t="str">
        <f>IF(O6="drucken",COUNTIF($O$5:O6,"drucken"),"")</f>
        <v/>
      </c>
    </row>
    <row r="7" spans="1:19" ht="26.25" customHeight="1" x14ac:dyDescent="0.2">
      <c r="A7" t="s">
        <v>90</v>
      </c>
      <c r="B7" t="str">
        <f>IFERROR(IF(VLOOKUP($A7,Parts!$A$2:$M$191,2,FALSE())=0,"",VLOOKUP($A7,Parts!$A$2:$M$191,2,FALSE())),"")</f>
        <v>Steckverbinder</v>
      </c>
      <c r="C7" s="45" t="str">
        <f>IFERROR(IF(VLOOKUP($A7,Parts!$A$2:$M$191,3,FALSE())=0,"",VLOOKUP($A7,Parts!$A$2:$M$191,3,FALSE())),"")</f>
        <v>PinSocket 1x4, 2.54 mm</v>
      </c>
      <c r="D7" s="45" t="str">
        <f>IFERROR(IF(VLOOKUP($A7,Parts!$A$2:$M$191,4,FALSE())=0,"",VLOOKUP($A7,Parts!$A$2:$M$191,4,FALSE())),"")</f>
        <v>1x4, 2,54 mm</v>
      </c>
      <c r="E7" s="45" t="str">
        <f>IFERROR(IF(VLOOKUP($A7,Parts!$A$2:$M$191,5,FALSE())=0,"",VLOOKUP($A7,Parts!$A$2:$M$191,5,FALSE())),"")</f>
        <v>PinSocket_1x04_P2.54mm_Vertical</v>
      </c>
      <c r="F7" t="str">
        <f>IFERROR(IF(VLOOKUP($A7,Parts!$A$2:$M$191,6,FALSE())=0,"",VLOOKUP($A7,Parts!$A$2:$M$191,6,FALSE())),"")</f>
        <v>BKL</v>
      </c>
      <c r="G7">
        <f>IFERROR(IF(VLOOKUP($A7,Parts!$A$2:$M$191,7,FALSE())=0,"",VLOOKUP($A7,Parts!$A$2:$M$191,7,FALSE())),"")</f>
        <v>10120946</v>
      </c>
      <c r="H7" s="56" t="str">
        <f>IFERROR(IF(_xlfn.XLOOKUP($A7&amp;"|Ja",Part_Suppliers!$L$2:$L$300,Part_Suppliers!$B$2:$B$300,"",0)=0,"",_xlfn.XLOOKUP($A7&amp;"|Ja",Part_Suppliers!$L$2:$L$300,Part_Suppliers!$B$2:$B$300,"",0)),"")</f>
        <v>Reichelt</v>
      </c>
      <c r="I7" t="str">
        <f>IFERROR(IF(_xlfn.XLOOKUP($A7&amp;"|Ja",Part_Suppliers!$L$2:$L$300,Part_Suppliers!$C$2:$C$300,"",0)=0,"",_xlfn.XLOOKUP($A7&amp;"|Ja",Part_Suppliers!$L$2:$L$300,Part_Suppliers!$C$2:$C$300,"",0)),"")</f>
        <v>BKL 10120946</v>
      </c>
      <c r="J7" s="57">
        <v>2</v>
      </c>
      <c r="K7" s="57">
        <v>0</v>
      </c>
      <c r="L7" s="45" t="str">
        <f>IFERROR(IF(VLOOKUP($A7,Parts!$A$2:$M$191,8,FALSE())=0,"",VLOOKUP($A7,Parts!$A$2:$M$191,8,FALSE())),"")</f>
        <v>EnvNode; RainDetector</v>
      </c>
      <c r="M7" s="45" t="str">
        <f>IFERROR(IF(VLOOKUP($A7,Parts!$A$2:$M$191,12,FALSE())=0,"",VLOOKUP($A7,Parts!$A$2:$M$191,12,FALSE())),"")&amp;" | Verbrauch Auftrag 22.09.2026: 2. Gebucht 27.09.2026."</f>
        <v>Für interne Qwiic-Breakouts; Bauhöhe und Ausführung passend zur Mechanik wählen | Verbrauch Auftrag 22.09.2026: 2. Gebucht 27.09.2026.</v>
      </c>
      <c r="N7" s="58"/>
      <c r="O7" s="59" t="s">
        <v>85</v>
      </c>
      <c r="Q7" s="60" t="s">
        <v>91</v>
      </c>
      <c r="R7" s="61" t="s">
        <v>92</v>
      </c>
      <c r="S7" t="str">
        <f>IF(O7="drucken",COUNTIF($O$5:O7,"drucken"),"")</f>
        <v/>
      </c>
    </row>
    <row r="8" spans="1:19" ht="26.25" customHeight="1" x14ac:dyDescent="0.2">
      <c r="A8" t="s">
        <v>93</v>
      </c>
      <c r="B8" t="str">
        <f>IFERROR(IF(VLOOKUP($A8,Parts!$A$2:$M$191,2,FALSE())=0,"",VLOOKUP($A8,Parts!$A$2:$M$191,2,FALSE())),"")</f>
        <v>Steckverbinder</v>
      </c>
      <c r="C8" s="45" t="str">
        <f>IFERROR(IF(VLOOKUP($A8,Parts!$A$2:$M$191,3,FALSE())=0,"",VLOOKUP($A8,Parts!$A$2:$M$191,3,FALSE())),"")</f>
        <v>PinSocket 1x20, 2.54mm, cut to 19 Pins</v>
      </c>
      <c r="D8" s="45" t="str">
        <f>IFERROR(IF(VLOOKUP($A8,Parts!$A$2:$M$191,4,FALSE())=0,"",VLOOKUP($A8,Parts!$A$2:$M$191,4,FALSE())),"")</f>
        <v>1x20, 2,54 mm, trennbar</v>
      </c>
      <c r="E8" s="45" t="str">
        <f>IFERROR(IF(VLOOKUP($A8,Parts!$A$2:$M$191,5,FALSE())=0,"",VLOOKUP($A8,Parts!$A$2:$M$191,5,FALSE())),"")</f>
        <v/>
      </c>
      <c r="F8" t="str">
        <f>IFERROR(IF(VLOOKUP($A8,Parts!$A$2:$M$191,6,FALSE())=0,"",VLOOKUP($A8,Parts!$A$2:$M$191,6,FALSE())),"")</f>
        <v>fischer Elektronik</v>
      </c>
      <c r="G8" t="str">
        <f>IFERROR(IF(VLOOKUP($A8,Parts!$A$2:$M$191,7,FALSE())=0,"",VLOOKUP($A8,Parts!$A$2:$M$191,7,FALSE())),"")</f>
        <v>BL1.20 G</v>
      </c>
      <c r="H8" s="56" t="str">
        <f>IFERROR(IF(_xlfn.XLOOKUP($A8&amp;"|Ja",Part_Suppliers!$L$2:$L$300,Part_Suppliers!$B$2:$B$300,"",0)=0,"",_xlfn.XLOOKUP($A8&amp;"|Ja",Part_Suppliers!$L$2:$L$300,Part_Suppliers!$B$2:$B$300,"",0)),"")</f>
        <v>Reichelt</v>
      </c>
      <c r="I8" t="str">
        <f>IFERROR(IF(_xlfn.XLOOKUP($A8&amp;"|Ja",Part_Suppliers!$L$2:$L$300,Part_Suppliers!$C$2:$C$300,"",0)=0,"",_xlfn.XLOOKUP($A8&amp;"|Ja",Part_Suppliers!$L$2:$L$300,Part_Suppliers!$C$2:$C$300,"",0)),"")</f>
        <v>FIS BL1 20 G</v>
      </c>
      <c r="J8" s="57">
        <v>0</v>
      </c>
      <c r="K8" s="57">
        <v>0</v>
      </c>
      <c r="L8" s="45" t="str">
        <f>IFERROR(IF(VLOOKUP($A8,Parts!$A$2:$M$191,8,FALSE())=0,"",VLOOKUP($A8,Parts!$A$2:$M$191,8,FALSE())),"")</f>
        <v>EnvNode</v>
      </c>
      <c r="M8" s="45" t="str">
        <f>IFERROR(IF(VLOOKUP($A8,Parts!$A$2:$M$191,12,FALSE())=0,"",VLOOKUP($A8,Parts!$A$2:$M$191,12,FALSE())),"")</f>
        <v>Für ESP32-DevKitC mit 38 Pins; alternativ eine geeignete 38-Pin-ESP32-Fassung verwenden</v>
      </c>
      <c r="N8" s="58"/>
      <c r="O8" s="59" t="s">
        <v>85</v>
      </c>
      <c r="S8" t="str">
        <f>IF(O8="drucken",COUNTIF($O$5:O8,"drucken"),"")</f>
        <v/>
      </c>
    </row>
    <row r="9" spans="1:19" ht="39.5" customHeight="1" x14ac:dyDescent="0.2">
      <c r="A9" t="s">
        <v>94</v>
      </c>
      <c r="B9" t="str">
        <f>IFERROR(IF(VLOOKUP($A9,Parts!$A$2:$M$191,2,FALSE())=0,"",VLOOKUP($A9,Parts!$A$2:$M$191,2,FALSE())),"")</f>
        <v>Widerstand</v>
      </c>
      <c r="C9" s="45" t="str">
        <f>IFERROR(IF(VLOOKUP($A9,Parts!$A$2:$M$191,3,FALSE())=0,"",VLOOKUP($A9,Parts!$A$2:$M$191,3,FALSE())),"")</f>
        <v>4.7 kOhm 1% SMD 1206</v>
      </c>
      <c r="D9" s="45" t="str">
        <f>IFERROR(IF(VLOOKUP($A9,Parts!$A$2:$M$191,4,FALSE())=0,"",VLOOKUP($A9,Parts!$A$2:$M$191,4,FALSE())),"")</f>
        <v>4,7 kΩ, 1 %, 250 mW</v>
      </c>
      <c r="E9" s="45" t="str">
        <f>IFERROR(IF(VLOOKUP($A9,Parts!$A$2:$M$191,5,FALSE())=0,"",VLOOKUP($A9,Parts!$A$2:$M$191,5,FALSE())),"")</f>
        <v>Resistor_SMD:R_1206_3216Metric_Pad1.30x1.75mm_HandSolder</v>
      </c>
      <c r="F9" t="str">
        <f>IFERROR(IF(VLOOKUP($A9,Parts!$A$2:$M$191,6,FALSE())=0,"",VLOOKUP($A9,Parts!$A$2:$M$191,6,FALSE())),"")</f>
        <v>Vishay</v>
      </c>
      <c r="G9" t="str">
        <f>IFERROR(IF(VLOOKUP($A9,Parts!$A$2:$M$191,7,FALSE())=0,"",VLOOKUP($A9,Parts!$A$2:$M$191,7,FALSE())),"")</f>
        <v>CRCW12064K70FKEA</v>
      </c>
      <c r="H9" s="56" t="str">
        <f>IFERROR(IF(_xlfn.XLOOKUP($A9&amp;"|Ja",Part_Suppliers!$L$2:$L$300,Part_Suppliers!$B$2:$B$300,"",0)=0,"",_xlfn.XLOOKUP($A9&amp;"|Ja",Part_Suppliers!$L$2:$L$300,Part_Suppliers!$B$2:$B$300,"",0)),"")</f>
        <v>Reichelt</v>
      </c>
      <c r="I9" t="str">
        <f>IFERROR(IF(_xlfn.XLOOKUP($A9&amp;"|Ja",Part_Suppliers!$L$2:$L$300,Part_Suppliers!$C$2:$C$300,"",0)=0,"",_xlfn.XLOOKUP($A9&amp;"|Ja",Part_Suppliers!$L$2:$L$300,Part_Suppliers!$C$2:$C$300,"",0)),"")</f>
        <v>VIS CRCW12064K7</v>
      </c>
      <c r="J9" s="57">
        <v>54</v>
      </c>
      <c r="K9" s="57">
        <v>0</v>
      </c>
      <c r="L9" s="45" t="str">
        <f>IFERROR(IF(VLOOKUP($A9,Parts!$A$2:$M$191,8,FALSE())=0,"",VLOOKUP($A9,Parts!$A$2:$M$191,8,FALSE())),"")</f>
        <v>EnvNode; EnvNodeMini Rev 0.2; AnalogInput Rev 0.1; AnalogHydroPressure; Aktuell 29.09.2026: EnvNode Mini Bausatz Rev 0.8; EnvNode Weatherstation Bausatz Rev 0.2</v>
      </c>
      <c r="M9" s="45" t="str">
        <f>IFERROR(IF(VLOOKUP($A9,Parts!$A$2:$M$191,12,FALSE())=0,"",VLOOKUP($A9,Parts!$A$2:$M$191,12,FALSE())),"")&amp;" | Verbrauch Auftrag 22.09.2026: 8. Gebucht 27.09.2026."</f>
        <v>I2C-Pull-ups für die beiden I2C-Busse | Verbrauch Auftrag 22.09.2026: 8. Gebucht 27.09.2026.</v>
      </c>
      <c r="N9" s="58"/>
      <c r="O9" s="59" t="s">
        <v>85</v>
      </c>
      <c r="S9" t="str">
        <f>IF(O9="drucken",COUNTIF($O$5:O9,"drucken"),"")</f>
        <v/>
      </c>
    </row>
    <row r="10" spans="1:19" ht="52.75" customHeight="1" x14ac:dyDescent="0.2">
      <c r="A10" t="s">
        <v>95</v>
      </c>
      <c r="B10" t="str">
        <f>IFERROR(IF(VLOOKUP($A10,Parts!$A$2:$M$191,2,FALSE())=0,"",VLOOKUP($A10,Parts!$A$2:$M$191,2,FALSE())),"")</f>
        <v>Kondensator</v>
      </c>
      <c r="C10" s="45" t="str">
        <f>IFERROR(IF(VLOOKUP($A10,Parts!$A$2:$M$191,3,FALSE())=0,"",VLOOKUP($A10,Parts!$A$2:$M$191,3,FALSE())),"")</f>
        <v>100 nF Keramik SMD</v>
      </c>
      <c r="D10" s="45" t="str">
        <f>IFERROR(IF(VLOOKUP($A10,Parts!$A$2:$M$191,4,FALSE())=0,"",VLOOKUP($A10,Parts!$A$2:$M$191,4,FALSE())),"")</f>
        <v>100 nF, 10 %, X7R, 100 V</v>
      </c>
      <c r="E10" s="45" t="str">
        <f>IFERROR(IF(VLOOKUP($A10,Parts!$A$2:$M$191,5,FALSE())=0,"",VLOOKUP($A10,Parts!$A$2:$M$191,5,FALSE())),"")</f>
        <v>Capacitor_SMD:C_1206_3216Metric_Pad1.33x1.80mm_HandSolder</v>
      </c>
      <c r="F10" t="str">
        <f>IFERROR(IF(VLOOKUP($A10,Parts!$A$2:$M$191,6,FALSE())=0,"",VLOOKUP($A10,Parts!$A$2:$M$191,6,FALSE())),"")</f>
        <v>KEMET</v>
      </c>
      <c r="G10" t="str">
        <f>IFERROR(IF(VLOOKUP($A10,Parts!$A$2:$M$191,7,FALSE())=0,"",VLOOKUP($A10,Parts!$A$2:$M$191,7,FALSE())),"")</f>
        <v>C1206F104K1RACTU</v>
      </c>
      <c r="H10" s="56" t="str">
        <f>IFERROR(IF(_xlfn.XLOOKUP($A10&amp;"|Ja",Part_Suppliers!$L$2:$L$300,Part_Suppliers!$B$2:$B$300,"",0)=0,"",_xlfn.XLOOKUP($A10&amp;"|Ja",Part_Suppliers!$L$2:$L$300,Part_Suppliers!$B$2:$B$300,"",0)),"")</f>
        <v>Reichelt</v>
      </c>
      <c r="I10" t="str">
        <f>IFERROR(IF(_xlfn.XLOOKUP($A10&amp;"|Ja",Part_Suppliers!$L$2:$L$300,Part_Suppliers!$C$2:$C$300,"",0)=0,"",_xlfn.XLOOKUP($A10&amp;"|Ja",Part_Suppliers!$L$2:$L$300,Part_Suppliers!$C$2:$C$300,"",0)),"")</f>
        <v>KEM X7R1206A100N</v>
      </c>
      <c r="J10" s="57">
        <v>40</v>
      </c>
      <c r="K10" s="57">
        <v>0</v>
      </c>
      <c r="L10" s="45" t="str">
        <f>IFERROR(IF(VLOOKUP($A10,Parts!$A$2:$M$191,8,FALSE())=0,"",VLOOKUP($A10,Parts!$A$2:$M$191,8,FALSE())),"")</f>
        <v>EnvNode; EnvNodeMini Rev 0.2; AnalogHydroPressure; RainDetector; SolarRadiation; Empty FullSize/HalfSize SMD/THT; DuoRelay Rev 0.2; RainDetectorController Rev 0.3; ORing Power Rev 0.1; Aktuell 29.09.2026: EnvNode Mini Bausatz Rev 0.8; DuoRelay FullSize Bausatz Rev 0.3; RainDetectorController Rev 0.3; ORing Power Modul Rev 0.1; EnvNode Weatherstation Bausatz Rev 0.2; SolarRadiation Rev 0.1</v>
      </c>
      <c r="M10" s="45" t="str">
        <f>IFERROR(IF(VLOOKUP($A10,Parts!$A$2:$M$191,12,FALSE())=0,"",VLOOKUP($A10,Parts!$A$2:$M$191,12,FALSE())),"")&amp;" | Verbrauch Auftrag 22.09.2026: 10. Gebucht 27.09.2026."</f>
        <v>Spannungsfestigkeit, Dielektrikum und Bauform vor Bestellung gegen Schaltplan und Footprint prüfen; C1 ist in allen vier aktuellen Empty-Schemata derzeit DNP; C1 ist im aktuellen DuoRelay-Schema derzeit DNP | Verbrauch Auftrag 22.09.2026: 10. Gebucht 27.09.2026.</v>
      </c>
      <c r="N10" s="58" t="s">
        <v>96</v>
      </c>
      <c r="O10" s="59" t="s">
        <v>85</v>
      </c>
      <c r="S10" t="str">
        <f>IF(O10="drucken",COUNTIF($O$5:O10,"drucken"),"")</f>
        <v/>
      </c>
    </row>
    <row r="11" spans="1:19" ht="26.25" customHeight="1" x14ac:dyDescent="0.2">
      <c r="A11" t="s">
        <v>97</v>
      </c>
      <c r="B11" t="str">
        <f>IFERROR(IF(VLOOKUP($A11,Parts!$A$2:$M$191,2,FALSE())=0,"",VLOOKUP($A11,Parts!$A$2:$M$191,2,FALSE())),"")</f>
        <v>Kondensator</v>
      </c>
      <c r="C11" s="45" t="str">
        <f>IFERROR(IF(VLOOKUP($A11,Parts!$A$2:$M$191,3,FALSE())=0,"",VLOOKUP($A11,Parts!$A$2:$M$191,3,FALSE())),"")</f>
        <v>10 uF Keramik SMD</v>
      </c>
      <c r="D11" s="45" t="str">
        <f>IFERROR(IF(VLOOKUP($A11,Parts!$A$2:$M$191,4,FALSE())=0,"",VLOOKUP($A11,Parts!$A$2:$M$191,4,FALSE())),"")</f>
        <v>10 µF, 25 V, X7R</v>
      </c>
      <c r="E11" s="45" t="str">
        <f>IFERROR(IF(VLOOKUP($A11,Parts!$A$2:$M$191,5,FALSE())=0,"",VLOOKUP($A11,Parts!$A$2:$M$191,5,FALSE())),"")</f>
        <v>Capacitor_SMD:C_1206_3216Metric_Pad1.33x1.80mm_HandSolder</v>
      </c>
      <c r="F11" t="str">
        <f>IFERROR(IF(VLOOKUP($A11,Parts!$A$2:$M$191,6,FALSE())=0,"",VLOOKUP($A11,Parts!$A$2:$M$191,6,FALSE())),"")</f>
        <v>Kyocera AVX</v>
      </c>
      <c r="G11" t="str">
        <f>IFERROR(IF(VLOOKUP($A11,Parts!$A$2:$M$191,7,FALSE())=0,"",VLOOKUP($A11,Parts!$A$2:$M$191,7,FALSE())),"")</f>
        <v>12063C106KAT2A</v>
      </c>
      <c r="H11" s="56" t="str">
        <f>IFERROR(IF(_xlfn.XLOOKUP($A11&amp;"|Ja",Part_Suppliers!$L$2:$L$300,Part_Suppliers!$B$2:$B$300,"",0)=0,"",_xlfn.XLOOKUP($A11&amp;"|Ja",Part_Suppliers!$L$2:$L$300,Part_Suppliers!$B$2:$B$300,"",0)),"")</f>
        <v>Reichelt</v>
      </c>
      <c r="I11" t="str">
        <f>IFERROR(IF(_xlfn.XLOOKUP($A11&amp;"|Ja",Part_Suppliers!$L$2:$L$300,Part_Suppliers!$C$2:$C$300,"",0)=0,"",_xlfn.XLOOKUP($A11&amp;"|Ja",Part_Suppliers!$L$2:$L$300,Part_Suppliers!$C$2:$C$300,"",0)),"")</f>
        <v>12063C106KAT2A</v>
      </c>
      <c r="J11" s="57">
        <v>8</v>
      </c>
      <c r="K11" s="57">
        <v>0</v>
      </c>
      <c r="L11" s="45" t="str">
        <f>IFERROR(IF(VLOOKUP($A11,Parts!$A$2:$M$191,8,FALSE())=0,"",VLOOKUP($A11,Parts!$A$2:$M$191,8,FALSE())),"")</f>
        <v>EnvNode; EnvNodeMini Rev 0.2; ORing Power Rev 0.1; Aktuell 29.09.2026: ORing Power Modul Rev 0.1; SCT013Head Rev 0.1</v>
      </c>
      <c r="M11" s="45" t="str">
        <f>IFERROR(IF(VLOOKUP($A11,Parts!$A$2:$M$191,12,FALSE())=0,"",VLOOKUP($A11,Parts!$A$2:$M$191,12,FALSE())),"")&amp;" | Verbrauch Auftrag 22.09.2026: 2. Gebucht 27.09.2026."</f>
        <v>Spannungsfestigkeit, Dielektrikum und Bauform vor Bestellung gegen Schaltplan und Footprint prüfen | Verbrauch Auftrag 22.09.2026: 2. Gebucht 27.09.2026.</v>
      </c>
      <c r="N11" s="58"/>
      <c r="O11" s="59" t="s">
        <v>85</v>
      </c>
      <c r="S11" t="str">
        <f>IF(O11="drucken",COUNTIF($O$5:O11,"drucken"),"")</f>
        <v/>
      </c>
    </row>
    <row r="12" spans="1:19" ht="15" customHeight="1" x14ac:dyDescent="0.2">
      <c r="A12" t="s">
        <v>98</v>
      </c>
      <c r="B12" t="str">
        <f>IFERROR(IF(VLOOKUP($A12,Parts!$A$2:$M$191,2,FALSE())=0,"",VLOOKUP($A12,Parts!$A$2:$M$191,2,FALSE())),"")</f>
        <v>Kondensator</v>
      </c>
      <c r="C12" s="45" t="str">
        <f>IFERROR(IF(VLOOKUP($A12,Parts!$A$2:$M$191,3,FALSE())=0,"",VLOOKUP($A12,Parts!$A$2:$M$191,3,FALSE())),"")</f>
        <v>47 uF 10V Tantal</v>
      </c>
      <c r="D12" s="45" t="str">
        <f>IFERROR(IF(VLOOKUP($A12,Parts!$A$2:$M$191,4,FALSE())=0,"",VLOOKUP($A12,Parts!$A$2:$M$191,4,FALSE())),"")</f>
        <v>47 µF, 10 V</v>
      </c>
      <c r="E12" s="45" t="str">
        <f>IFERROR(IF(VLOOKUP($A12,Parts!$A$2:$M$191,5,FALSE())=0,"",VLOOKUP($A12,Parts!$A$2:$M$191,5,FALSE())),"")</f>
        <v>Capacitor_Tantalum_SMD:CP_EIA-3528-21_Kemet-B</v>
      </c>
      <c r="F12" t="str">
        <f>IFERROR(IF(VLOOKUP($A12,Parts!$A$2:$M$191,6,FALSE())=0,"",VLOOKUP($A12,Parts!$A$2:$M$191,6,FALSE())),"")</f>
        <v>Kyocera AVX</v>
      </c>
      <c r="G12" t="str">
        <f>IFERROR(IF(VLOOKUP($A12,Parts!$A$2:$M$191,7,FALSE())=0,"",VLOOKUP($A12,Parts!$A$2:$M$191,7,FALSE())),"")</f>
        <v>TAJB476K010RNJ</v>
      </c>
      <c r="H12" s="56" t="str">
        <f>IFERROR(IF(_xlfn.XLOOKUP($A12&amp;"|Ja",Part_Suppliers!$L$2:$L$300,Part_Suppliers!$B$2:$B$300,"",0)=0,"",_xlfn.XLOOKUP($A12&amp;"|Ja",Part_Suppliers!$L$2:$L$300,Part_Suppliers!$B$2:$B$300,"",0)),"")</f>
        <v>Reichelt</v>
      </c>
      <c r="I12" t="str">
        <f>IFERROR(IF(_xlfn.XLOOKUP($A12&amp;"|Ja",Part_Suppliers!$L$2:$L$300,Part_Suppliers!$C$2:$C$300,"",0)=0,"",_xlfn.XLOOKUP($A12&amp;"|Ja",Part_Suppliers!$L$2:$L$300,Part_Suppliers!$C$2:$C$300,"",0)),"")</f>
        <v>TAJ 3528 47/10</v>
      </c>
      <c r="J12" s="57">
        <v>12</v>
      </c>
      <c r="K12" s="57">
        <v>0</v>
      </c>
      <c r="L12" s="45" t="str">
        <f>IFERROR(IF(VLOOKUP($A12,Parts!$A$2:$M$191,8,FALSE())=0,"",VLOOKUP($A12,Parts!$A$2:$M$191,8,FALSE())),"")</f>
        <v>EnvNode; EnvNodeMini Rev 0.2; ORing Power Rev 0.1; Aktuell 29.09.2026: ORing Power Modul Rev 0.1</v>
      </c>
      <c r="M12" s="45" t="str">
        <f>IFERROR(IF(VLOOKUP($A12,Parts!$A$2:$M$191,12,FALSE())=0,"",VLOOKUP($A12,Parts!$A$2:$M$191,12,FALSE())),"")&amp;" | Verbrauch Auftrag 22.09.2026: 2. Gebucht 27.09.2026."</f>
        <v>Polarisiert; Bauform B | Verbrauch Auftrag 22.09.2026: 2. Gebucht 27.09.2026.</v>
      </c>
      <c r="N12" s="58"/>
      <c r="O12" s="59" t="s">
        <v>85</v>
      </c>
      <c r="S12" t="str">
        <f>IF(O12="drucken",COUNTIF($O$5:O12,"drucken"),"")</f>
        <v/>
      </c>
    </row>
    <row r="13" spans="1:19" ht="15" customHeight="1" x14ac:dyDescent="0.2">
      <c r="A13" t="s">
        <v>99</v>
      </c>
      <c r="B13" t="str">
        <f>IFERROR(IF(VLOOKUP($A13,Parts!$A$2:$M$191,2,FALSE())=0,"",VLOOKUP($A13,Parts!$A$2:$M$191,2,FALSE())),"")</f>
        <v>Spannungsregler</v>
      </c>
      <c r="C13" s="45" t="str">
        <f>IFERROR(IF(VLOOKUP($A13,Parts!$A$2:$M$191,3,FALSE())=0,"",VLOOKUP($A13,Parts!$A$2:$M$191,3,FALSE())),"")</f>
        <v>LDO 3.3V SOT-223</v>
      </c>
      <c r="D13" s="45" t="str">
        <f>IFERROR(IF(VLOOKUP($A13,Parts!$A$2:$M$191,4,FALSE())=0,"",VLOOKUP($A13,Parts!$A$2:$M$191,4,FALSE())),"")</f>
        <v>3,3 V, 1 A</v>
      </c>
      <c r="E13" s="45" t="str">
        <f>IFERROR(IF(VLOOKUP($A13,Parts!$A$2:$M$191,5,FALSE())=0,"",VLOOKUP($A13,Parts!$A$2:$M$191,5,FALSE())),"")</f>
        <v>Package_TO_SOT_SMD:SOT-223-3_TabPin2</v>
      </c>
      <c r="F13" t="str">
        <f>IFERROR(IF(VLOOKUP($A13,Parts!$A$2:$M$191,6,FALSE())=0,"",VLOOKUP($A13,Parts!$A$2:$M$191,6,FALSE())),"")</f>
        <v>Texas Instruments</v>
      </c>
      <c r="G13" t="str">
        <f>IFERROR(IF(VLOOKUP($A13,Parts!$A$2:$M$191,7,FALSE())=0,"",VLOOKUP($A13,Parts!$A$2:$M$191,7,FALSE())),"")</f>
        <v>LM3940IMP-3.3/NOPB</v>
      </c>
      <c r="H13" s="56" t="str">
        <f>IFERROR(IF(_xlfn.XLOOKUP($A13&amp;"|Ja",Part_Suppliers!$L$2:$L$300,Part_Suppliers!$B$2:$B$300,"",0)=0,"",_xlfn.XLOOKUP($A13&amp;"|Ja",Part_Suppliers!$L$2:$L$300,Part_Suppliers!$B$2:$B$300,"",0)),"")</f>
        <v>Reichelt</v>
      </c>
      <c r="I13" t="str">
        <f>IFERROR(IF(_xlfn.XLOOKUP($A13&amp;"|Ja",Part_Suppliers!$L$2:$L$300,Part_Suppliers!$C$2:$C$300,"",0)=0,"",_xlfn.XLOOKUP($A13&amp;"|Ja",Part_Suppliers!$L$2:$L$300,Part_Suppliers!$C$2:$C$300,"",0)),"")</f>
        <v>LM 3940 IMP-3,3</v>
      </c>
      <c r="J13" s="57">
        <v>1</v>
      </c>
      <c r="K13" s="57">
        <v>6</v>
      </c>
      <c r="L13" s="45" t="str">
        <f>IFERROR(IF(VLOOKUP($A13,Parts!$A$2:$M$191,8,FALSE())=0,"",VLOOKUP($A13,Parts!$A$2:$M$191,8,FALSE())),"")</f>
        <v>EnvNode; EnvNodeMini Rev 0.2; ORing Power Rev 0.1; Aktuell 29.09.2026: ORing Power Modul Rev 0.1</v>
      </c>
      <c r="M13" s="45" t="str">
        <f>IFERROR(IF(VLOOKUP($A13,Parts!$A$2:$M$191,12,FALSE())=0,"",VLOOKUP($A13,Parts!$A$2:$M$191,12,FALSE())),"")&amp;" | Verbrauch Auftrag 22.09.2026: 2. Gebucht 27.09.2026."</f>
        <v>Footprint und thermische Auslegung vor Bestückung prüfen | Verbrauch Auftrag 22.09.2026: 2. Gebucht 27.09.2026.</v>
      </c>
      <c r="N13" s="58"/>
      <c r="O13" s="59" t="s">
        <v>85</v>
      </c>
      <c r="S13" t="str">
        <f>IF(O13="drucken",COUNTIF($O$5:O13,"drucken"),"")</f>
        <v/>
      </c>
    </row>
    <row r="14" spans="1:19" ht="39.5" customHeight="1" x14ac:dyDescent="0.2">
      <c r="A14" t="s">
        <v>100</v>
      </c>
      <c r="B14" t="str">
        <f>IFERROR(IF(VLOOKUP($A14,Parts!$A$2:$M$191,2,FALSE())=0,"",VLOOKUP($A14,Parts!$A$2:$M$191,2,FALSE())),"")</f>
        <v>Entwicklungsmodul</v>
      </c>
      <c r="C14" s="45" t="str">
        <f>IFERROR(IF(VLOOKUP($A14,Parts!$A$2:$M$191,3,FALSE())=0,"",VLOOKUP($A14,Parts!$A$2:$M$191,3,FALSE())),"")</f>
        <v>ESP32-DevKitC</v>
      </c>
      <c r="D14" s="45" t="str">
        <f>IFERROR(IF(VLOOKUP($A14,Parts!$A$2:$M$191,4,FALSE())=0,"",VLOOKUP($A14,Parts!$A$2:$M$191,4,FALSE())),"")</f>
        <v>38 Pin</v>
      </c>
      <c r="E14" s="45" t="str">
        <f>IFERROR(IF(VLOOKUP($A14,Parts!$A$2:$M$191,5,FALSE())=0,"",VLOOKUP($A14,Parts!$A$2:$M$191,5,FALSE())),"")</f>
        <v>PCM_Espressif:ESP32-DevKitC</v>
      </c>
      <c r="F14" t="str">
        <f>IFERROR(IF(VLOOKUP($A14,Parts!$A$2:$M$191,6,FALSE())=0,"",VLOOKUP($A14,Parts!$A$2:$M$191,6,FALSE())),"")</f>
        <v>Espressif Systems</v>
      </c>
      <c r="G14" t="str">
        <f>IFERROR(IF(VLOOKUP($A14,Parts!$A$2:$M$191,7,FALSE())=0,"",VLOOKUP($A14,Parts!$A$2:$M$191,7,FALSE())),"")</f>
        <v/>
      </c>
      <c r="H14" s="56" t="str">
        <f>IFERROR(IF(_xlfn.XLOOKUP($A14&amp;"|Ja",Part_Suppliers!$L$2:$L$300,Part_Suppliers!$B$2:$B$300,"",0)=0,"",_xlfn.XLOOKUP($A14&amp;"|Ja",Part_Suppliers!$L$2:$L$300,Part_Suppliers!$B$2:$B$300,"",0)),"")</f>
        <v>Amazon</v>
      </c>
      <c r="I14" t="str">
        <f>IFERROR(IF(_xlfn.XLOOKUP($A14&amp;"|Ja",Part_Suppliers!$L$2:$L$300,Part_Suppliers!$C$2:$C$300,"",0)=0,"",_xlfn.XLOOKUP($A14&amp;"|Ja",Part_Suppliers!$L$2:$L$300,Part_Suppliers!$C$2:$C$300,"",0)),"")</f>
        <v>ESP-32 NodeMCU Modul 2,4 GHz Dual Core WLAN WiFi Bluetooth CP2102 für Arduino(Micro USB Port)</v>
      </c>
      <c r="J14" s="57">
        <v>5</v>
      </c>
      <c r="K14" s="57">
        <v>0</v>
      </c>
      <c r="L14" s="45" t="str">
        <f>IFERROR(IF(VLOOKUP($A14,Parts!$A$2:$M$191,8,FALSE())=0,"",VLOOKUP($A14,Parts!$A$2:$M$191,8,FALSE())),"")</f>
        <v>EnvNode; EnvNodeMini Rev 0.2; Aktuell 29.09.2026: EnvNode Mini Bausatz Rev 0.8; EnvNode Weatherstation Bausatz Rev 0.2</v>
      </c>
      <c r="M14" s="45" t="str">
        <f>IFERROR(IF(VLOOKUP($A14,Parts!$A$2:$M$191,12,FALSE())=0,"",VLOOKUP($A14,Parts!$A$2:$M$191,12,FALSE())),"")&amp;" | Verbrauch Auftrag 22.09.2026: 2. Gebucht 27.09.2026."</f>
        <v>Exakte Modulvariante und Pinout vor Bestückung prüfen Hersteller/MPN aus verschobenen Altdaten korrigiert; genaue DevKitC-Variante fehlt. Nutzer 29.09.2026: ESP32-Variante ausdrücklich offen lassen. Lieferant/MPN nicht freigegeben. | Verbrauch Auftrag 22.09.2026: 2. Gebucht 27.09.2026.</v>
      </c>
      <c r="N14" s="58"/>
      <c r="O14" s="59" t="s">
        <v>85</v>
      </c>
      <c r="S14" t="str">
        <f>IF(O14="drucken",COUNTIF($O$5:O14,"drucken"),"")</f>
        <v/>
      </c>
    </row>
    <row r="15" spans="1:19" ht="39.5" customHeight="1" x14ac:dyDescent="0.2">
      <c r="A15" t="s">
        <v>101</v>
      </c>
      <c r="B15" t="str">
        <f>IFERROR(IF(VLOOKUP($A15,Parts!$A$2:$M$191,2,FALSE())=0,"",VLOOKUP($A15,Parts!$A$2:$M$191,2,FALSE())),"")</f>
        <v>PCB</v>
      </c>
      <c r="C15" s="45" t="str">
        <f>IFERROR(IF(VLOOKUP($A15,Parts!$A$2:$M$191,3,FALSE())=0,"",VLOOKUP($A15,Parts!$A$2:$M$191,3,FALSE())),"")</f>
        <v>EnvNode Mainboard Rev 0.1</v>
      </c>
      <c r="D15" s="45" t="str">
        <f>IFERROR(IF(VLOOKUP($A15,Parts!$A$2:$M$191,4,FALSE())=0,"",VLOOKUP($A15,Parts!$A$2:$M$191,4,FALSE())),"")</f>
        <v>Revision 0.1</v>
      </c>
      <c r="E15" s="45" t="str">
        <f>IFERROR(IF(VLOOKUP($A15,Parts!$A$2:$M$191,5,FALSE())=0,"",VLOOKUP($A15,Parts!$A$2:$M$191,5,FALSE())),"")</f>
        <v/>
      </c>
      <c r="F15" t="str">
        <f>IFERROR(IF(VLOOKUP($A15,Parts!$A$2:$M$191,6,FALSE())=0,"",VLOOKUP($A15,Parts!$A$2:$M$191,6,FALSE())),"")</f>
        <v>JLCPCB</v>
      </c>
      <c r="G15" t="str">
        <f>IFERROR(IF(VLOOKUP($A15,Parts!$A$2:$M$191,7,FALSE())=0,"",VLOOKUP($A15,Parts!$A$2:$M$191,7,FALSE())),"")</f>
        <v/>
      </c>
      <c r="H15" s="56" t="str">
        <f>IFERROR(IF(_xlfn.XLOOKUP($A15&amp;"|Ja",Part_Suppliers!$L$2:$L$300,Part_Suppliers!$B$2:$B$300,"",0)=0,"",_xlfn.XLOOKUP($A15&amp;"|Ja",Part_Suppliers!$L$2:$L$300,Part_Suppliers!$B$2:$B$300,"",0)),"")</f>
        <v>JLCPCB</v>
      </c>
      <c r="I15" t="str">
        <f>IFERROR(IF(_xlfn.XLOOKUP($A15&amp;"|Ja",Part_Suppliers!$L$2:$L$300,Part_Suppliers!$C$2:$C$300,"",0)=0,"",_xlfn.XLOOKUP($A15&amp;"|Ja",Part_Suppliers!$L$2:$L$300,Part_Suppliers!$C$2:$C$300,"",0)),"")</f>
        <v/>
      </c>
      <c r="J15" s="57">
        <v>5</v>
      </c>
      <c r="K15" s="57">
        <v>0</v>
      </c>
      <c r="L15" s="45" t="str">
        <f>IFERROR(IF(VLOOKUP($A15,Parts!$A$2:$M$191,8,FALSE())=0,"",VLOOKUP($A15,Parts!$A$2:$M$191,8,FALSE())),"")</f>
        <v>EnvNode</v>
      </c>
      <c r="M15" s="45" t="str">
        <f>IFERROR(IF(VLOOKUP($A15,Parts!$A$2:$M$191,12,FALSE())=0,"",VLOOKUP($A15,Parts!$A$2:$M$191,12,FALSE())),"")</f>
        <v>Unbestückte Leiterplatte; SMD-Lötjumper sind PCB-Strukturen und keine Kaufteile Historische PCB-Revision; aktueller KiCad-Stand ist Revision 0.2.</v>
      </c>
      <c r="N15" s="58"/>
      <c r="O15" s="59" t="s">
        <v>85</v>
      </c>
      <c r="S15" t="str">
        <f>IF(O15="drucken",COUNTIF($O$5:O15,"drucken"),"")</f>
        <v/>
      </c>
    </row>
    <row r="16" spans="1:19" ht="26.25" customHeight="1" x14ac:dyDescent="0.2">
      <c r="A16" t="s">
        <v>102</v>
      </c>
      <c r="B16" t="str">
        <f>IFERROR(IF(VLOOKUP($A16,Parts!$A$2:$M$191,2,FALSE())=0,"",VLOOKUP($A16,Parts!$A$2:$M$191,2,FALSE())),"")</f>
        <v>Steckverbinder</v>
      </c>
      <c r="C16" s="45" t="str">
        <f>IFERROR(IF(VLOOKUP($A16,Parts!$A$2:$M$191,3,FALSE())=0,"",VLOOKUP($A16,Parts!$A$2:$M$191,3,FALSE())),"")</f>
        <v>JST - Stiftleiste, gerade, 1x2-polig - PH</v>
      </c>
      <c r="D16" s="45" t="str">
        <f>IFERROR(IF(VLOOKUP($A16,Parts!$A$2:$M$191,4,FALSE())=0,"",VLOOKUP($A16,Parts!$A$2:$M$191,4,FALSE())),"")</f>
        <v>JST-PH, 2-polig, 2,00 mm</v>
      </c>
      <c r="E16" s="45" t="str">
        <f>IFERROR(IF(VLOOKUP($A16,Parts!$A$2:$M$191,5,FALSE())=0,"",VLOOKUP($A16,Parts!$A$2:$M$191,5,FALSE())),"")</f>
        <v>Connector_JST:JST_PH_B2B-PH-K_1x02_P2.00mm_Vertical</v>
      </c>
      <c r="F16" t="str">
        <f>IFERROR(IF(VLOOKUP($A16,Parts!$A$2:$M$191,6,FALSE())=0,"",VLOOKUP($A16,Parts!$A$2:$M$191,6,FALSE())),"")</f>
        <v>JST</v>
      </c>
      <c r="G16" t="str">
        <f>IFERROR(IF(VLOOKUP($A16,Parts!$A$2:$M$191,7,FALSE())=0,"",VLOOKUP($A16,Parts!$A$2:$M$191,7,FALSE())),"")</f>
        <v>B2B-PH-K-S</v>
      </c>
      <c r="H16" s="56" t="str">
        <f>IFERROR(IF(_xlfn.XLOOKUP($A16&amp;"|Ja",Part_Suppliers!$L$2:$L$300,Part_Suppliers!$B$2:$B$300,"",0)=0,"",_xlfn.XLOOKUP($A16&amp;"|Ja",Part_Suppliers!$L$2:$L$300,Part_Suppliers!$B$2:$B$300,"",0)),"")</f>
        <v>Reichelt</v>
      </c>
      <c r="I16" t="str">
        <f>IFERROR(IF(_xlfn.XLOOKUP($A16&amp;"|Ja",Part_Suppliers!$L$2:$L$300,Part_Suppliers!$C$2:$C$300,"",0)=0,"",_xlfn.XLOOKUP($A16&amp;"|Ja",Part_Suppliers!$L$2:$L$300,Part_Suppliers!$C$2:$C$300,"",0)),"")</f>
        <v>JST PH2P ST</v>
      </c>
      <c r="J16" s="57">
        <v>4</v>
      </c>
      <c r="K16" s="57">
        <v>0</v>
      </c>
      <c r="L16" s="45" t="str">
        <f>IFERROR(IF(VLOOKUP($A16,Parts!$A$2:$M$191,8,FALSE())=0,"",VLOOKUP($A16,Parts!$A$2:$M$191,8,FALSE())),"")</f>
        <v>EnvNode; Mini bis Rev 0.3; AnalogHydroPressure Rev 0.4</v>
      </c>
      <c r="M16" s="45" t="str">
        <f>IFERROR(IF(VLOOKUP($A16,Parts!$A$2:$M$191,12,FALSE())=0,"",VLOOKUP($A16,Parts!$A$2:$M$191,12,FALSE())),"")&amp;" | Verbrauch Auftrag 22.09.2026: 2. Gebucht 27.09.2026."</f>
        <v xml:space="preserve"> | Verbrauch Auftrag 22.09.2026: 2. Gebucht 27.09.2026.</v>
      </c>
      <c r="N16" s="58"/>
      <c r="O16" s="59" t="s">
        <v>85</v>
      </c>
      <c r="S16" t="str">
        <f>IF(O16="drucken",COUNTIF($O$5:O16,"drucken"),"")</f>
        <v/>
      </c>
    </row>
    <row r="17" spans="1:19" ht="15" customHeight="1" x14ac:dyDescent="0.2">
      <c r="A17" t="s">
        <v>103</v>
      </c>
      <c r="B17" t="str">
        <f>IFERROR(IF(VLOOKUP($A17,Parts!$A$2:$M$191,2,FALSE())=0,"",VLOOKUP($A17,Parts!$A$2:$M$191,2,FALSE())),"")</f>
        <v>MOSFET</v>
      </c>
      <c r="C17" s="45" t="str">
        <f>IFERROR(IF(VLOOKUP($A17,Parts!$A$2:$M$191,3,FALSE())=0,"",VLOOKUP($A17,Parts!$A$2:$M$191,3,FALSE())),"")</f>
        <v>MOSFET, N-Ch 30V 5,7A 0,018R, SOT-23</v>
      </c>
      <c r="D17" s="45" t="str">
        <f>IFERROR(IF(VLOOKUP($A17,Parts!$A$2:$M$191,4,FALSE())=0,"",VLOOKUP($A17,Parts!$A$2:$M$191,4,FALSE())),"")</f>
        <v>N-Kanal, 30 V, 5,7 A</v>
      </c>
      <c r="E17" s="45" t="str">
        <f>IFERROR(IF(VLOOKUP($A17,Parts!$A$2:$M$191,5,FALSE())=0,"",VLOOKUP($A17,Parts!$A$2:$M$191,5,FALSE())),"")</f>
        <v>Package_TO_SOT_SMD:SOT-23</v>
      </c>
      <c r="F17" t="str">
        <f>IFERROR(IF(VLOOKUP($A17,Parts!$A$2:$M$191,6,FALSE())=0,"",VLOOKUP($A17,Parts!$A$2:$M$191,6,FALSE())),"")</f>
        <v>Alpha&amp;Omega Semiconductor</v>
      </c>
      <c r="G17" t="str">
        <f>IFERROR(IF(VLOOKUP($A17,Parts!$A$2:$M$191,7,FALSE())=0,"",VLOOKUP($A17,Parts!$A$2:$M$191,7,FALSE())),"")</f>
        <v>AO3400A</v>
      </c>
      <c r="H17" s="56" t="str">
        <f>IFERROR(IF(_xlfn.XLOOKUP($A17&amp;"|Ja",Part_Suppliers!$L$2:$L$300,Part_Suppliers!$B$2:$B$300,"",0)=0,"",_xlfn.XLOOKUP($A17&amp;"|Ja",Part_Suppliers!$L$2:$L$300,Part_Suppliers!$B$2:$B$300,"",0)),"")</f>
        <v>Reichelt</v>
      </c>
      <c r="I17" t="str">
        <f>IFERROR(IF(_xlfn.XLOOKUP($A17&amp;"|Ja",Part_Suppliers!$L$2:$L$300,Part_Suppliers!$C$2:$C$300,"",0)=0,"",_xlfn.XLOOKUP($A17&amp;"|Ja",Part_Suppliers!$L$2:$L$300,Part_Suppliers!$C$2:$C$300,"",0)),"")</f>
        <v>AO3400A</v>
      </c>
      <c r="J17" s="57">
        <v>4</v>
      </c>
      <c r="K17" s="57">
        <v>0</v>
      </c>
      <c r="L17" s="45" t="str">
        <f>IFERROR(IF(VLOOKUP($A17,Parts!$A$2:$M$191,8,FALSE())=0,"",VLOOKUP($A17,Parts!$A$2:$M$191,8,FALSE())),"")</f>
        <v>RainDetector; RainDetectorController Rev 0.3; Aktuell 29.09.2026: RainDetectorController Rev 0.3</v>
      </c>
      <c r="M17" s="45" t="str">
        <f>IFERROR(IF(VLOOKUP($A17,Parts!$A$2:$M$191,12,FALSE())=0,"",VLOOKUP($A17,Parts!$A$2:$M$191,12,FALSE())),"")&amp;" | Verbrauch Auftrag 22.09.2026: 1. Gebucht 27.09.2026."</f>
        <v xml:space="preserve"> | Verbrauch Auftrag 22.09.2026: 1. Gebucht 27.09.2026.</v>
      </c>
      <c r="N17" s="58"/>
      <c r="O17" s="59" t="s">
        <v>85</v>
      </c>
      <c r="S17" t="str">
        <f>IF(O17="drucken",COUNTIF($O$5:O17,"drucken"),"")</f>
        <v/>
      </c>
    </row>
    <row r="18" spans="1:19" ht="26.25" customHeight="1" x14ac:dyDescent="0.2">
      <c r="A18" t="s">
        <v>104</v>
      </c>
      <c r="B18" t="str">
        <f>IFERROR(IF(VLOOKUP($A18,Parts!$A$2:$M$191,2,FALSE())=0,"",VLOOKUP($A18,Parts!$A$2:$M$191,2,FALSE())),"")</f>
        <v>Sensormodul</v>
      </c>
      <c r="C18" s="45" t="str">
        <f>IFERROR(IF(VLOOKUP($A18,Parts!$A$2:$M$191,3,FALSE())=0,"",VLOOKUP($A18,Parts!$A$2:$M$191,3,FALSE())),"")</f>
        <v>Arduino - Temperatur- &amp; Feuchtigkeitssensor, SHTC3</v>
      </c>
      <c r="D18" s="45" t="str">
        <f>IFERROR(IF(VLOOKUP($A18,Parts!$A$2:$M$191,4,FALSE())=0,"",VLOOKUP($A18,Parts!$A$2:$M$191,4,FALSE())),"")</f>
        <v>SHTC3 Breakout</v>
      </c>
      <c r="E18" s="45" t="str">
        <f>IFERROR(IF(VLOOKUP($A18,Parts!$A$2:$M$191,5,FALSE())=0,"",VLOOKUP($A18,Parts!$A$2:$M$191,5,FALSE())),"")</f>
        <v/>
      </c>
      <c r="F18" t="str">
        <f>IFERROR(IF(VLOOKUP($A18,Parts!$A$2:$M$191,6,FALSE())=0,"",VLOOKUP($A18,Parts!$A$2:$M$191,6,FALSE())),"")</f>
        <v>Soldered</v>
      </c>
      <c r="G18">
        <f>IFERROR(IF(VLOOKUP($A18,Parts!$A$2:$M$191,7,FALSE())=0,"",VLOOKUP($A18,Parts!$A$2:$M$191,7,FALSE())),"")</f>
        <v>333032</v>
      </c>
      <c r="H18" s="56" t="str">
        <f>IFERROR(IF(_xlfn.XLOOKUP($A18&amp;"|Ja",Part_Suppliers!$L$2:$L$300,Part_Suppliers!$B$2:$B$300,"",0)=0,"",_xlfn.XLOOKUP($A18&amp;"|Ja",Part_Suppliers!$L$2:$L$300,Part_Suppliers!$B$2:$B$300,"",0)),"")</f>
        <v>Reichelt</v>
      </c>
      <c r="I18" t="str">
        <f>IFERROR(IF(_xlfn.XLOOKUP($A18&amp;"|Ja",Part_Suppliers!$L$2:$L$300,Part_Suppliers!$C$2:$C$300,"",0)=0,"",_xlfn.XLOOKUP($A18&amp;"|Ja",Part_Suppliers!$L$2:$L$300,Part_Suppliers!$C$2:$C$300,"",0)),"")</f>
        <v>DEBO SENS SHTC3</v>
      </c>
      <c r="J18" s="57">
        <v>1</v>
      </c>
      <c r="K18" s="57">
        <v>0</v>
      </c>
      <c r="L18" s="45" t="str">
        <f>IFERROR(IF(VLOOKUP($A18,Parts!$A$2:$M$191,8,FALSE())=0,"",VLOOKUP($A18,Parts!$A$2:$M$191,8,FALSE())),"")</f>
        <v>Sensor</v>
      </c>
      <c r="M18" s="45" t="str">
        <f>IFERROR(IF(VLOOKUP($A18,Parts!$A$2:$M$191,12,FALSE())=0,"",VLOOKUP($A18,Parts!$A$2:$M$191,12,FALSE())),"")</f>
        <v/>
      </c>
      <c r="N18" s="58"/>
      <c r="O18" s="59" t="s">
        <v>85</v>
      </c>
      <c r="S18" t="str">
        <f>IF(O18="drucken",COUNTIF($O$5:O18,"drucken"),"")</f>
        <v/>
      </c>
    </row>
    <row r="19" spans="1:19" ht="26.25" customHeight="1" x14ac:dyDescent="0.2">
      <c r="A19" t="s">
        <v>105</v>
      </c>
      <c r="B19" t="str">
        <f>IFERROR(IF(VLOOKUP($A19,Parts!$A$2:$M$191,2,FALSE())=0,"",VLOOKUP($A19,Parts!$A$2:$M$191,2,FALSE())),"")</f>
        <v>Entwicklungsmodul</v>
      </c>
      <c r="C19" s="45" t="str">
        <f>IFERROR(IF(VLOOKUP($A19,Parts!$A$2:$M$191,3,FALSE())=0,"",VLOOKUP($A19,Parts!$A$2:$M$191,3,FALSE())),"")</f>
        <v>Entwicklerboards - ADC, 4 Kanal, 16-Bit, ADS1115</v>
      </c>
      <c r="D19" s="45" t="str">
        <f>IFERROR(IF(VLOOKUP($A19,Parts!$A$2:$M$191,4,FALSE())=0,"",VLOOKUP($A19,Parts!$A$2:$M$191,4,FALSE())),"")</f>
        <v>ADS1115 Breakout, 4 Kanal, 16 Bit</v>
      </c>
      <c r="E19" s="45" t="str">
        <f>IFERROR(IF(VLOOKUP($A19,Parts!$A$2:$M$191,5,FALSE())=0,"",VLOOKUP($A19,Parts!$A$2:$M$191,5,FALSE())),"")</f>
        <v/>
      </c>
      <c r="F19" t="str">
        <f>IFERROR(IF(VLOOKUP($A19,Parts!$A$2:$M$191,6,FALSE())=0,"",VLOOKUP($A19,Parts!$A$2:$M$191,6,FALSE())),"")</f>
        <v>Soldered</v>
      </c>
      <c r="G19">
        <f>IFERROR(IF(VLOOKUP($A19,Parts!$A$2:$M$191,7,FALSE())=0,"",VLOOKUP($A19,Parts!$A$2:$M$191,7,FALSE())),"")</f>
        <v>333095</v>
      </c>
      <c r="H19" s="56" t="str">
        <f>IFERROR(IF(_xlfn.XLOOKUP($A19&amp;"|Ja",Part_Suppliers!$L$2:$L$300,Part_Suppliers!$B$2:$B$300,"",0)=0,"",_xlfn.XLOOKUP($A19&amp;"|Ja",Part_Suppliers!$L$2:$L$300,Part_Suppliers!$B$2:$B$300,"",0)),"")</f>
        <v>Reichelt</v>
      </c>
      <c r="I19" t="str">
        <f>IFERROR(IF(_xlfn.XLOOKUP($A19&amp;"|Ja",Part_Suppliers!$L$2:$L$300,Part_Suppliers!$C$2:$C$300,"",0)=0,"",_xlfn.XLOOKUP($A19&amp;"|Ja",Part_Suppliers!$L$2:$L$300,Part_Suppliers!$C$2:$C$300,"",0)),"")</f>
        <v>DEBO ADC 16BIT</v>
      </c>
      <c r="J19" s="57">
        <v>0</v>
      </c>
      <c r="K19" s="57">
        <v>0</v>
      </c>
      <c r="L19" s="45" t="str">
        <f>IFERROR(IF(VLOOKUP($A19,Parts!$A$2:$M$191,8,FALSE())=0,"",VLOOKUP($A19,Parts!$A$2:$M$191,8,FALSE())),"")</f>
        <v>A/D Wandler</v>
      </c>
      <c r="M19" s="45" t="str">
        <f>IFERROR(IF(VLOOKUP($A19,Parts!$A$2:$M$191,12,FALSE())=0,"",VLOOKUP($A19,Parts!$A$2:$M$191,12,FALSE())),"")</f>
        <v/>
      </c>
      <c r="N19" s="58" t="s">
        <v>106</v>
      </c>
      <c r="O19" s="59" t="s">
        <v>85</v>
      </c>
      <c r="S19" t="str">
        <f>IF(O19="drucken",COUNTIF($O$5:O19,"drucken"),"")</f>
        <v/>
      </c>
    </row>
    <row r="20" spans="1:19" ht="26.25" customHeight="1" x14ac:dyDescent="0.2">
      <c r="A20" t="s">
        <v>107</v>
      </c>
      <c r="B20" t="str">
        <f>IFERROR(IF(VLOOKUP($A20,Parts!$A$2:$M$191,2,FALSE())=0,"",VLOOKUP($A20,Parts!$A$2:$M$191,2,FALSE())),"")</f>
        <v>Widerstand</v>
      </c>
      <c r="C20" s="45" t="str">
        <f>IFERROR(IF(VLOOKUP($A20,Parts!$A$2:$M$191,3,FALSE())=0,"",VLOOKUP($A20,Parts!$A$2:$M$191,3,FALSE())),"")</f>
        <v>SMD-Widerstand, 1206, 100 kOhm, 250 mW, 0,1%</v>
      </c>
      <c r="D20" s="45" t="str">
        <f>IFERROR(IF(VLOOKUP($A20,Parts!$A$2:$M$191,4,FALSE())=0,"",VLOOKUP($A20,Parts!$A$2:$M$191,4,FALSE())),"")</f>
        <v>100 kΩ, 0,1 %, 250 mW</v>
      </c>
      <c r="E20" s="45" t="str">
        <f>IFERROR(IF(VLOOKUP($A20,Parts!$A$2:$M$191,5,FALSE())=0,"",VLOOKUP($A20,Parts!$A$2:$M$191,5,FALSE())),"")</f>
        <v>Resistor_SMD:R_1206_3216Metric_Pad1.30x1.75mm_HandSolder</v>
      </c>
      <c r="F20" t="str">
        <f>IFERROR(IF(VLOOKUP($A20,Parts!$A$2:$M$191,6,FALSE())=0,"",VLOOKUP($A20,Parts!$A$2:$M$191,6,FALSE())),"")</f>
        <v>Panasonic</v>
      </c>
      <c r="G20" t="str">
        <f>IFERROR(IF(VLOOKUP($A20,Parts!$A$2:$M$191,7,FALSE())=0,"",VLOOKUP($A20,Parts!$A$2:$M$191,7,FALSE())),"")</f>
        <v>ERA8AEB104V</v>
      </c>
      <c r="H20" s="56" t="str">
        <f>IFERROR(IF(_xlfn.XLOOKUP($A20&amp;"|Ja",Part_Suppliers!$L$2:$L$300,Part_Suppliers!$B$2:$B$300,"",0)=0,"",_xlfn.XLOOKUP($A20&amp;"|Ja",Part_Suppliers!$L$2:$L$300,Part_Suppliers!$B$2:$B$300,"",0)),"")</f>
        <v>Reichelt</v>
      </c>
      <c r="I20" t="str">
        <f>IFERROR(IF(_xlfn.XLOOKUP($A20&amp;"|Ja",Part_Suppliers!$L$2:$L$300,Part_Suppliers!$C$2:$C$300,"",0)=0,"",_xlfn.XLOOKUP($A20&amp;"|Ja",Part_Suppliers!$L$2:$L$300,Part_Suppliers!$C$2:$C$300,"",0)),"")</f>
        <v>PAN ERA8AEB104V</v>
      </c>
      <c r="J20" s="57">
        <v>10</v>
      </c>
      <c r="K20" s="57">
        <v>0</v>
      </c>
      <c r="L20" s="45" t="str">
        <f>IFERROR(IF(VLOOKUP($A20,Parts!$A$2:$M$191,8,FALSE())=0,"",VLOOKUP($A20,Parts!$A$2:$M$191,8,FALSE())),"")</f>
        <v>RainDetector; DuoRelay; AnalogHydroPressure; RainDetectorController Rev 0.3; Aktuell 29.09.2026: DuoRelay FullSize Bausatz Rev 0.3; RainDetectorController Rev 0.3</v>
      </c>
      <c r="M20" s="45" t="str">
        <f>IFERROR(IF(VLOOKUP($A20,Parts!$A$2:$M$191,12,FALSE())=0,"",VLOOKUP($A20,Parts!$A$2:$M$191,12,FALSE())),"")&amp;" | Verbrauch Auftrag 22.09.2026: 4. Gebucht 27.09.2026."</f>
        <v>Lieferanten-Bestellnummer in der Altdatei enthält vermischte Angaben. | Verbrauch Auftrag 22.09.2026: 4. Gebucht 27.09.2026.</v>
      </c>
      <c r="N20" s="58"/>
      <c r="O20" s="59" t="s">
        <v>85</v>
      </c>
      <c r="S20" t="str">
        <f>IF(O20="drucken",COUNTIF($O$5:O20,"drucken"),"")</f>
        <v/>
      </c>
    </row>
    <row r="21" spans="1:19" ht="26.25" customHeight="1" x14ac:dyDescent="0.2">
      <c r="A21" t="s">
        <v>108</v>
      </c>
      <c r="B21" t="str">
        <f>IFERROR(IF(VLOOKUP($A21,Parts!$A$2:$M$191,2,FALSE())=0,"",VLOOKUP($A21,Parts!$A$2:$M$191,2,FALSE())),"")</f>
        <v>Widerstand</v>
      </c>
      <c r="C21" s="45" t="str">
        <f>IFERROR(IF(VLOOKUP($A21,Parts!$A$2:$M$191,3,FALSE())=0,"",VLOOKUP($A21,Parts!$A$2:$M$191,3,FALSE())),"")</f>
        <v>SMD-Widerstand, 1206, 100 Ohm, 250 mW, 5%</v>
      </c>
      <c r="D21" s="45" t="str">
        <f>IFERROR(IF(VLOOKUP($A21,Parts!$A$2:$M$191,4,FALSE())=0,"",VLOOKUP($A21,Parts!$A$2:$M$191,4,FALSE())),"")</f>
        <v>100 Ω, 5 %, 250 mW</v>
      </c>
      <c r="E21" s="45" t="str">
        <f>IFERROR(IF(VLOOKUP($A21,Parts!$A$2:$M$191,5,FALSE())=0,"",VLOOKUP($A21,Parts!$A$2:$M$191,5,FALSE())),"")</f>
        <v>Resistor_SMD:R_1206_3216Metric_Pad1.30x1.75mm_HandSolder</v>
      </c>
      <c r="F21" t="str">
        <f>IFERROR(IF(VLOOKUP($A21,Parts!$A$2:$M$191,6,FALSE())=0,"",VLOOKUP($A21,Parts!$A$2:$M$191,6,FALSE())),"")</f>
        <v>YAGEO</v>
      </c>
      <c r="G21" t="str">
        <f>IFERROR(IF(VLOOKUP($A21,Parts!$A$2:$M$191,7,FALSE())=0,"",VLOOKUP($A21,Parts!$A$2:$M$191,7,FALSE())),"")</f>
        <v>RC1206JR-07100RL</v>
      </c>
      <c r="H21" s="56" t="str">
        <f>IFERROR(IF(_xlfn.XLOOKUP($A21&amp;"|Ja",Part_Suppliers!$L$2:$L$300,Part_Suppliers!$B$2:$B$300,"",0)=0,"",_xlfn.XLOOKUP($A21&amp;"|Ja",Part_Suppliers!$L$2:$L$300,Part_Suppliers!$B$2:$B$300,"",0)),"")</f>
        <v>Reichelt</v>
      </c>
      <c r="I21" t="str">
        <f>IFERROR(IF(_xlfn.XLOOKUP($A21&amp;"|Ja",Part_Suppliers!$L$2:$L$300,Part_Suppliers!$C$2:$C$300,"",0)=0,"",_xlfn.XLOOKUP($A21&amp;"|Ja",Part_Suppliers!$L$2:$L$300,Part_Suppliers!$C$2:$C$300,"",0)),"")</f>
        <v>SMD 1/4W 100</v>
      </c>
      <c r="J21" s="57">
        <v>49</v>
      </c>
      <c r="K21" s="57">
        <v>0</v>
      </c>
      <c r="L21" s="45" t="str">
        <f>IFERROR(IF(VLOOKUP($A21,Parts!$A$2:$M$191,8,FALSE())=0,"",VLOOKUP($A21,Parts!$A$2:$M$191,8,FALSE())),"")</f>
        <v>RainDetector; SolarRadiation; RainDetectorController Rev 0.3; Aktuell 29.09.2026: RainDetectorController Rev 0.3; SolarRadiation Rev 0.1</v>
      </c>
      <c r="M21" s="45" t="str">
        <f>IFERROR(IF(VLOOKUP($A21,Parts!$A$2:$M$191,12,FALSE())=0,"",VLOOKUP($A21,Parts!$A$2:$M$191,12,FALSE())),"")&amp;" | Verbrauch Auftrag 22.09.2026: 1. Gebucht 27.09.2026."</f>
        <v xml:space="preserve"> | Verbrauch Auftrag 22.09.2026: 1. Gebucht 27.09.2026.</v>
      </c>
      <c r="N21" s="58"/>
      <c r="O21" s="59" t="s">
        <v>85</v>
      </c>
      <c r="S21" t="str">
        <f>IF(O21="drucken",COUNTIF($O$5:O21,"drucken"),"")</f>
        <v/>
      </c>
    </row>
    <row r="22" spans="1:19" ht="26.25" customHeight="1" x14ac:dyDescent="0.2">
      <c r="A22" t="s">
        <v>109</v>
      </c>
      <c r="B22" t="str">
        <f>IFERROR(IF(VLOOKUP($A22,Parts!$A$2:$M$191,2,FALSE())=0,"",VLOOKUP($A22,Parts!$A$2:$M$191,2,FALSE())),"")</f>
        <v>Widerstand</v>
      </c>
      <c r="C22" s="45" t="str">
        <f>IFERROR(IF(VLOOKUP($A22,Parts!$A$2:$M$191,3,FALSE())=0,"",VLOOKUP($A22,Parts!$A$2:$M$191,3,FALSE())),"")</f>
        <v>SMD-Widerstand, 1206, 10 kOhm, 250 mW, 0,1%</v>
      </c>
      <c r="D22" s="45" t="str">
        <f>IFERROR(IF(VLOOKUP($A22,Parts!$A$2:$M$191,4,FALSE())=0,"",VLOOKUP($A22,Parts!$A$2:$M$191,4,FALSE())),"")</f>
        <v>10 kΩ, 0,1 %, 250 mW</v>
      </c>
      <c r="E22" s="45" t="str">
        <f>IFERROR(IF(VLOOKUP($A22,Parts!$A$2:$M$191,5,FALSE())=0,"",VLOOKUP($A22,Parts!$A$2:$M$191,5,FALSE())),"")</f>
        <v>Resistor_SMD:R_1206_3216Metric_Pad1.30x1.75mm_HandSolder</v>
      </c>
      <c r="F22" t="str">
        <f>IFERROR(IF(VLOOKUP($A22,Parts!$A$2:$M$191,6,FALSE())=0,"",VLOOKUP($A22,Parts!$A$2:$M$191,6,FALSE())),"")</f>
        <v>Panasonic</v>
      </c>
      <c r="G22" t="str">
        <f>IFERROR(IF(VLOOKUP($A22,Parts!$A$2:$M$191,7,FALSE())=0,"",VLOOKUP($A22,Parts!$A$2:$M$191,7,FALSE())),"")</f>
        <v>ERA8AEB103V</v>
      </c>
      <c r="H22" s="56" t="str">
        <f>IFERROR(IF(_xlfn.XLOOKUP($A22&amp;"|Ja",Part_Suppliers!$L$2:$L$300,Part_Suppliers!$B$2:$B$300,"",0)=0,"",_xlfn.XLOOKUP($A22&amp;"|Ja",Part_Suppliers!$L$2:$L$300,Part_Suppliers!$B$2:$B$300,"",0)),"")</f>
        <v>Reichelt</v>
      </c>
      <c r="I22" t="str">
        <f>IFERROR(IF(_xlfn.XLOOKUP($A22&amp;"|Ja",Part_Suppliers!$L$2:$L$300,Part_Suppliers!$C$2:$C$300,"",0)=0,"",_xlfn.XLOOKUP($A22&amp;"|Ja",Part_Suppliers!$L$2:$L$300,Part_Suppliers!$C$2:$C$300,"",0)),"")</f>
        <v>PAN ERA8AEB103V</v>
      </c>
      <c r="J22" s="57">
        <v>8</v>
      </c>
      <c r="K22" s="57">
        <v>0</v>
      </c>
      <c r="L22" s="45" t="str">
        <f>IFERROR(IF(VLOOKUP($A22,Parts!$A$2:$M$191,8,FALSE())=0,"",VLOOKUP($A22,Parts!$A$2:$M$191,8,FALSE())),"")</f>
        <v>RainDetector; RainDetectorController Rev 0.3; Aktuell 29.09.2026: RainDetectorController Rev 0.3; SCT013Head Rev 0.1</v>
      </c>
      <c r="M22" s="45" t="str">
        <f>IFERROR(IF(VLOOKUP($A22,Parts!$A$2:$M$191,12,FALSE())=0,"",VLOOKUP($A22,Parts!$A$2:$M$191,12,FALSE())),"")&amp;" | Verbrauch Auftrag 22.09.2026: 1. Gebucht 27.09.2026."</f>
        <v>Offensichtlich zusammengesetzte MPN aus Altdaten normalisiert. | Verbrauch Auftrag 22.09.2026: 1. Gebucht 27.09.2026.</v>
      </c>
      <c r="N22" s="58"/>
      <c r="O22" s="59" t="s">
        <v>85</v>
      </c>
      <c r="S22" t="str">
        <f>IF(O22="drucken",COUNTIF($O$5:O22,"drucken"),"")</f>
        <v/>
      </c>
    </row>
    <row r="23" spans="1:19" ht="26.25" customHeight="1" x14ac:dyDescent="0.2">
      <c r="A23" t="s">
        <v>110</v>
      </c>
      <c r="B23" t="str">
        <f>IFERROR(IF(VLOOKUP($A23,Parts!$A$2:$M$191,2,FALSE())=0,"",VLOOKUP($A23,Parts!$A$2:$M$191,2,FALSE())),"")</f>
        <v>Steckverbinder</v>
      </c>
      <c r="C23" s="45" t="str">
        <f>IFERROR(IF(VLOOKUP($A23,Parts!$A$2:$M$191,3,FALSE())=0,"",VLOOKUP($A23,Parts!$A$2:$M$191,3,FALSE())),"")</f>
        <v>Stiftleiste, 8-polig, Raster 2,54mm</v>
      </c>
      <c r="D23" s="45" t="str">
        <f>IFERROR(IF(VLOOKUP($A23,Parts!$A$2:$M$191,4,FALSE())=0,"",VLOOKUP($A23,Parts!$A$2:$M$191,4,FALSE())),"")</f>
        <v>1x8, 2,54 mm</v>
      </c>
      <c r="E23" s="45" t="str">
        <f>IFERROR(IF(VLOOKUP($A23,Parts!$A$2:$M$191,5,FALSE())=0,"",VLOOKUP($A23,Parts!$A$2:$M$191,5,FALSE())),"")</f>
        <v>Connector_PinHeader_2.54mm:PinHeader_1x08_P2.54mm_Vertical</v>
      </c>
      <c r="F23" t="str">
        <f>IFERROR(IF(VLOOKUP($A23,Parts!$A$2:$M$191,6,FALSE())=0,"",VLOOKUP($A23,Parts!$A$2:$M$191,6,FALSE())),"")</f>
        <v>BKL Electronic</v>
      </c>
      <c r="G23">
        <f>IFERROR(IF(VLOOKUP($A23,Parts!$A$2:$M$191,7,FALSE())=0,"",VLOOKUP($A23,Parts!$A$2:$M$191,7,FALSE())),"")</f>
        <v>10120505</v>
      </c>
      <c r="H23" s="56" t="str">
        <f>IFERROR(IF(_xlfn.XLOOKUP($A23&amp;"|Ja",Part_Suppliers!$L$2:$L$300,Part_Suppliers!$B$2:$B$300,"",0)=0,"",_xlfn.XLOOKUP($A23&amp;"|Ja",Part_Suppliers!$L$2:$L$300,Part_Suppliers!$B$2:$B$300,"",0)),"")</f>
        <v>Reichelt</v>
      </c>
      <c r="I23" t="str">
        <f>IFERROR(IF(_xlfn.XLOOKUP($A23&amp;"|Ja",Part_Suppliers!$L$2:$L$300,Part_Suppliers!$C$2:$C$300,"",0)=0,"",_xlfn.XLOOKUP($A23&amp;"|Ja",Part_Suppliers!$L$2:$L$300,Part_Suppliers!$C$2:$C$300,"",0)),"")</f>
        <v>BKL 10120505</v>
      </c>
      <c r="J23" s="57">
        <v>0</v>
      </c>
      <c r="K23" s="57">
        <v>0</v>
      </c>
      <c r="L23" s="45" t="str">
        <f>IFERROR(IF(VLOOKUP($A23,Parts!$A$2:$M$191,8,FALSE())=0,"",VLOOKUP($A23,Parts!$A$2:$M$191,8,FALSE())),"")</f>
        <v>RainDetector</v>
      </c>
      <c r="M23" s="45" t="str">
        <f>IFERROR(IF(VLOOKUP($A23,Parts!$A$2:$M$191,12,FALSE())=0,"",VLOOKUP($A23,Parts!$A$2:$M$191,12,FALSE())),"")&amp;" | Verbrauch Auftrag 22.09.2026: 2. Gebucht 27.09.2026. Negativer Bestand: Wareneingang/Artikelzuordnung klären."</f>
        <v xml:space="preserve"> | Verbrauch Auftrag 22.09.2026: 2. Gebucht 27.09.2026. Negativer Bestand: Wareneingang/Artikelzuordnung klären.</v>
      </c>
      <c r="N23" s="58"/>
      <c r="O23" s="59" t="s">
        <v>85</v>
      </c>
      <c r="S23" t="str">
        <f>IF(O23="drucken",COUNTIF($O$5:O23,"drucken"),"")</f>
        <v/>
      </c>
    </row>
    <row r="24" spans="1:19" ht="15" customHeight="1" x14ac:dyDescent="0.2">
      <c r="A24" t="s">
        <v>111</v>
      </c>
      <c r="B24" t="str">
        <f>IFERROR(IF(VLOOKUP($A24,Parts!$A$2:$M$191,2,FALSE())=0,"",VLOOKUP($A24,Parts!$A$2:$M$191,2,FALSE())),"")</f>
        <v>IC</v>
      </c>
      <c r="C24" s="45" t="str">
        <f>IFERROR(IF(VLOOKUP($A24,Parts!$A$2:$M$191,3,FALSE())=0,"",VLOOKUP($A24,Parts!$A$2:$M$191,3,FALSE())),"")</f>
        <v>Timer-IC, Typ 555, SO-8</v>
      </c>
      <c r="D24" s="45" t="str">
        <f>IFERROR(IF(VLOOKUP($A24,Parts!$A$2:$M$191,4,FALSE())=0,"",VLOOKUP($A24,Parts!$A$2:$M$191,4,FALSE())),"")</f>
        <v>CMOS 555</v>
      </c>
      <c r="E24" s="45" t="str">
        <f>IFERROR(IF(VLOOKUP($A24,Parts!$A$2:$M$191,5,FALSE())=0,"",VLOOKUP($A24,Parts!$A$2:$M$191,5,FALSE())),"")</f>
        <v>Package_SO:SOIC-8_3.9x4.9mm_P1.27mm</v>
      </c>
      <c r="F24" t="str">
        <f>IFERROR(IF(VLOOKUP($A24,Parts!$A$2:$M$191,6,FALSE())=0,"",VLOOKUP($A24,Parts!$A$2:$M$191,6,FALSE())),"")</f>
        <v>Renesas</v>
      </c>
      <c r="G24" t="str">
        <f>IFERROR(IF(VLOOKUP($A24,Parts!$A$2:$M$191,7,FALSE())=0,"",VLOOKUP($A24,Parts!$A$2:$M$191,7,FALSE())),"")</f>
        <v>ICM7555IBAZ</v>
      </c>
      <c r="H24" s="56" t="str">
        <f>IFERROR(IF(_xlfn.XLOOKUP($A24&amp;"|Ja",Part_Suppliers!$L$2:$L$300,Part_Suppliers!$B$2:$B$300,"",0)=0,"",_xlfn.XLOOKUP($A24&amp;"|Ja",Part_Suppliers!$L$2:$L$300,Part_Suppliers!$B$2:$B$300,"",0)),"")</f>
        <v>Reichelt</v>
      </c>
      <c r="I24" t="str">
        <f>IFERROR(IF(_xlfn.XLOOKUP($A24&amp;"|Ja",Part_Suppliers!$L$2:$L$300,Part_Suppliers!$C$2:$C$300,"",0)=0,"",_xlfn.XLOOKUP($A24&amp;"|Ja",Part_Suppliers!$L$2:$L$300,Part_Suppliers!$C$2:$C$300,"",0)),"")</f>
        <v>ICM 7555 IBAZ</v>
      </c>
      <c r="J24" s="57">
        <v>2</v>
      </c>
      <c r="K24" s="57">
        <v>4</v>
      </c>
      <c r="L24" s="45" t="str">
        <f>IFERROR(IF(VLOOKUP($A24,Parts!$A$2:$M$191,8,FALSE())=0,"",VLOOKUP($A24,Parts!$A$2:$M$191,8,FALSE())),"")</f>
        <v>RainDetector; RainDetectorController Rev 0.3; Aktuell 29.09.2026: RainDetectorController Rev 0.3</v>
      </c>
      <c r="M24" s="45" t="str">
        <f>IFERROR(IF(VLOOKUP($A24,Parts!$A$2:$M$191,12,FALSE())=0,"",VLOOKUP($A24,Parts!$A$2:$M$191,12,FALSE())),"")&amp;" | Verbrauch Auftrag 22.09.2026: 1. Gebucht 27.09.2026."</f>
        <v xml:space="preserve"> | Verbrauch Auftrag 22.09.2026: 1. Gebucht 27.09.2026.</v>
      </c>
      <c r="N24" s="58"/>
      <c r="O24" s="59" t="s">
        <v>85</v>
      </c>
      <c r="S24" t="str">
        <f>IF(O24="drucken",COUNTIF($O$5:O24,"drucken"),"")</f>
        <v/>
      </c>
    </row>
    <row r="25" spans="1:19" ht="52.75" customHeight="1" x14ac:dyDescent="0.2">
      <c r="A25" t="s">
        <v>112</v>
      </c>
      <c r="B25" t="str">
        <f>IFERROR(IF(VLOOKUP($A25,Parts!$A$2:$M$191,2,FALSE())=0,"",VLOOKUP($A25,Parts!$A$2:$M$191,2,FALSE())),"")</f>
        <v>Steckverbinder</v>
      </c>
      <c r="C25" s="45" t="str">
        <f>IFERROR(IF(VLOOKUP($A25,Parts!$A$2:$M$191,3,FALSE())=0,"",VLOOKUP($A25,Parts!$A$2:$M$191,3,FALSE())),"")</f>
        <v>PinSocket 1x8, 2,54mm SMD</v>
      </c>
      <c r="D25" s="45" t="str">
        <f>IFERROR(IF(VLOOKUP($A25,Parts!$A$2:$M$191,4,FALSE())=0,"",VLOOKUP($A25,Parts!$A$2:$M$191,4,FALSE())),"")</f>
        <v>1x8, 2,54 mm, SMD</v>
      </c>
      <c r="E25" s="45" t="str">
        <f>IFERROR(IF(VLOOKUP($A25,Parts!$A$2:$M$191,5,FALSE())=0,"",VLOOKUP($A25,Parts!$A$2:$M$191,5,FALSE())),"")</f>
        <v/>
      </c>
      <c r="F25" t="str">
        <f>IFERROR(IF(VLOOKUP($A25,Parts!$A$2:$M$191,6,FALSE())=0,"",VLOOKUP($A25,Parts!$A$2:$M$191,6,FALSE())),"")</f>
        <v>fischer Elektronik</v>
      </c>
      <c r="G25" t="str">
        <f>IFERROR(IF(VLOOKUP($A25,Parts!$A$2:$M$191,7,FALSE())=0,"",VLOOKUP($A25,Parts!$A$2:$M$191,7,FALSE())),"")</f>
        <v>BL 3 8 G</v>
      </c>
      <c r="H25" s="56" t="str">
        <f>IFERROR(IF(_xlfn.XLOOKUP($A25&amp;"|Ja",Part_Suppliers!$L$2:$L$300,Part_Suppliers!$B$2:$B$300,"",0)=0,"",_xlfn.XLOOKUP($A25&amp;"|Ja",Part_Suppliers!$L$2:$L$300,Part_Suppliers!$B$2:$B$300,"",0)),"")</f>
        <v>Reichelt</v>
      </c>
      <c r="I25" t="str">
        <f>IFERROR(IF(_xlfn.XLOOKUP($A25&amp;"|Ja",Part_Suppliers!$L$2:$L$300,Part_Suppliers!$C$2:$C$300,"",0)=0,"",_xlfn.XLOOKUP($A25&amp;"|Ja",Part_Suppliers!$L$2:$L$300,Part_Suppliers!$C$2:$C$300,"",0)),"")</f>
        <v>FIS BL 3 8G</v>
      </c>
      <c r="J25" s="57">
        <v>2</v>
      </c>
      <c r="K25" s="57">
        <v>0</v>
      </c>
      <c r="L25" s="45" t="str">
        <f>IFERROR(IF(VLOOKUP($A25,Parts!$A$2:$M$191,8,FALSE())=0,"",VLOOKUP($A25,Parts!$A$2:$M$191,8,FALSE())),"")</f>
        <v>Stall.biz/Weatherman-Detektorplatine</v>
      </c>
      <c r="M25" s="45" t="str">
        <f>IFERROR(IF(VLOOKUP($A25,Parts!$A$2:$M$191,12,FALSE())=0,"",VLOOKUP($A25,Parts!$A$2:$M$191,12,FALSE())),"")</f>
        <v>1×8-SMD-Buchsenleiste sitzt physisch auf der Stall.biz/Weatherman-Detektorplatine. Auf der RainDetector-Platine werden für J1/J2 die 1×8-THT-Stiftleisten ENP-00019 bestückt.</v>
      </c>
      <c r="N25" s="58"/>
      <c r="O25" s="59" t="s">
        <v>85</v>
      </c>
      <c r="S25" t="str">
        <f>IF(O25="drucken",COUNTIF($O$5:O25,"drucken"),"")</f>
        <v/>
      </c>
    </row>
    <row r="26" spans="1:19" ht="26.25" customHeight="1" x14ac:dyDescent="0.2">
      <c r="A26" t="s">
        <v>113</v>
      </c>
      <c r="B26" t="str">
        <f>IFERROR(IF(VLOOKUP($A26,Parts!$A$2:$M$191,2,FALSE())=0,"",VLOOKUP($A26,Parts!$A$2:$M$191,2,FALSE())),"")</f>
        <v>Widerstand</v>
      </c>
      <c r="C26" s="45" t="str">
        <f>IFERROR(IF(VLOOKUP($A26,Parts!$A$2:$M$191,3,FALSE())=0,"",VLOOKUP($A26,Parts!$A$2:$M$191,3,FALSE())),"")</f>
        <v>SMD-Widerstand, 1206, 47 Ohm, 250 mW, 5%</v>
      </c>
      <c r="D26" s="45" t="str">
        <f>IFERROR(IF(VLOOKUP($A26,Parts!$A$2:$M$191,4,FALSE())=0,"",VLOOKUP($A26,Parts!$A$2:$M$191,4,FALSE())),"")</f>
        <v>47 Ω</v>
      </c>
      <c r="E26" s="45" t="str">
        <f>IFERROR(IF(VLOOKUP($A26,Parts!$A$2:$M$191,5,FALSE())=0,"",VLOOKUP($A26,Parts!$A$2:$M$191,5,FALSE())),"")</f>
        <v>Resistor_SMD:R_1206_3216Metric_Pad1.30x1.75mm_HandSolder</v>
      </c>
      <c r="F26" t="str">
        <f>IFERROR(IF(VLOOKUP($A26,Parts!$A$2:$M$191,6,FALSE())=0,"",VLOOKUP($A26,Parts!$A$2:$M$191,6,FALSE())),"")</f>
        <v>RND components</v>
      </c>
      <c r="G26" t="str">
        <f>IFERROR(IF(VLOOKUP($A26,Parts!$A$2:$M$191,7,FALSE())=0,"",VLOOKUP($A26,Parts!$A$2:$M$191,7,FALSE())),"")</f>
        <v>RND 1551206S4J0470T5E</v>
      </c>
      <c r="H26" s="56" t="str">
        <f>IFERROR(IF(_xlfn.XLOOKUP($A26&amp;"|Ja",Part_Suppliers!$L$2:$L$300,Part_Suppliers!$B$2:$B$300,"",0)=0,"",_xlfn.XLOOKUP($A26&amp;"|Ja",Part_Suppliers!$L$2:$L$300,Part_Suppliers!$B$2:$B$300,"",0)),"")</f>
        <v>Reichelt</v>
      </c>
      <c r="I26" t="str">
        <f>IFERROR(IF(_xlfn.XLOOKUP($A26&amp;"|Ja",Part_Suppliers!$L$2:$L$300,Part_Suppliers!$C$2:$C$300,"",0)=0,"",_xlfn.XLOOKUP($A26&amp;"|Ja",Part_Suppliers!$L$2:$L$300,Part_Suppliers!$C$2:$C$300,"",0)),"")</f>
        <v>RND 1551206 AF</v>
      </c>
      <c r="J26" s="57">
        <v>0</v>
      </c>
      <c r="K26" s="57">
        <v>0</v>
      </c>
      <c r="L26" s="45" t="str">
        <f>IFERROR(IF(VLOOKUP($A26,Parts!$A$2:$M$191,8,FALSE())=0,"",VLOOKUP($A26,Parts!$A$2:$M$191,8,FALSE())),"")</f>
        <v>Detector</v>
      </c>
      <c r="M26" s="45" t="str">
        <f>IFERROR(IF(VLOOKUP($A26,Parts!$A$2:$M$191,12,FALSE())=0,"",VLOOKUP($A26,Parts!$A$2:$M$191,12,FALSE())),"")</f>
        <v/>
      </c>
      <c r="N26" s="58"/>
      <c r="O26" s="59" t="s">
        <v>85</v>
      </c>
      <c r="S26" t="str">
        <f>IF(O26="drucken",COUNTIF($O$5:O26,"drucken"),"")</f>
        <v/>
      </c>
    </row>
    <row r="27" spans="1:19" ht="26.25" customHeight="1" x14ac:dyDescent="0.2">
      <c r="A27" t="s">
        <v>114</v>
      </c>
      <c r="B27" t="str">
        <f>IFERROR(IF(VLOOKUP($A27,Parts!$A$2:$M$191,2,FALSE())=0,"",VLOOKUP($A27,Parts!$A$2:$M$191,2,FALSE())),"")</f>
        <v>Relais</v>
      </c>
      <c r="C27" s="45" t="str">
        <f>IFERROR(IF(VLOOKUP($A27,Parts!$A$2:$M$191,3,FALSE())=0,"",VLOOKUP($A27,Parts!$A$2:$M$191,3,FALSE())),"")</f>
        <v>Steck-Printrelais, 1 CO, 6 A, 5 V DC sensitiv</v>
      </c>
      <c r="D27" s="45" t="str">
        <f>IFERROR(IF(VLOOKUP($A27,Parts!$A$2:$M$191,4,FALSE())=0,"",VLOOKUP($A27,Parts!$A$2:$M$191,4,FALSE())),"")</f>
        <v>5 V, 1 Wechsler, 6 A</v>
      </c>
      <c r="E27" s="45" t="str">
        <f>IFERROR(IF(VLOOKUP($A27,Parts!$A$2:$M$191,5,FALSE())=0,"",VLOOKUP($A27,Parts!$A$2:$M$191,5,FALSE())),"")</f>
        <v>Relay_THT:Relay_SPDT_Finder_34.51_Vertical</v>
      </c>
      <c r="F27" t="str">
        <f>IFERROR(IF(VLOOKUP($A27,Parts!$A$2:$M$191,6,FALSE())=0,"",VLOOKUP($A27,Parts!$A$2:$M$191,6,FALSE())),"")</f>
        <v>finder</v>
      </c>
      <c r="G27" t="str">
        <f>IFERROR(IF(VLOOKUP($A27,Parts!$A$2:$M$191,7,FALSE())=0,"",VLOOKUP($A27,Parts!$A$2:$M$191,7,FALSE())),"")</f>
        <v>34.51.7.005.0010</v>
      </c>
      <c r="H27" s="56" t="str">
        <f>IFERROR(IF(_xlfn.XLOOKUP($A27&amp;"|Ja",Part_Suppliers!$L$2:$L$300,Part_Suppliers!$B$2:$B$300,"",0)=0,"",_xlfn.XLOOKUP($A27&amp;"|Ja",Part_Suppliers!$L$2:$L$300,Part_Suppliers!$B$2:$B$300,"",0)),"")</f>
        <v>Reichelt</v>
      </c>
      <c r="I27" t="str">
        <f>IFERROR(IF(_xlfn.XLOOKUP($A27&amp;"|Ja",Part_Suppliers!$L$2:$L$300,Part_Suppliers!$C$2:$C$300,"",0)=0,"",_xlfn.XLOOKUP($A27&amp;"|Ja",Part_Suppliers!$L$2:$L$300,Part_Suppliers!$C$2:$C$300,"",0)),"")</f>
        <v>FIN 34.51.7 5V</v>
      </c>
      <c r="J27" s="57">
        <v>2</v>
      </c>
      <c r="K27" s="57">
        <v>0</v>
      </c>
      <c r="L27" s="45" t="str">
        <f>IFERROR(IF(VLOOKUP($A27,Parts!$A$2:$M$191,8,FALSE())=0,"",VLOOKUP($A27,Parts!$A$2:$M$191,8,FALSE())),"")</f>
        <v>DuoRelay; Aktuell 29.09.2026: DuoRelay FullSize Bausatz Rev 0.3</v>
      </c>
      <c r="M27" s="45" t="str">
        <f>IFERROR(IF(VLOOKUP($A27,Parts!$A$2:$M$191,12,FALSE())=0,"",VLOOKUP($A27,Parts!$A$2:$M$191,12,FALSE())),"")&amp;" | Verbrauch Auftrag 22.09.2026: 2. Gebucht 27.09.2026."</f>
        <v xml:space="preserve"> | Verbrauch Auftrag 22.09.2026: 2. Gebucht 27.09.2026.</v>
      </c>
      <c r="N27" s="58"/>
      <c r="O27" s="59" t="s">
        <v>85</v>
      </c>
      <c r="S27" t="str">
        <f>IF(O27="drucken",COUNTIF($O$5:O27,"drucken"),"")</f>
        <v/>
      </c>
    </row>
    <row r="28" spans="1:19" ht="105.5" customHeight="1" x14ac:dyDescent="0.2">
      <c r="A28" t="s">
        <v>115</v>
      </c>
      <c r="B28" t="str">
        <f>IFERROR(IF(VLOOKUP($A28,Parts!$A$2:$M$191,2,FALSE())=0,"",VLOOKUP($A28,Parts!$A$2:$M$191,2,FALSE())),"")</f>
        <v>IC</v>
      </c>
      <c r="C28" s="45" t="str">
        <f>IFERROR(IF(VLOOKUP($A28,Parts!$A$2:$M$191,3,FALSE())=0,"",VLOOKUP($A28,Parts!$A$2:$M$191,3,FALSE())),"")</f>
        <v>I²C-EEPROM 2 Kbit mit vorprogrammierter EUI-64 und zwei Adresspins</v>
      </c>
      <c r="D28" s="45" t="str">
        <f>IFERROR(IF(VLOOKUP($A28,Parts!$A$2:$M$191,4,FALSE())=0,"",VLOOKUP($A28,Parts!$A$2:$M$191,4,FALSE())),"")</f>
        <v>2 Kbit, I²C, EUI-64, A0/A1, 1,7–5,5 V</v>
      </c>
      <c r="E28" s="45" t="str">
        <f>IFERROR(IF(VLOOKUP($A28,Parts!$A$2:$M$191,5,FALSE())=0,"",VLOOKUP($A28,Parts!$A$2:$M$191,5,FALSE())),"")</f>
        <v>Package_TO_SOT_SMD:SOT-23-6</v>
      </c>
      <c r="F28" t="str">
        <f>IFERROR(IF(VLOOKUP($A28,Parts!$A$2:$M$191,6,FALSE())=0,"",VLOOKUP($A28,Parts!$A$2:$M$191,6,FALSE())),"")</f>
        <v>Microchip Technology</v>
      </c>
      <c r="G28" t="str">
        <f>IFERROR(IF(VLOOKUP($A28,Parts!$A$2:$M$191,7,FALSE())=0,"",VLOOKUP($A28,Parts!$A$2:$M$191,7,FALSE())),"")</f>
        <v>24AA025E64T-I/OT</v>
      </c>
      <c r="H28" s="56" t="str">
        <f>IFERROR(IF(_xlfn.XLOOKUP($A28&amp;"|Ja",Part_Suppliers!$L$2:$L$300,Part_Suppliers!$B$2:$B$300,"",0)=0,"",_xlfn.XLOOKUP($A28&amp;"|Ja",Part_Suppliers!$L$2:$L$300,Part_Suppliers!$B$2:$B$300,"",0)),"")</f>
        <v>DigiKey</v>
      </c>
      <c r="I28" t="str">
        <f>IFERROR(IF(_xlfn.XLOOKUP($A28&amp;"|Ja",Part_Suppliers!$L$2:$L$300,Part_Suppliers!$C$2:$C$300,"",0)=0,"",_xlfn.XLOOKUP($A28&amp;"|Ja",Part_Suppliers!$L$2:$L$300,Part_Suppliers!$C$2:$C$300,"",0)),"")</f>
        <v>24AA025E64T-I/OTCT-ND</v>
      </c>
      <c r="J28" s="57">
        <v>0</v>
      </c>
      <c r="K28" s="57">
        <v>0</v>
      </c>
      <c r="L28" s="45" t="str">
        <f>IFERROR(IF(VLOOKUP($A28,Parts!$A$2:$M$191,8,FALSE())=0,"",VLOOKUP($A28,Parts!$A$2:$M$191,8,FALSE())),"")</f>
        <v>EnvNode; EnvNodeMini Rev 0.2; Empty FullSize/HalfSize SMD/THT; DuoRelay; AnalogHydroPressure</v>
      </c>
      <c r="M28" s="45" t="str">
        <f>IFERROR(IF(VLOOKUP($A28,Parts!$A$2:$M$191,12,FALSE())=0,"",VLOOKUP($A28,Parts!$A$2:$M$191,12,FALSE())),"")</f>
        <v>Gemeinsamer Identifikations-EEPROM für alle Boards. Frühere Lieferantendaten gehörten zur falschen SPI-Version 25AA02E64T-I/OT und wurden entfernt; Bezugsquelle, Bestellnummer und Preis neu ergänzen. Auf Modulboards derzeit DNP.; In allen vier aktuellen Empty-Schemata derzeit DNP; A1 liegt an +3V3_SYS, A0 wird über J1 herausgeführt; U1 ist in den aktuellen DuoRelay- und AnalogHydroPressure-Schemata derzeit DNP Bezug als Cut Tape bei DigiKey; keine parametrischen Ersatztypen ohne vorprogrammierte EUI-64 verwenden.</v>
      </c>
      <c r="N28" s="58"/>
      <c r="O28" s="59" t="s">
        <v>85</v>
      </c>
      <c r="S28" t="str">
        <f>IF(O28="drucken",COUNTIF($O$5:O28,"drucken"),"")</f>
        <v/>
      </c>
    </row>
    <row r="29" spans="1:19" ht="26.25" customHeight="1" x14ac:dyDescent="0.2">
      <c r="A29" t="s">
        <v>116</v>
      </c>
      <c r="B29" t="str">
        <f>IFERROR(IF(VLOOKUP($A29,Parts!$A$2:$M$191,2,FALSE())=0,"",VLOOKUP($A29,Parts!$A$2:$M$191,2,FALSE())),"")</f>
        <v>Steckverbinder</v>
      </c>
      <c r="C29" s="45" t="str">
        <f>IFERROR(IF(VLOOKUP($A29,Parts!$A$2:$M$191,3,FALSE())=0,"",VLOOKUP($A29,Parts!$A$2:$M$191,3,FALSE())),"")</f>
        <v>JST-PH Stiftleiste, 4-polig, vertikal</v>
      </c>
      <c r="D29" s="45" t="str">
        <f>IFERROR(IF(VLOOKUP($A29,Parts!$A$2:$M$191,4,FALSE())=0,"",VLOOKUP($A29,Parts!$A$2:$M$191,4,FALSE())),"")</f>
        <v>4-polig, 2,00 mm</v>
      </c>
      <c r="E29" s="45" t="str">
        <f>IFERROR(IF(VLOOKUP($A29,Parts!$A$2:$M$191,5,FALSE())=0,"",VLOOKUP($A29,Parts!$A$2:$M$191,5,FALSE())),"")</f>
        <v>Connector_JST:JST_PH_B4B-PH-K_1x04_P2.00mm_Vertical</v>
      </c>
      <c r="F29" t="str">
        <f>IFERROR(IF(VLOOKUP($A29,Parts!$A$2:$M$191,6,FALSE())=0,"",VLOOKUP($A29,Parts!$A$2:$M$191,6,FALSE())),"")</f>
        <v>JST</v>
      </c>
      <c r="G29" t="str">
        <f>IFERROR(IF(VLOOKUP($A29,Parts!$A$2:$M$191,7,FALSE())=0,"",VLOOKUP($A29,Parts!$A$2:$M$191,7,FALSE())),"")</f>
        <v>B4B-PH-K-S</v>
      </c>
      <c r="H29" s="56" t="str">
        <f>IFERROR(IF(_xlfn.XLOOKUP($A29&amp;"|Ja",Part_Suppliers!$L$2:$L$300,Part_Suppliers!$B$2:$B$300,"",0)=0,"",_xlfn.XLOOKUP($A29&amp;"|Ja",Part_Suppliers!$L$2:$L$300,Part_Suppliers!$B$2:$B$300,"",0)),"")</f>
        <v>Reichelt</v>
      </c>
      <c r="I29" t="str">
        <f>IFERROR(IF(_xlfn.XLOOKUP($A29&amp;"|Ja",Part_Suppliers!$L$2:$L$300,Part_Suppliers!$C$2:$C$300,"",0)=0,"",_xlfn.XLOOKUP($A29&amp;"|Ja",Part_Suppliers!$L$2:$L$300,Part_Suppliers!$C$2:$C$300,"",0)),"")</f>
        <v>JST PH4P ST</v>
      </c>
      <c r="J29" s="57">
        <v>8</v>
      </c>
      <c r="K29" s="57">
        <v>30</v>
      </c>
      <c r="L29" s="45" t="str">
        <f>IFERROR(IF(VLOOKUP($A29,Parts!$A$2:$M$191,8,FALSE())=0,"",VLOOKUP($A29,Parts!$A$2:$M$191,8,FALSE())),"")</f>
        <v>EnvNode; Weatherstation Rev 0.1; Aktuell 29.09.2026: EnvNode Mini Bausatz Rev 0.8; EnvNode Weatherstation Bausatz Rev 0.2</v>
      </c>
      <c r="M29" s="45" t="str">
        <f>IFERROR(IF(VLOOKUP($A29,Parts!$A$2:$M$191,12,FALSE())=0,"",VLOOKUP($A29,Parts!$A$2:$M$191,12,FALSE())),"")</f>
        <v>Mögliche Überschneidung mit dem vorhandenen JST-PH-Set prüfen.</v>
      </c>
      <c r="N29" s="58"/>
      <c r="O29" s="59" t="s">
        <v>181</v>
      </c>
      <c r="S29">
        <f>IF(O29="drucken",COUNTIF($O$5:O29,"drucken"),"")</f>
        <v>1</v>
      </c>
    </row>
    <row r="30" spans="1:19" ht="26.25" customHeight="1" x14ac:dyDescent="0.2">
      <c r="A30" t="s">
        <v>117</v>
      </c>
      <c r="B30" t="str">
        <f>IFERROR(IF(VLOOKUP($A30,Parts!$A$2:$M$191,2,FALSE())=0,"",VLOOKUP($A30,Parts!$A$2:$M$191,2,FALSE())),"")</f>
        <v>Steckverbinder</v>
      </c>
      <c r="C30" s="45" t="str">
        <f>IFERROR(IF(VLOOKUP($A30,Parts!$A$2:$M$191,3,FALSE())=0,"",VLOOKUP($A30,Parts!$A$2:$M$191,3,FALSE())),"")</f>
        <v>JST-SH Stiftleiste, 4-polig, horizontal</v>
      </c>
      <c r="D30" s="45" t="str">
        <f>IFERROR(IF(VLOOKUP($A30,Parts!$A$2:$M$191,4,FALSE())=0,"",VLOOKUP($A30,Parts!$A$2:$M$191,4,FALSE())),"")</f>
        <v>4-polig, 1,00 mm</v>
      </c>
      <c r="E30" s="45" t="str">
        <f>IFERROR(IF(VLOOKUP($A30,Parts!$A$2:$M$191,5,FALSE())=0,"",VLOOKUP($A30,Parts!$A$2:$M$191,5,FALSE())),"")</f>
        <v>Connector_JST:JST_SH_SM04B-SRSS-TB_1x04-1MP_P1.00mm_Horizontal</v>
      </c>
      <c r="F30" t="str">
        <f>IFERROR(IF(VLOOKUP($A30,Parts!$A$2:$M$191,6,FALSE())=0,"",VLOOKUP($A30,Parts!$A$2:$M$191,6,FALSE())),"")</f>
        <v>JST</v>
      </c>
      <c r="G30" t="str">
        <f>IFERROR(IF(VLOOKUP($A30,Parts!$A$2:$M$191,7,FALSE())=0,"",VLOOKUP($A30,Parts!$A$2:$M$191,7,FALSE())),"")</f>
        <v>SM04B-SRSS-TB</v>
      </c>
      <c r="H30" s="56" t="str">
        <f>IFERROR(IF(_xlfn.XLOOKUP($A30&amp;"|Ja",Part_Suppliers!$L$2:$L$300,Part_Suppliers!$B$2:$B$300,"",0)=0,"",_xlfn.XLOOKUP($A30&amp;"|Ja",Part_Suppliers!$L$2:$L$300,Part_Suppliers!$B$2:$B$300,"",0)),"")</f>
        <v>DigiKey</v>
      </c>
      <c r="I30" t="str">
        <f>IFERROR(IF(_xlfn.XLOOKUP($A30&amp;"|Ja",Part_Suppliers!$L$2:$L$300,Part_Suppliers!$C$2:$C$300,"",0)=0,"",_xlfn.XLOOKUP($A30&amp;"|Ja",Part_Suppliers!$L$2:$L$300,Part_Suppliers!$C$2:$C$300,"",0)),"")</f>
        <v>455-SM04B-SRSS-TBCT-ND</v>
      </c>
      <c r="J30" s="57">
        <v>10</v>
      </c>
      <c r="K30" s="57">
        <v>0</v>
      </c>
      <c r="L30" s="45" t="str">
        <f>IFERROR(IF(VLOOKUP($A30,Parts!$A$2:$M$191,8,FALSE())=0,"",VLOOKUP($A30,Parts!$A$2:$M$191,8,FALSE())),"")</f>
        <v>EnvNode; EnvNodeMini Rev 0.2; SolarRadiation; Aktuell 29.09.2026: SolarRadiation Rev 0.1</v>
      </c>
      <c r="M30" s="45" t="str">
        <f>IFERROR(IF(VLOOKUP($A30,Parts!$A$2:$M$191,12,FALSE())=0,"",VLOOKUP($A30,Parts!$A$2:$M$191,12,FALSE())),"")&amp;" | Verbrauch Auftrag 22.09.2026: 4. Gebucht 27.09.2026. Negativer Bestand: Wareneingang/Artikelzuordnung klären."</f>
        <v>Exakter JST-SH-Header SM04B-SRSS-TB für den vorhandenen 4-poligen 1,00-mm-SMD-Rechtwinkel-Footprint; als DigiKey-Gurtabschnitt beschaffbar. Nicht mit dem Qwiic-Pigtail zusammenführen. | Verbrauch Auftrag 22.09.2026: 4. Gebucht 27.09.2026. Negativer Bestand: Wareneingang/Artikelzuordnung klären.</v>
      </c>
      <c r="N30" s="58"/>
      <c r="O30" s="59" t="s">
        <v>85</v>
      </c>
      <c r="S30" t="str">
        <f>IF(O30="drucken",COUNTIF($O$5:O30,"drucken"),"")</f>
        <v/>
      </c>
    </row>
    <row r="31" spans="1:19" ht="26.25" customHeight="1" x14ac:dyDescent="0.2">
      <c r="A31" t="s">
        <v>118</v>
      </c>
      <c r="B31" t="str">
        <f>IFERROR(IF(VLOOKUP($A31,Parts!$A$2:$M$191,2,FALSE())=0,"",VLOOKUP($A31,Parts!$A$2:$M$191,2,FALSE())),"")</f>
        <v>IC</v>
      </c>
      <c r="C31" s="45" t="str">
        <f>IFERROR(IF(VLOOKUP($A31,Parts!$A$2:$M$191,3,FALSE())=0,"",VLOOKUP($A31,Parts!$A$2:$M$191,3,FALSE())),"")</f>
        <v>16-Bit ADC mit I²C</v>
      </c>
      <c r="D31" s="45" t="str">
        <f>IFERROR(IF(VLOOKUP($A31,Parts!$A$2:$M$191,4,FALSE())=0,"",VLOOKUP($A31,Parts!$A$2:$M$191,4,FALSE())),"")</f>
        <v>ADS1115IDGS</v>
      </c>
      <c r="E31" s="45" t="str">
        <f>IFERROR(IF(VLOOKUP($A31,Parts!$A$2:$M$191,5,FALSE())=0,"",VLOOKUP($A31,Parts!$A$2:$M$191,5,FALSE())),"")</f>
        <v>Package_SO:TSSOP-10_3x3mm_P0.5mm</v>
      </c>
      <c r="F31" t="str">
        <f>IFERROR(IF(VLOOKUP($A31,Parts!$A$2:$M$191,6,FALSE())=0,"",VLOOKUP($A31,Parts!$A$2:$M$191,6,FALSE())),"")</f>
        <v>Texas Instruments</v>
      </c>
      <c r="G31" t="str">
        <f>IFERROR(IF(VLOOKUP($A31,Parts!$A$2:$M$191,7,FALSE())=0,"",VLOOKUP($A31,Parts!$A$2:$M$191,7,FALSE())),"")</f>
        <v>ADS1115IDGS</v>
      </c>
      <c r="H31" s="56" t="str">
        <f>IFERROR(IF(_xlfn.XLOOKUP($A31&amp;"|Ja",Part_Suppliers!$L$2:$L$300,Part_Suppliers!$B$2:$B$300,"",0)=0,"",_xlfn.XLOOKUP($A31&amp;"|Ja",Part_Suppliers!$L$2:$L$300,Part_Suppliers!$B$2:$B$300,"",0)),"")</f>
        <v>DigiKey</v>
      </c>
      <c r="I31" t="str">
        <f>IFERROR(IF(_xlfn.XLOOKUP($A31&amp;"|Ja",Part_Suppliers!$L$2:$L$300,Part_Suppliers!$C$2:$C$300,"",0)=0,"",_xlfn.XLOOKUP($A31&amp;"|Ja",Part_Suppliers!$L$2:$L$300,Part_Suppliers!$C$2:$C$300,"",0)),"")</f>
        <v>296-24934-1-ND</v>
      </c>
      <c r="J31" s="57">
        <v>0</v>
      </c>
      <c r="K31" s="57">
        <v>0</v>
      </c>
      <c r="L31" s="45" t="str">
        <f>IFERROR(IF(VLOOKUP($A31,Parts!$A$2:$M$191,8,FALSE())=0,"",VLOOKUP($A31,Parts!$A$2:$M$191,8,FALSE())),"")</f>
        <v>AnalogInput; SolarRadiation; AnalogHydroPressure; Aktuell 29.09.2026: SolarRadiation Rev 0.1</v>
      </c>
      <c r="M31" s="45" t="str">
        <f>IFERROR(IF(VLOOKUP($A31,Parts!$A$2:$M$191,12,FALSE())=0,"",VLOOKUP($A31,Parts!$A$2:$M$191,12,FALSE())),"")</f>
        <v>Nicht mit dem vorhandenen ADS1115-Entwicklungsboard zusammenführen.</v>
      </c>
      <c r="N31" s="58"/>
      <c r="O31" s="59" t="s">
        <v>85</v>
      </c>
      <c r="S31" t="str">
        <f>IF(O31="drucken",COUNTIF($O$5:O31,"drucken"),"")</f>
        <v/>
      </c>
    </row>
    <row r="32" spans="1:19" ht="26.25" customHeight="1" x14ac:dyDescent="0.2">
      <c r="A32" t="s">
        <v>119</v>
      </c>
      <c r="B32" t="str">
        <f>IFERROR(IF(VLOOKUP($A32,Parts!$A$2:$M$191,2,FALSE())=0,"",VLOOKUP($A32,Parts!$A$2:$M$191,2,FALSE())),"")</f>
        <v>Kondensator</v>
      </c>
      <c r="C32" s="45" t="str">
        <f>IFERROR(IF(VLOOKUP($A32,Parts!$A$2:$M$191,3,FALSE())=0,"",VLOOKUP($A32,Parts!$A$2:$M$191,3,FALSE())),"")</f>
        <v>Keramikkondensator 1 µF SMD</v>
      </c>
      <c r="D32" s="45" t="str">
        <f>IFERROR(IF(VLOOKUP($A32,Parts!$A$2:$M$191,4,FALSE())=0,"",VLOOKUP($A32,Parts!$A$2:$M$191,4,FALSE())),"")</f>
        <v>1 µF</v>
      </c>
      <c r="E32" s="45" t="str">
        <f>IFERROR(IF(VLOOKUP($A32,Parts!$A$2:$M$191,5,FALSE())=0,"",VLOOKUP($A32,Parts!$A$2:$M$191,5,FALSE())),"")</f>
        <v>Capacitor_SMD:C_1206_3216Metric_Pad1.33x1.80mm_HandSolder</v>
      </c>
      <c r="F32" t="str">
        <f>IFERROR(IF(VLOOKUP($A32,Parts!$A$2:$M$191,6,FALSE())=0,"",VLOOKUP($A32,Parts!$A$2:$M$191,6,FALSE())),"")</f>
        <v>Kyocera</v>
      </c>
      <c r="G32" t="str">
        <f>IFERROR(IF(VLOOKUP($A32,Parts!$A$2:$M$191,7,FALSE())=0,"",VLOOKUP($A32,Parts!$A$2:$M$191,7,FALSE())),"")</f>
        <v>12065C105JAT2A</v>
      </c>
      <c r="H32" s="56" t="str">
        <f>IFERROR(IF(_xlfn.XLOOKUP($A32&amp;"|Ja",Part_Suppliers!$L$2:$L$300,Part_Suppliers!$B$2:$B$300,"",0)=0,"",_xlfn.XLOOKUP($A32&amp;"|Ja",Part_Suppliers!$L$2:$L$300,Part_Suppliers!$B$2:$B$300,"",0)),"")</f>
        <v>Reichelt</v>
      </c>
      <c r="I32" t="str">
        <f>IFERROR(IF(_xlfn.XLOOKUP($A32&amp;"|Ja",Part_Suppliers!$L$2:$L$300,Part_Suppliers!$C$2:$C$300,"",0)=0,"",_xlfn.XLOOKUP($A32&amp;"|Ja",Part_Suppliers!$L$2:$L$300,Part_Suppliers!$C$2:$C$300,"",0)),"")</f>
        <v>12065C105JAT2A</v>
      </c>
      <c r="J32" s="57">
        <v>20</v>
      </c>
      <c r="K32" s="57">
        <v>0</v>
      </c>
      <c r="L32" s="45" t="str">
        <f>IFERROR(IF(VLOOKUP($A32,Parts!$A$2:$M$191,8,FALSE())=0,"",VLOOKUP($A32,Parts!$A$2:$M$191,8,FALSE())),"")</f>
        <v>AnalogInput; AnalogHydroPressure</v>
      </c>
      <c r="M32" s="45" t="str">
        <f>IFERROR(IF(VLOOKUP($A32,Parts!$A$2:$M$191,12,FALSE())=0,"",VLOOKUP($A32,Parts!$A$2:$M$191,12,FALSE())),"")</f>
        <v/>
      </c>
      <c r="N32" s="58"/>
      <c r="O32" s="59" t="s">
        <v>85</v>
      </c>
      <c r="S32" t="str">
        <f>IF(O32="drucken",COUNTIF($O$5:O32,"drucken"),"")</f>
        <v/>
      </c>
    </row>
    <row r="33" spans="1:19" ht="39.5" customHeight="1" x14ac:dyDescent="0.2">
      <c r="A33" t="s">
        <v>120</v>
      </c>
      <c r="B33" t="str">
        <f>IFERROR(IF(VLOOKUP($A33,Parts!$A$2:$M$191,2,FALSE())=0,"",VLOOKUP($A33,Parts!$A$2:$M$191,2,FALSE())),"")</f>
        <v>Diode</v>
      </c>
      <c r="C33" s="45" t="str">
        <f>IFERROR(IF(VLOOKUP($A33,Parts!$A$2:$M$191,3,FALSE())=0,"",VLOOKUP($A33,Parts!$A$2:$M$191,3,FALSE())),"")</f>
        <v>Dual-Schottky-Diode BAT54S</v>
      </c>
      <c r="D33" s="45" t="str">
        <f>IFERROR(IF(VLOOKUP($A33,Parts!$A$2:$M$191,4,FALSE())=0,"",VLOOKUP($A33,Parts!$A$2:$M$191,4,FALSE())),"")</f>
        <v>BAT54S</v>
      </c>
      <c r="E33" s="45" t="str">
        <f>IFERROR(IF(VLOOKUP($A33,Parts!$A$2:$M$191,5,FALSE())=0,"",VLOOKUP($A33,Parts!$A$2:$M$191,5,FALSE())),"")</f>
        <v>Package_TO_SOT_SMD:SOT-23</v>
      </c>
      <c r="F33" t="str">
        <f>IFERROR(IF(VLOOKUP($A33,Parts!$A$2:$M$191,6,FALSE())=0,"",VLOOKUP($A33,Parts!$A$2:$M$191,6,FALSE())),"")</f>
        <v>Diotec</v>
      </c>
      <c r="G33" t="str">
        <f>IFERROR(IF(VLOOKUP($A33,Parts!$A$2:$M$191,7,FALSE())=0,"",VLOOKUP($A33,Parts!$A$2:$M$191,7,FALSE())),"")</f>
        <v>BAT54S</v>
      </c>
      <c r="H33" s="56" t="str">
        <f>IFERROR(IF(_xlfn.XLOOKUP($A33&amp;"|Ja",Part_Suppliers!$L$2:$L$300,Part_Suppliers!$B$2:$B$300,"",0)=0,"",_xlfn.XLOOKUP($A33&amp;"|Ja",Part_Suppliers!$L$2:$L$300,Part_Suppliers!$B$2:$B$300,"",0)),"")</f>
        <v>Reichelt</v>
      </c>
      <c r="I33" t="str">
        <f>IFERROR(IF(_xlfn.XLOOKUP($A33&amp;"|Ja",Part_Suppliers!$L$2:$L$300,Part_Suppliers!$C$2:$C$300,"",0)=0,"",_xlfn.XLOOKUP($A33&amp;"|Ja",Part_Suppliers!$L$2:$L$300,Part_Suppliers!$C$2:$C$300,"",0)),"")</f>
        <v>BAT 54S DIO</v>
      </c>
      <c r="J33" s="57">
        <v>20</v>
      </c>
      <c r="K33" s="57">
        <v>0</v>
      </c>
      <c r="L33" s="45" t="str">
        <f>IFERROR(IF(VLOOKUP($A33,Parts!$A$2:$M$191,8,FALSE())=0,"",VLOOKUP($A33,Parts!$A$2:$M$191,8,FALSE())),"")</f>
        <v>AnalogInput; AnalogHydroPressure</v>
      </c>
      <c r="M33" s="45" t="str">
        <f>IFERROR(IF(VLOOKUP($A33,Parts!$A$2:$M$191,12,FALSE())=0,"",VLOOKUP($A33,Parts!$A$2:$M$191,12,FALSE())),"")</f>
        <v>Aktuelles AnalogHydroPressure verwendet SOT-23 und stimmt damit mit dem Artikel-Footprint überein; Gehäuse der bestellten Variante dennoch prüfen.</v>
      </c>
      <c r="N33" s="58"/>
      <c r="O33" s="59" t="s">
        <v>85</v>
      </c>
      <c r="S33" t="str">
        <f>IF(O33="drucken",COUNTIF($O$5:O33,"drucken"),"")</f>
        <v/>
      </c>
    </row>
    <row r="34" spans="1:19" ht="26.25" customHeight="1" x14ac:dyDescent="0.2">
      <c r="A34" t="s">
        <v>121</v>
      </c>
      <c r="B34" t="str">
        <f>IFERROR(IF(VLOOKUP($A34,Parts!$A$2:$M$191,2,FALSE())=0,"",VLOOKUP($A34,Parts!$A$2:$M$191,2,FALSE())),"")</f>
        <v>Steckverbinder</v>
      </c>
      <c r="C34" s="45" t="str">
        <f>IFERROR(IF(VLOOKUP($A34,Parts!$A$2:$M$191,3,FALSE())=0,"",VLOOKUP($A34,Parts!$A$2:$M$191,3,FALSE())),"")</f>
        <v>Buchsenleiste 2x4, vertikal</v>
      </c>
      <c r="D34" s="45" t="str">
        <f>IFERROR(IF(VLOOKUP($A34,Parts!$A$2:$M$191,4,FALSE())=0,"",VLOOKUP($A34,Parts!$A$2:$M$191,4,FALSE())),"")</f>
        <v>2x4, 2,54 mm</v>
      </c>
      <c r="E34" s="45" t="str">
        <f>IFERROR(IF(VLOOKUP($A34,Parts!$A$2:$M$191,5,FALSE())=0,"",VLOOKUP($A34,Parts!$A$2:$M$191,5,FALSE())),"")</f>
        <v>PinSocket_2x04_P2.54mm_Vertical / EnvNode Bottom-Variante</v>
      </c>
      <c r="F34" t="str">
        <f>IFERROR(IF(VLOOKUP($A34,Parts!$A$2:$M$191,6,FALSE())=0,"",VLOOKUP($A34,Parts!$A$2:$M$191,6,FALSE())),"")</f>
        <v/>
      </c>
      <c r="G34" t="str">
        <f>IFERROR(IF(VLOOKUP($A34,Parts!$A$2:$M$191,7,FALSE())=0,"",VLOOKUP($A34,Parts!$A$2:$M$191,7,FALSE())),"")</f>
        <v/>
      </c>
      <c r="H34" s="56" t="str">
        <f>IFERROR(IF(_xlfn.XLOOKUP($A34&amp;"|Ja",Part_Suppliers!$L$2:$L$300,Part_Suppliers!$B$2:$B$300,"",0)=0,"",_xlfn.XLOOKUP($A34&amp;"|Ja",Part_Suppliers!$L$2:$L$300,Part_Suppliers!$B$2:$B$300,"",0)),"")</f>
        <v>Noch festlegen</v>
      </c>
      <c r="I34" t="str">
        <f>IFERROR(IF(_xlfn.XLOOKUP($A34&amp;"|Ja",Part_Suppliers!$L$2:$L$300,Part_Suppliers!$C$2:$C$300,"",0)=0,"",_xlfn.XLOOKUP($A34&amp;"|Ja",Part_Suppliers!$L$2:$L$300,Part_Suppliers!$C$2:$C$300,"",0)),"")</f>
        <v/>
      </c>
      <c r="J34" s="57">
        <v>0</v>
      </c>
      <c r="K34" s="57">
        <v>0</v>
      </c>
      <c r="L34" s="45" t="str">
        <f>IFERROR(IF(VLOOKUP($A34,Parts!$A$2:$M$191,8,FALSE())=0,"",VLOOKUP($A34,Parts!$A$2:$M$191,8,FALSE())),"")</f>
        <v>Legacy Rev 0.1: EnvNodeMini; AnalogInput; DuoRelay</v>
      </c>
      <c r="M34" s="45" t="str">
        <f>IFERROR(IF(VLOOKUP($A34,Parts!$A$2:$M$191,12,FALSE())=0,"",VLOOKUP($A34,Parts!$A$2:$M$191,12,FALSE())),"")</f>
        <v>Legacy-Artikel für die Modulsteckverbindung Rev 0.1; nicht für die aktuellen 2x7-Steckplätze verwenden. Legacy: eindeutige Ausführung fehlt; keine spekulative Hersteller- oder Lieferantenzuordnung.</v>
      </c>
      <c r="N34" s="58"/>
      <c r="O34" s="59" t="s">
        <v>85</v>
      </c>
      <c r="S34" t="str">
        <f>IF(O34="drucken",COUNTIF($O$5:O34,"drucken"),"")</f>
        <v/>
      </c>
    </row>
    <row r="35" spans="1:19" ht="26.25" customHeight="1" x14ac:dyDescent="0.2">
      <c r="A35" t="s">
        <v>122</v>
      </c>
      <c r="B35" t="str">
        <f>IFERROR(IF(VLOOKUP($A35,Parts!$A$2:$M$191,2,FALSE())=0,"",VLOOKUP($A35,Parts!$A$2:$M$191,2,FALSE())),"")</f>
        <v>Steckverbinder</v>
      </c>
      <c r="C35" s="45" t="str">
        <f>IFERROR(IF(VLOOKUP($A35,Parts!$A$2:$M$191,3,FALSE())=0,"",VLOOKUP($A35,Parts!$A$2:$M$191,3,FALSE())),"")</f>
        <v>Buchsenleiste 1x2, vertikal</v>
      </c>
      <c r="D35" s="45" t="str">
        <f>IFERROR(IF(VLOOKUP($A35,Parts!$A$2:$M$191,4,FALSE())=0,"",VLOOKUP($A35,Parts!$A$2:$M$191,4,FALSE())),"")</f>
        <v>1x2, 2,54 mm</v>
      </c>
      <c r="E35" s="45" t="str">
        <f>IFERROR(IF(VLOOKUP($A35,Parts!$A$2:$M$191,5,FALSE())=0,"",VLOOKUP($A35,Parts!$A$2:$M$191,5,FALSE())),"")</f>
        <v>Connector_PinSocket_2.54mm:PinSocket_1x02_P2.54mm_Vertical</v>
      </c>
      <c r="F35" t="str">
        <f>IFERROR(IF(VLOOKUP($A35,Parts!$A$2:$M$191,6,FALSE())=0,"",VLOOKUP($A35,Parts!$A$2:$M$191,6,FALSE())),"")</f>
        <v/>
      </c>
      <c r="G35" t="str">
        <f>IFERROR(IF(VLOOKUP($A35,Parts!$A$2:$M$191,7,FALSE())=0,"",VLOOKUP($A35,Parts!$A$2:$M$191,7,FALSE())),"")</f>
        <v/>
      </c>
      <c r="H35" s="56" t="str">
        <f>IFERROR(IF(_xlfn.XLOOKUP($A35&amp;"|Ja",Part_Suppliers!$L$2:$L$300,Part_Suppliers!$B$2:$B$300,"",0)=0,"",_xlfn.XLOOKUP($A35&amp;"|Ja",Part_Suppliers!$L$2:$L$300,Part_Suppliers!$B$2:$B$300,"",0)),"")</f>
        <v>Reichelt</v>
      </c>
      <c r="I35">
        <f>IFERROR(IF(_xlfn.XLOOKUP($A35&amp;"|Ja",Part_Suppliers!$L$2:$L$300,Part_Suppliers!$C$2:$C$300,"",0)=0,"",_xlfn.XLOOKUP($A35&amp;"|Ja",Part_Suppliers!$L$2:$L$300,Part_Suppliers!$C$2:$C$300,"",0)),"")</f>
        <v>31101103</v>
      </c>
      <c r="J35" s="57">
        <v>0</v>
      </c>
      <c r="K35" s="57">
        <v>0</v>
      </c>
      <c r="L35" s="45" t="str">
        <f>IFERROR(IF(VLOOKUP($A35,Parts!$A$2:$M$191,8,FALSE())=0,"",VLOOKUP($A35,Parts!$A$2:$M$191,8,FALSE())),"")</f>
        <v>AnalogInput; AnalogHydroPressure</v>
      </c>
      <c r="M35" s="45" t="str">
        <f>IFERROR(IF(VLOOKUP($A35,Parts!$A$2:$M$191,12,FALSE())=0,"",VLOOKUP($A35,Parts!$A$2:$M$191,12,FALSE())),"")</f>
        <v/>
      </c>
      <c r="N35" s="58"/>
      <c r="O35" s="59" t="s">
        <v>85</v>
      </c>
      <c r="S35" t="str">
        <f>IF(O35="drucken",COUNTIF($O$5:O35,"drucken"),"")</f>
        <v/>
      </c>
    </row>
    <row r="36" spans="1:19" ht="26.25" customHeight="1" x14ac:dyDescent="0.2">
      <c r="A36" t="s">
        <v>123</v>
      </c>
      <c r="B36" t="str">
        <f>IFERROR(IF(VLOOKUP($A36,Parts!$A$2:$M$191,2,FALSE())=0,"",VLOOKUP($A36,Parts!$A$2:$M$191,2,FALSE())),"")</f>
        <v>Widerstand</v>
      </c>
      <c r="C36" s="45" t="str">
        <f>IFERROR(IF(VLOOKUP($A36,Parts!$A$2:$M$191,3,FALSE())=0,"",VLOOKUP($A36,Parts!$A$2:$M$191,3,FALSE())),"")</f>
        <v>Widerstand, Metallschicht, 150 Ohm, 0207, 250 mW, 0,1%</v>
      </c>
      <c r="D36" s="45" t="str">
        <f>IFERROR(IF(VLOOKUP($A36,Parts!$A$2:$M$191,4,FALSE())=0,"",VLOOKUP($A36,Parts!$A$2:$M$191,4,FALSE())),"")</f>
        <v>150 Ω, 0,1 %, ≤25 ppm/K, &gt;0,125 W</v>
      </c>
      <c r="E36" s="45" t="str">
        <f>IFERROR(IF(VLOOKUP($A36,Parts!$A$2:$M$191,5,FALSE())=0,"",VLOOKUP($A36,Parts!$A$2:$M$191,5,FALSE())),"")</f>
        <v>Resistor_THT:R_Axial_DIN0207_L6.3mm_D2.5mm_P7.62mm_Horizontal</v>
      </c>
      <c r="F36" t="str">
        <f>IFERROR(IF(VLOOKUP($A36,Parts!$A$2:$M$191,6,FALSE())=0,"",VLOOKUP($A36,Parts!$A$2:$M$191,6,FALSE())),"")</f>
        <v>TE Connectivity Passive Product</v>
      </c>
      <c r="G36" t="str">
        <f>IFERROR(IF(VLOOKUP($A36,Parts!$A$2:$M$191,7,FALSE())=0,"",VLOOKUP($A36,Parts!$A$2:$M$191,7,FALSE())),"")</f>
        <v>YR1B150RCC</v>
      </c>
      <c r="H36" s="56" t="str">
        <f>IFERROR(IF(_xlfn.XLOOKUP($A36&amp;"|Ja",Part_Suppliers!$L$2:$L$300,Part_Suppliers!$B$2:$B$300,"",0)=0,"",_xlfn.XLOOKUP($A36&amp;"|Ja",Part_Suppliers!$L$2:$L$300,Part_Suppliers!$B$2:$B$300,"",0)),"")</f>
        <v>DigiKey</v>
      </c>
      <c r="I36" t="str">
        <f>IFERROR(IF(_xlfn.XLOOKUP($A36&amp;"|Ja",Part_Suppliers!$L$2:$L$300,Part_Suppliers!$C$2:$C$300,"",0)=0,"",_xlfn.XLOOKUP($A36&amp;"|Ja",Part_Suppliers!$L$2:$L$300,Part_Suppliers!$C$2:$C$300,"",0)),"")</f>
        <v>1712-YR1B150RCCCT-ND</v>
      </c>
      <c r="J36" s="57">
        <v>10</v>
      </c>
      <c r="K36" s="57">
        <v>0</v>
      </c>
      <c r="L36" s="45" t="str">
        <f>IFERROR(IF(VLOOKUP($A36,Parts!$A$2:$M$191,8,FALSE())=0,"",VLOOKUP($A36,Parts!$A$2:$M$191,8,FALSE())),"")</f>
        <v>AnalogInput; AnalogHydroPressure</v>
      </c>
      <c r="M36" s="45" t="str">
        <f>IFERROR(IF(VLOOKUP($A36,Parts!$A$2:$M$191,12,FALSE())=0,"",VLOOKUP($A36,Parts!$A$2:$M$191,12,FALSE())),"")</f>
        <v>150 Ω, ±0,1 %, 0,25 W, Metallfilm, axial; Gehäuselänge 6,3 mm und vorhandener PCB-Lochabstand 7,62 mm bestätigt passend.</v>
      </c>
      <c r="N36" s="58"/>
      <c r="O36" s="59" t="s">
        <v>85</v>
      </c>
      <c r="S36" t="str">
        <f>IF(O36="drucken",COUNTIF($O$5:O36,"drucken"),"")</f>
        <v/>
      </c>
    </row>
    <row r="37" spans="1:19" ht="15" customHeight="1" x14ac:dyDescent="0.2">
      <c r="A37" t="s">
        <v>124</v>
      </c>
      <c r="B37" t="str">
        <f>IFERROR(IF(VLOOKUP($A37,Parts!$A$2:$M$191,2,FALSE())=0,"",VLOOKUP($A37,Parts!$A$2:$M$191,2,FALSE())),"")</f>
        <v>Diode</v>
      </c>
      <c r="C37" s="45" t="str">
        <f>IFERROR(IF(VLOOKUP($A37,Parts!$A$2:$M$191,3,FALSE())=0,"",VLOOKUP($A37,Parts!$A$2:$M$191,3,FALSE())),"")</f>
        <v>Schnelle Schaltdiode 1N4148W</v>
      </c>
      <c r="D37" s="45" t="str">
        <f>IFERROR(IF(VLOOKUP($A37,Parts!$A$2:$M$191,4,FALSE())=0,"",VLOOKUP($A37,Parts!$A$2:$M$191,4,FALSE())),"")</f>
        <v>1N4148W</v>
      </c>
      <c r="E37" s="45" t="str">
        <f>IFERROR(IF(VLOOKUP($A37,Parts!$A$2:$M$191,5,FALSE())=0,"",VLOOKUP($A37,Parts!$A$2:$M$191,5,FALSE())),"")</f>
        <v>Diode_SMD:D_SOD-123</v>
      </c>
      <c r="F37" t="str">
        <f>IFERROR(IF(VLOOKUP($A37,Parts!$A$2:$M$191,6,FALSE())=0,"",VLOOKUP($A37,Parts!$A$2:$M$191,6,FALSE())),"")</f>
        <v>Diotec</v>
      </c>
      <c r="G37" t="str">
        <f>IFERROR(IF(VLOOKUP($A37,Parts!$A$2:$M$191,7,FALSE())=0,"",VLOOKUP($A37,Parts!$A$2:$M$191,7,FALSE())),"")</f>
        <v>1N4148W</v>
      </c>
      <c r="H37" s="56" t="str">
        <f>IFERROR(IF(_xlfn.XLOOKUP($A37&amp;"|Ja",Part_Suppliers!$L$2:$L$300,Part_Suppliers!$B$2:$B$300,"",0)=0,"",_xlfn.XLOOKUP($A37&amp;"|Ja",Part_Suppliers!$L$2:$L$300,Part_Suppliers!$B$2:$B$300,"",0)),"")</f>
        <v>Reichelt</v>
      </c>
      <c r="I37" t="str">
        <f>IFERROR(IF(_xlfn.XLOOKUP($A37&amp;"|Ja",Part_Suppliers!$L$2:$L$300,Part_Suppliers!$C$2:$C$300,"",0)=0,"",_xlfn.XLOOKUP($A37&amp;"|Ja",Part_Suppliers!$L$2:$L$300,Part_Suppliers!$C$2:$C$300,"",0)),"")</f>
        <v>1N 4148W DIO</v>
      </c>
      <c r="J37" s="57">
        <v>48</v>
      </c>
      <c r="K37" s="57">
        <v>0</v>
      </c>
      <c r="L37" s="45" t="str">
        <f>IFERROR(IF(VLOOKUP($A37,Parts!$A$2:$M$191,8,FALSE())=0,"",VLOOKUP($A37,Parts!$A$2:$M$191,8,FALSE())),"")</f>
        <v>DuoRelay; Aktuell 29.09.2026: DuoRelay FullSize Bausatz Rev 0.3</v>
      </c>
      <c r="M37" s="45" t="str">
        <f>IFERROR(IF(VLOOKUP($A37,Parts!$A$2:$M$191,12,FALSE())=0,"",VLOOKUP($A37,Parts!$A$2:$M$191,12,FALSE())),"")&amp;" | Verbrauch Auftrag 22.09.2026: 2. Gebucht 27.09.2026."</f>
        <v xml:space="preserve"> | Verbrauch Auftrag 22.09.2026: 2. Gebucht 27.09.2026.</v>
      </c>
      <c r="N37" s="58"/>
      <c r="O37" s="59" t="s">
        <v>85</v>
      </c>
      <c r="S37" t="str">
        <f>IF(O37="drucken",COUNTIF($O$5:O37,"drucken"),"")</f>
        <v/>
      </c>
    </row>
    <row r="38" spans="1:19" ht="26.25" customHeight="1" x14ac:dyDescent="0.2">
      <c r="A38" t="s">
        <v>125</v>
      </c>
      <c r="B38" t="str">
        <f>IFERROR(IF(VLOOKUP($A38,Parts!$A$2:$M$191,2,FALSE())=0,"",VLOOKUP($A38,Parts!$A$2:$M$191,2,FALSE())),"")</f>
        <v>Steckverbinder</v>
      </c>
      <c r="C38" s="45" t="str">
        <f>IFERROR(IF(VLOOKUP($A38,Parts!$A$2:$M$191,3,FALSE())=0,"",VLOOKUP($A38,Parts!$A$2:$M$191,3,FALSE())),"")</f>
        <v>Schraubklemme 1x3, horizontal</v>
      </c>
      <c r="D38" s="45" t="str">
        <f>IFERROR(IF(VLOOKUP($A38,Parts!$A$2:$M$191,4,FALSE())=0,"",VLOOKUP($A38,Parts!$A$2:$M$191,4,FALSE())),"")</f>
        <v>3-polig, 5,08 mm</v>
      </c>
      <c r="E38" s="45" t="str">
        <f>IFERROR(IF(VLOOKUP($A38,Parts!$A$2:$M$191,5,FALSE())=0,"",VLOOKUP($A38,Parts!$A$2:$M$191,5,FALSE())),"")</f>
        <v>TerminalBlock_Phoenix:TerminalBlock_Phoenix_MKDS-3-3-5.08_1x03_P5.08mm_Horizontal</v>
      </c>
      <c r="F38" t="str">
        <f>IFERROR(IF(VLOOKUP($A38,Parts!$A$2:$M$191,6,FALSE())=0,"",VLOOKUP($A38,Parts!$A$2:$M$191,6,FALSE())),"")</f>
        <v>Metz Connect</v>
      </c>
      <c r="G38" t="str">
        <f>IFERROR(IF(VLOOKUP($A38,Parts!$A$2:$M$191,7,FALSE())=0,"",VLOOKUP($A38,Parts!$A$2:$M$191,7,FALSE())),"")</f>
        <v>31101103</v>
      </c>
      <c r="H38" s="56" t="str">
        <f>IFERROR(IF(_xlfn.XLOOKUP($A38&amp;"|Ja",Part_Suppliers!$L$2:$L$300,Part_Suppliers!$B$2:$B$300,"",0)=0,"",_xlfn.XLOOKUP($A38&amp;"|Ja",Part_Suppliers!$L$2:$L$300,Part_Suppliers!$B$2:$B$300,"",0)),"")</f>
        <v>Reichelt</v>
      </c>
      <c r="I38" t="str">
        <f>IFERROR(IF(_xlfn.XLOOKUP($A38&amp;"|Ja",Part_Suppliers!$L$2:$L$300,Part_Suppliers!$C$2:$C$300,"",0)=0,"",_xlfn.XLOOKUP($A38&amp;"|Ja",Part_Suppliers!$L$2:$L$300,Part_Suppliers!$C$2:$C$300,"",0)),"")</f>
        <v>AKL 101-03</v>
      </c>
      <c r="J38" s="57">
        <v>4</v>
      </c>
      <c r="K38" s="57">
        <v>0</v>
      </c>
      <c r="L38" s="45" t="str">
        <f>IFERROR(IF(VLOOKUP($A38,Parts!$A$2:$M$191,8,FALSE())=0,"",VLOOKUP($A38,Parts!$A$2:$M$191,8,FALSE())),"")</f>
        <v>DuoRelay; Aktuell 29.09.2026: DuoRelay FullSize Bausatz Rev 0.3</v>
      </c>
      <c r="M38" s="45" t="str">
        <f>IFERROR(IF(VLOOKUP($A38,Parts!$A$2:$M$191,12,FALSE())=0,"",VLOOKUP($A38,Parts!$A$2:$M$191,12,FALSE())),"")&amp;" | Verbrauch Auftrag 22.09.2026: 2. Gebucht 27.09.2026. Negativer Bestand: Wareneingang/Artikelzuordnung klären."</f>
        <v>Exakte Hersteller-MPN ergänzen. | Verbrauch Auftrag 22.09.2026: 2. Gebucht 27.09.2026. Negativer Bestand: Wareneingang/Artikelzuordnung klären.</v>
      </c>
      <c r="N38" s="58"/>
      <c r="O38" s="59" t="s">
        <v>85</v>
      </c>
      <c r="S38" t="str">
        <f>IF(O38="drucken",COUNTIF($O$5:O38,"drucken"),"")</f>
        <v/>
      </c>
    </row>
    <row r="39" spans="1:19" ht="15" customHeight="1" x14ac:dyDescent="0.2">
      <c r="A39" t="s">
        <v>126</v>
      </c>
      <c r="B39" t="str">
        <f>IFERROR(IF(VLOOKUP($A39,Parts!$A$2:$M$191,2,FALSE())=0,"",VLOOKUP($A39,Parts!$A$2:$M$191,2,FALSE())),"")</f>
        <v>Transistor</v>
      </c>
      <c r="C39" s="45" t="str">
        <f>IFERROR(IF(VLOOKUP($A39,Parts!$A$2:$M$191,3,FALSE())=0,"",VLOOKUP($A39,Parts!$A$2:$M$191,3,FALSE())),"")</f>
        <v>NPN-Transistor BC817</v>
      </c>
      <c r="D39" s="45" t="str">
        <f>IFERROR(IF(VLOOKUP($A39,Parts!$A$2:$M$191,4,FALSE())=0,"",VLOOKUP($A39,Parts!$A$2:$M$191,4,FALSE())),"")</f>
        <v>BC817</v>
      </c>
      <c r="E39" s="45" t="str">
        <f>IFERROR(IF(VLOOKUP($A39,Parts!$A$2:$M$191,5,FALSE())=0,"",VLOOKUP($A39,Parts!$A$2:$M$191,5,FALSE())),"")</f>
        <v>Package_TO_SOT_SMD:SOT-23_Handsoldering</v>
      </c>
      <c r="F39" t="str">
        <f>IFERROR(IF(VLOOKUP($A39,Parts!$A$2:$M$191,6,FALSE())=0,"",VLOOKUP($A39,Parts!$A$2:$M$191,6,FALSE())),"")</f>
        <v>Diotec</v>
      </c>
      <c r="G39" t="str">
        <f>IFERROR(IF(VLOOKUP($A39,Parts!$A$2:$M$191,7,FALSE())=0,"",VLOOKUP($A39,Parts!$A$2:$M$191,7,FALSE())),"")</f>
        <v>BC817</v>
      </c>
      <c r="H39" s="56" t="str">
        <f>IFERROR(IF(_xlfn.XLOOKUP($A39&amp;"|Ja",Part_Suppliers!$L$2:$L$300,Part_Suppliers!$B$2:$B$300,"",0)=0,"",_xlfn.XLOOKUP($A39&amp;"|Ja",Part_Suppliers!$L$2:$L$300,Part_Suppliers!$B$2:$B$300,"",0)),"")</f>
        <v>Reichelt</v>
      </c>
      <c r="I39" t="str">
        <f>IFERROR(IF(_xlfn.XLOOKUP($A39&amp;"|Ja",Part_Suppliers!$L$2:$L$300,Part_Suppliers!$C$2:$C$300,"",0)=0,"",_xlfn.XLOOKUP($A39&amp;"|Ja",Part_Suppliers!$L$2:$L$300,Part_Suppliers!$C$2:$C$300,"",0)),"")</f>
        <v>BC 817-25 DIO</v>
      </c>
      <c r="J39" s="57">
        <v>48</v>
      </c>
      <c r="K39" s="57"/>
      <c r="L39" s="45" t="str">
        <f>IFERROR(IF(VLOOKUP($A39,Parts!$A$2:$M$191,8,FALSE())=0,"",VLOOKUP($A39,Parts!$A$2:$M$191,8,FALSE())),"")</f>
        <v>DuoRelay; Aktuell 29.09.2026: DuoRelay FullSize Bausatz Rev 0.3</v>
      </c>
      <c r="M39" s="45" t="str">
        <f>IFERROR(IF(VLOOKUP($A39,Parts!$A$2:$M$191,12,FALSE())=0,"",VLOOKUP($A39,Parts!$A$2:$M$191,12,FALSE())),"")&amp;" | Verbrauch Auftrag 22.09.2026: 2. Gebucht 27.09.2026."</f>
        <v xml:space="preserve"> | Verbrauch Auftrag 22.09.2026: 2. Gebucht 27.09.2026.</v>
      </c>
      <c r="N39" s="58"/>
      <c r="O39" s="59" t="s">
        <v>85</v>
      </c>
      <c r="S39" t="str">
        <f>IF(O39="drucken",COUNTIF($O$5:O39,"drucken"),"")</f>
        <v/>
      </c>
    </row>
    <row r="40" spans="1:19" ht="26.25" customHeight="1" x14ac:dyDescent="0.2">
      <c r="A40" t="s">
        <v>127</v>
      </c>
      <c r="B40" t="str">
        <f>IFERROR(IF(VLOOKUP($A40,Parts!$A$2:$M$191,2,FALSE())=0,"",VLOOKUP($A40,Parts!$A$2:$M$191,2,FALSE())),"")</f>
        <v>Widerstand</v>
      </c>
      <c r="C40" s="45" t="str">
        <f>IFERROR(IF(VLOOKUP($A40,Parts!$A$2:$M$191,3,FALSE())=0,"",VLOOKUP($A40,Parts!$A$2:$M$191,3,FALSE())),"")</f>
        <v>Widerstand 1 kΩ SMD</v>
      </c>
      <c r="D40" s="45" t="str">
        <f>IFERROR(IF(VLOOKUP($A40,Parts!$A$2:$M$191,4,FALSE())=0,"",VLOOKUP($A40,Parts!$A$2:$M$191,4,FALSE())),"")</f>
        <v>1 kΩ</v>
      </c>
      <c r="E40" s="45" t="str">
        <f>IFERROR(IF(VLOOKUP($A40,Parts!$A$2:$M$191,5,FALSE())=0,"",VLOOKUP($A40,Parts!$A$2:$M$191,5,FALSE())),"")</f>
        <v>Resistor_SMD:R_1206_3216Metric_Pad1.30x1.75mm_HandSolder</v>
      </c>
      <c r="F40" t="str">
        <f>IFERROR(IF(VLOOKUP($A40,Parts!$A$2:$M$191,6,FALSE())=0,"",VLOOKUP($A40,Parts!$A$2:$M$191,6,FALSE())),"")</f>
        <v>Vishay</v>
      </c>
      <c r="G40" t="str">
        <f>IFERROR(IF(VLOOKUP($A40,Parts!$A$2:$M$191,7,FALSE())=0,"",VLOOKUP($A40,Parts!$A$2:$M$191,7,FALSE())),"")</f>
        <v>CRCW12061K00FKEA</v>
      </c>
      <c r="H40" s="56" t="str">
        <f>IFERROR(IF(_xlfn.XLOOKUP($A40&amp;"|Ja",Part_Suppliers!$L$2:$L$300,Part_Suppliers!$B$2:$B$300,"",0)=0,"",_xlfn.XLOOKUP($A40&amp;"|Ja",Part_Suppliers!$L$2:$L$300,Part_Suppliers!$B$2:$B$300,"",0)),"")</f>
        <v>Reichelt</v>
      </c>
      <c r="I40" t="str">
        <f>IFERROR(IF(_xlfn.XLOOKUP($A40&amp;"|Ja",Part_Suppliers!$L$2:$L$300,Part_Suppliers!$C$2:$C$300,"",0)=0,"",_xlfn.XLOOKUP($A40&amp;"|Ja",Part_Suppliers!$L$2:$L$300,Part_Suppliers!$C$2:$C$300,"",0)),"")</f>
        <v>VIS CRCW12061K0</v>
      </c>
      <c r="J40" s="57">
        <v>18</v>
      </c>
      <c r="K40" s="57">
        <v>0</v>
      </c>
      <c r="L40" s="45" t="str">
        <f>IFERROR(IF(VLOOKUP($A40,Parts!$A$2:$M$191,8,FALSE())=0,"",VLOOKUP($A40,Parts!$A$2:$M$191,8,FALSE())),"")</f>
        <v>DuoRelay; Aktuell 29.09.2026: DuoRelay FullSize Bausatz Rev 0.3; SCT013Head Rev 0.1</v>
      </c>
      <c r="M40" s="45" t="str">
        <f>IFERROR(IF(VLOOKUP($A40,Parts!$A$2:$M$191,12,FALSE())=0,"",VLOOKUP($A40,Parts!$A$2:$M$191,12,FALSE())),"")&amp;" | Verbrauch Auftrag 22.09.2026: 2. Gebucht 27.09.2026."</f>
        <v xml:space="preserve"> | Verbrauch Auftrag 22.09.2026: 2. Gebucht 27.09.2026.</v>
      </c>
      <c r="N40" s="58"/>
      <c r="O40" s="59" t="s">
        <v>85</v>
      </c>
      <c r="S40" t="str">
        <f>IF(O40="drucken",COUNTIF($O$5:O40,"drucken"),"")</f>
        <v/>
      </c>
    </row>
    <row r="41" spans="1:19" ht="15" customHeight="1" x14ac:dyDescent="0.2">
      <c r="A41" t="s">
        <v>128</v>
      </c>
      <c r="B41" t="str">
        <f>IFERROR(IF(VLOOKUP($A41,Parts!$A$2:$M$191,2,FALSE())=0,"",VLOOKUP($A41,Parts!$A$2:$M$191,2,FALSE())),"")</f>
        <v>Kondensator</v>
      </c>
      <c r="C41" s="45" t="str">
        <f>IFERROR(IF(VLOOKUP($A41,Parts!$A$2:$M$191,3,FALSE())=0,"",VLOOKUP($A41,Parts!$A$2:$M$191,3,FALSE())),"")</f>
        <v>Elektrolytkondensator 47 µF radial</v>
      </c>
      <c r="D41" s="45" t="str">
        <f>IFERROR(IF(VLOOKUP($A41,Parts!$A$2:$M$191,4,FALSE())=0,"",VLOOKUP($A41,Parts!$A$2:$M$191,4,FALSE())),"")</f>
        <v>47 µF, 50 V</v>
      </c>
      <c r="E41" s="45" t="str">
        <f>IFERROR(IF(VLOOKUP($A41,Parts!$A$2:$M$191,5,FALSE())=0,"",VLOOKUP($A41,Parts!$A$2:$M$191,5,FALSE())),"")</f>
        <v>Capacitor_SMD:CP_Elec_6.3x7.7</v>
      </c>
      <c r="F41" t="str">
        <f>IFERROR(IF(VLOOKUP($A41,Parts!$A$2:$M$191,6,FALSE())=0,"",VLOOKUP($A41,Parts!$A$2:$M$191,6,FALSE())),"")</f>
        <v>Europe ChemiCon</v>
      </c>
      <c r="G41" t="str">
        <f>IFERROR(IF(VLOOKUP($A41,Parts!$A$2:$M$191,7,FALSE())=0,"",VLOOKUP($A41,Parts!$A$2:$M$191,7,FALSE())),"")</f>
        <v>HHXC500ARA470MHA0G</v>
      </c>
      <c r="H41" s="56" t="str">
        <f>IFERROR(IF(_xlfn.XLOOKUP($A41&amp;"|Ja",Part_Suppliers!$L$2:$L$300,Part_Suppliers!$B$2:$B$300,"",0)=0,"",_xlfn.XLOOKUP($A41&amp;"|Ja",Part_Suppliers!$L$2:$L$300,Part_Suppliers!$B$2:$B$300,"",0)),"")</f>
        <v>Reichelt</v>
      </c>
      <c r="I41" t="str">
        <f>IFERROR(IF(_xlfn.XLOOKUP($A41&amp;"|Ja",Part_Suppliers!$L$2:$L$300,Part_Suppliers!$C$2:$C$300,"",0)=0,"",_xlfn.XLOOKUP($A41&amp;"|Ja",Part_Suppliers!$L$2:$L$300,Part_Suppliers!$C$2:$C$300,"",0)),"")</f>
        <v>ECC HXC500ARA470</v>
      </c>
      <c r="J41" s="57">
        <v>0</v>
      </c>
      <c r="K41" s="57">
        <v>0</v>
      </c>
      <c r="L41" s="45" t="str">
        <f>IFERROR(IF(VLOOKUP($A41,Parts!$A$2:$M$191,8,FALSE())=0,"",VLOOKUP($A41,Parts!$A$2:$M$191,8,FALSE())),"")</f>
        <v>EnvNodeMini Rev 0.1</v>
      </c>
      <c r="M41" s="45" t="str">
        <f>IFERROR(IF(VLOOKUP($A41,Parts!$A$2:$M$191,12,FALSE())=0,"",VLOOKUP($A41,Parts!$A$2:$M$191,12,FALSE())),"")</f>
        <v/>
      </c>
      <c r="N41" s="58"/>
      <c r="O41" s="59" t="s">
        <v>85</v>
      </c>
      <c r="S41" t="str">
        <f>IF(O41="drucken",COUNTIF($O$5:O41,"drucken"),"")</f>
        <v/>
      </c>
    </row>
    <row r="42" spans="1:19" ht="15" customHeight="1" x14ac:dyDescent="0.2">
      <c r="A42" t="s">
        <v>129</v>
      </c>
      <c r="B42" t="str">
        <f>IFERROR(IF(VLOOKUP($A42,Parts!$A$2:$M$191,2,FALSE())=0,"",VLOOKUP($A42,Parts!$A$2:$M$191,2,FALSE())),"")</f>
        <v>Diode</v>
      </c>
      <c r="C42" s="45" t="str">
        <f>IFERROR(IF(VLOOKUP($A42,Parts!$A$2:$M$191,3,FALSE())=0,"",VLOOKUP($A42,Parts!$A$2:$M$191,3,FALSE())),"")</f>
        <v>Schottky-Diode STPS3L60S</v>
      </c>
      <c r="D42" s="45" t="str">
        <f>IFERROR(IF(VLOOKUP($A42,Parts!$A$2:$M$191,4,FALSE())=0,"",VLOOKUP($A42,Parts!$A$2:$M$191,4,FALSE())),"")</f>
        <v>B360B-13-F</v>
      </c>
      <c r="E42" s="45" t="str">
        <f>IFERROR(IF(VLOOKUP($A42,Parts!$A$2:$M$191,5,FALSE())=0,"",VLOOKUP($A42,Parts!$A$2:$M$191,5,FALSE())),"")</f>
        <v>Diode_SMD:D_SMB_Handsoldering</v>
      </c>
      <c r="F42" t="str">
        <f>IFERROR(IF(VLOOKUP($A42,Parts!$A$2:$M$191,6,FALSE())=0,"",VLOOKUP($A42,Parts!$A$2:$M$191,6,FALSE())),"")</f>
        <v>Diodes</v>
      </c>
      <c r="G42" t="str">
        <f>IFERROR(IF(VLOOKUP($A42,Parts!$A$2:$M$191,7,FALSE())=0,"",VLOOKUP($A42,Parts!$A$2:$M$191,7,FALSE())),"")</f>
        <v>STPS3L60S</v>
      </c>
      <c r="H42" s="56" t="str">
        <f>IFERROR(IF(_xlfn.XLOOKUP($A42&amp;"|Ja",Part_Suppliers!$L$2:$L$300,Part_Suppliers!$B$2:$B$300,"",0)=0,"",_xlfn.XLOOKUP($A42&amp;"|Ja",Part_Suppliers!$L$2:$L$300,Part_Suppliers!$B$2:$B$300,"",0)),"")</f>
        <v>Reichelt</v>
      </c>
      <c r="I42" t="str">
        <f>IFERROR(IF(_xlfn.XLOOKUP($A42&amp;"|Ja",Part_Suppliers!$L$2:$L$300,Part_Suppliers!$C$2:$C$300,"",0)=0,"",_xlfn.XLOOKUP($A42&amp;"|Ja",Part_Suppliers!$L$2:$L$300,Part_Suppliers!$C$2:$C$300,"",0)),"")</f>
        <v>B360B-13-F DII</v>
      </c>
      <c r="J42" s="57">
        <v>0</v>
      </c>
      <c r="K42" s="57">
        <v>0</v>
      </c>
      <c r="L42" s="45" t="str">
        <f>IFERROR(IF(VLOOKUP($A42,Parts!$A$2:$M$191,8,FALSE())=0,"",VLOOKUP($A42,Parts!$A$2:$M$191,8,FALSE())),"")</f>
        <v>EnvNodeMini Rev 0.1</v>
      </c>
      <c r="M42" s="45" t="str">
        <f>IFERROR(IF(VLOOKUP($A42,Parts!$A$2:$M$191,12,FALSE())=0,"",VLOOKUP($A42,Parts!$A$2:$M$191,12,FALSE())),"")</f>
        <v/>
      </c>
      <c r="N42" s="58"/>
      <c r="O42" s="59" t="s">
        <v>85</v>
      </c>
      <c r="S42" t="str">
        <f>IF(O42="drucken",COUNTIF($O$5:O42,"drucken"),"")</f>
        <v/>
      </c>
    </row>
    <row r="43" spans="1:19" ht="15" customHeight="1" x14ac:dyDescent="0.2">
      <c r="A43" t="s">
        <v>130</v>
      </c>
      <c r="B43" t="str">
        <f>IFERROR(IF(VLOOKUP($A43,Parts!$A$2:$M$191,2,FALSE())=0,"",VLOOKUP($A43,Parts!$A$2:$M$191,2,FALSE())),"")</f>
        <v>Schutzdiode</v>
      </c>
      <c r="C43" s="45" t="str">
        <f>IFERROR(IF(VLOOKUP($A43,Parts!$A$2:$M$191,3,FALSE())=0,"",VLOOKUP($A43,Parts!$A$2:$M$191,3,FALSE())),"")</f>
        <v>TVS-Diode SMBJ24A</v>
      </c>
      <c r="D43" s="45" t="str">
        <f>IFERROR(IF(VLOOKUP($A43,Parts!$A$2:$M$191,4,FALSE())=0,"",VLOOKUP($A43,Parts!$A$2:$M$191,4,FALSE())),"")</f>
        <v>24 V</v>
      </c>
      <c r="E43" s="45" t="str">
        <f>IFERROR(IF(VLOOKUP($A43,Parts!$A$2:$M$191,5,FALSE())=0,"",VLOOKUP($A43,Parts!$A$2:$M$191,5,FALSE())),"")</f>
        <v>Diode_SMD:D_SMB_Handsoldering</v>
      </c>
      <c r="F43" t="str">
        <f>IFERROR(IF(VLOOKUP($A43,Parts!$A$2:$M$191,6,FALSE())=0,"",VLOOKUP($A43,Parts!$A$2:$M$191,6,FALSE())),"")</f>
        <v>Littelfuse</v>
      </c>
      <c r="G43" t="str">
        <f>IFERROR(IF(VLOOKUP($A43,Parts!$A$2:$M$191,7,FALSE())=0,"",VLOOKUP($A43,Parts!$A$2:$M$191,7,FALSE())),"")</f>
        <v>SMBJ24A</v>
      </c>
      <c r="H43" s="56" t="str">
        <f>IFERROR(IF(_xlfn.XLOOKUP($A43&amp;"|Ja",Part_Suppliers!$L$2:$L$300,Part_Suppliers!$B$2:$B$300,"",0)=0,"",_xlfn.XLOOKUP($A43&amp;"|Ja",Part_Suppliers!$L$2:$L$300,Part_Suppliers!$B$2:$B$300,"",0)),"")</f>
        <v>Reichelt</v>
      </c>
      <c r="I43" t="str">
        <f>IFERROR(IF(_xlfn.XLOOKUP($A43&amp;"|Ja",Part_Suppliers!$L$2:$L$300,Part_Suppliers!$C$2:$C$300,"",0)=0,"",_xlfn.XLOOKUP($A43&amp;"|Ja",Part_Suppliers!$L$2:$L$300,Part_Suppliers!$C$2:$C$300,"",0)),"")</f>
        <v>P6SMB 24A SMD</v>
      </c>
      <c r="J43" s="57">
        <v>0</v>
      </c>
      <c r="K43" s="57">
        <v>0</v>
      </c>
      <c r="L43" s="45" t="str">
        <f>IFERROR(IF(VLOOKUP($A43,Parts!$A$2:$M$191,8,FALSE())=0,"",VLOOKUP($A43,Parts!$A$2:$M$191,8,FALSE())),"")</f>
        <v>EnvNodeMini Rev 0.1</v>
      </c>
      <c r="M43" s="45" t="str">
        <f>IFERROR(IF(VLOOKUP($A43,Parts!$A$2:$M$191,12,FALSE())=0,"",VLOOKUP($A43,Parts!$A$2:$M$191,12,FALSE())),"")</f>
        <v/>
      </c>
      <c r="N43" s="58"/>
      <c r="O43" s="59" t="s">
        <v>85</v>
      </c>
      <c r="S43" t="str">
        <f>IF(O43="drucken",COUNTIF($O$5:O43,"drucken"),"")</f>
        <v/>
      </c>
    </row>
    <row r="44" spans="1:19" ht="15" customHeight="1" x14ac:dyDescent="0.2">
      <c r="A44" t="s">
        <v>131</v>
      </c>
      <c r="B44" t="str">
        <f>IFERROR(IF(VLOOKUP($A44,Parts!$A$2:$M$191,2,FALSE())=0,"",VLOOKUP($A44,Parts!$A$2:$M$191,2,FALSE())),"")</f>
        <v>Sicherung</v>
      </c>
      <c r="C44" s="45" t="str">
        <f>IFERROR(IF(VLOOKUP($A44,Parts!$A$2:$M$191,3,FALSE())=0,"",VLOOKUP($A44,Parts!$A$2:$M$191,3,FALSE())),"")</f>
        <v>Sicherung 2 A</v>
      </c>
      <c r="D44" s="45" t="str">
        <f>IFERROR(IF(VLOOKUP($A44,Parts!$A$2:$M$191,4,FALSE())=0,"",VLOOKUP($A44,Parts!$A$2:$M$191,4,FALSE())),"")</f>
        <v>2 A</v>
      </c>
      <c r="E44" s="45" t="str">
        <f>IFERROR(IF(VLOOKUP($A44,Parts!$A$2:$M$191,5,FALSE())=0,"",VLOOKUP($A44,Parts!$A$2:$M$191,5,FALSE())),"")</f>
        <v>Fuse:Fuse_Littelfuse-NANO2-451_453</v>
      </c>
      <c r="F44" t="str">
        <f>IFERROR(IF(VLOOKUP($A44,Parts!$A$2:$M$191,6,FALSE())=0,"",VLOOKUP($A44,Parts!$A$2:$M$191,6,FALSE())),"")</f>
        <v>Littelfuse</v>
      </c>
      <c r="G44" t="str">
        <f>IFERROR(IF(VLOOKUP($A44,Parts!$A$2:$M$191,7,FALSE())=0,"",VLOOKUP($A44,Parts!$A$2:$M$191,7,FALSE())),"")</f>
        <v/>
      </c>
      <c r="H44" s="56" t="str">
        <f>IFERROR(IF(_xlfn.XLOOKUP($A44&amp;"|Ja",Part_Suppliers!$L$2:$L$300,Part_Suppliers!$B$2:$B$300,"",0)=0,"",_xlfn.XLOOKUP($A44&amp;"|Ja",Part_Suppliers!$L$2:$L$300,Part_Suppliers!$B$2:$B$300,"",0)),"")</f>
        <v>Noch festlegen</v>
      </c>
      <c r="I44" t="str">
        <f>IFERROR(IF(_xlfn.XLOOKUP($A44&amp;"|Ja",Part_Suppliers!$L$2:$L$300,Part_Suppliers!$C$2:$C$300,"",0)=0,"",_xlfn.XLOOKUP($A44&amp;"|Ja",Part_Suppliers!$L$2:$L$300,Part_Suppliers!$C$2:$C$300,"",0)),"")</f>
        <v/>
      </c>
      <c r="J44" s="57">
        <v>0</v>
      </c>
      <c r="K44" s="57">
        <v>0</v>
      </c>
      <c r="L44" s="45" t="str">
        <f>IFERROR(IF(VLOOKUP($A44,Parts!$A$2:$M$191,8,FALSE())=0,"",VLOOKUP($A44,Parts!$A$2:$M$191,8,FALSE())),"")</f>
        <v>EnvNodeMini Rev 0.1</v>
      </c>
      <c r="M44" s="45" t="str">
        <f>IFERROR(IF(VLOOKUP($A44,Parts!$A$2:$M$191,12,FALSE())=0,"",VLOOKUP($A44,Parts!$A$2:$M$191,12,FALSE())),"")</f>
        <v>Exakte Serie/MPN und Auslösecharakteristik ergänzen. Legacy: eindeutige Ausführung fehlt; keine spekulative Hersteller- oder Lieferantenzuordnung.</v>
      </c>
      <c r="N44" s="58"/>
      <c r="O44" s="59" t="s">
        <v>85</v>
      </c>
      <c r="S44" t="str">
        <f>IF(O44="drucken",COUNTIF($O$5:O44,"drucken"),"")</f>
        <v/>
      </c>
    </row>
    <row r="45" spans="1:19" ht="26.25" customHeight="1" x14ac:dyDescent="0.2">
      <c r="A45" t="s">
        <v>132</v>
      </c>
      <c r="B45" t="str">
        <f>IFERROR(IF(VLOOKUP($A45,Parts!$A$2:$M$191,2,FALSE())=0,"",VLOOKUP($A45,Parts!$A$2:$M$191,2,FALSE())),"")</f>
        <v>Steckverbinder</v>
      </c>
      <c r="C45" s="45" t="str">
        <f>IFERROR(IF(VLOOKUP($A45,Parts!$A$2:$M$191,3,FALSE())=0,"",VLOOKUP($A45,Parts!$A$2:$M$191,3,FALSE())),"")</f>
        <v>Schraubklemme 1x2, horizontal</v>
      </c>
      <c r="D45" s="45" t="str">
        <f>IFERROR(IF(VLOOKUP($A45,Parts!$A$2:$M$191,4,FALSE())=0,"",VLOOKUP($A45,Parts!$A$2:$M$191,4,FALSE())),"")</f>
        <v>2-polig, 5,00 mm</v>
      </c>
      <c r="E45" s="45" t="str">
        <f>IFERROR(IF(VLOOKUP($A45,Parts!$A$2:$M$191,5,FALSE())=0,"",VLOOKUP($A45,Parts!$A$2:$M$191,5,FALSE())),"")</f>
        <v>TerminalBlock_RND:TerminalBlock_RND_205-00001_1x02_P5.00mm_Horizontal</v>
      </c>
      <c r="F45" t="str">
        <f>IFERROR(IF(VLOOKUP($A45,Parts!$A$2:$M$191,6,FALSE())=0,"",VLOOKUP($A45,Parts!$A$2:$M$191,6,FALSE())),"")</f>
        <v>RND</v>
      </c>
      <c r="G45" t="str">
        <f>IFERROR(IF(VLOOKUP($A45,Parts!$A$2:$M$191,7,FALSE())=0,"",VLOOKUP($A45,Parts!$A$2:$M$191,7,FALSE())),"")</f>
        <v>205-00001</v>
      </c>
      <c r="H45" s="56" t="str">
        <f>IFERROR(IF(_xlfn.XLOOKUP($A45&amp;"|Ja",Part_Suppliers!$L$2:$L$300,Part_Suppliers!$B$2:$B$300,"",0)=0,"",_xlfn.XLOOKUP($A45&amp;"|Ja",Part_Suppliers!$L$2:$L$300,Part_Suppliers!$B$2:$B$300,"",0)),"")</f>
        <v>Distrelec</v>
      </c>
      <c r="I45" t="str">
        <f>IFERROR(IF(_xlfn.XLOOKUP($A45&amp;"|Ja",Part_Suppliers!$L$2:$L$300,Part_Suppliers!$C$2:$C$300,"",0)=0,"",_xlfn.XLOOKUP($A45&amp;"|Ja",Part_Suppliers!$L$2:$L$300,Part_Suppliers!$C$2:$C$300,"",0)),"")</f>
        <v>300-42-827</v>
      </c>
      <c r="J45" s="57">
        <v>0</v>
      </c>
      <c r="K45" s="57">
        <v>0</v>
      </c>
      <c r="L45" s="45" t="str">
        <f>IFERROR(IF(VLOOKUP($A45,Parts!$A$2:$M$191,8,FALSE())=0,"",VLOOKUP($A45,Parts!$A$2:$M$191,8,FALSE())),"")</f>
        <v>EnvNodeMini Rev 0.1</v>
      </c>
      <c r="M45" s="45" t="str">
        <f>IFERROR(IF(VLOOKUP($A45,Parts!$A$2:$M$191,12,FALSE())=0,"",VLOOKUP($A45,Parts!$A$2:$M$191,12,FALSE())),"")</f>
        <v/>
      </c>
      <c r="N45" s="58"/>
      <c r="O45" s="59" t="s">
        <v>85</v>
      </c>
      <c r="S45" t="str">
        <f>IF(O45="drucken",COUNTIF($O$5:O45,"drucken"),"")</f>
        <v/>
      </c>
    </row>
    <row r="46" spans="1:19" ht="15" customHeight="1" x14ac:dyDescent="0.2">
      <c r="A46" t="s">
        <v>133</v>
      </c>
      <c r="B46" t="str">
        <f>IFERROR(IF(VLOOKUP($A46,Parts!$A$2:$M$191,2,FALSE())=0,"",VLOOKUP($A46,Parts!$A$2:$M$191,2,FALSE())),"")</f>
        <v>DC/DC-Wandler</v>
      </c>
      <c r="C46" s="45" t="str">
        <f>IFERROR(IF(VLOOKUP($A46,Parts!$A$2:$M$191,3,FALSE())=0,"",VLOOKUP($A46,Parts!$A$2:$M$191,3,FALSE())),"")</f>
        <v>Schaltreglermodul 5 V</v>
      </c>
      <c r="D46" s="45" t="str">
        <f>IFERROR(IF(VLOOKUP($A46,Parts!$A$2:$M$191,4,FALSE())=0,"",VLOOKUP($A46,Parts!$A$2:$M$191,4,FALSE())),"")</f>
        <v>TSR 1-2450</v>
      </c>
      <c r="E46" s="45" t="str">
        <f>IFERROR(IF(VLOOKUP($A46,Parts!$A$2:$M$191,5,FALSE())=0,"",VLOOKUP($A46,Parts!$A$2:$M$191,5,FALSE())),"")</f>
        <v>Converter_DCDC:Converter_DCDC_TRACO_TSR-1_THT</v>
      </c>
      <c r="F46" t="str">
        <f>IFERROR(IF(VLOOKUP($A46,Parts!$A$2:$M$191,6,FALSE())=0,"",VLOOKUP($A46,Parts!$A$2:$M$191,6,FALSE())),"")</f>
        <v>Traco Power</v>
      </c>
      <c r="G46" t="str">
        <f>IFERROR(IF(VLOOKUP($A46,Parts!$A$2:$M$191,7,FALSE())=0,"",VLOOKUP($A46,Parts!$A$2:$M$191,7,FALSE())),"")</f>
        <v>TSR 1-2450</v>
      </c>
      <c r="H46" s="56" t="str">
        <f>IFERROR(IF(_xlfn.XLOOKUP($A46&amp;"|Ja",Part_Suppliers!$L$2:$L$300,Part_Suppliers!$B$2:$B$300,"",0)=0,"",_xlfn.XLOOKUP($A46&amp;"|Ja",Part_Suppliers!$L$2:$L$300,Part_Suppliers!$B$2:$B$300,"",0)),"")</f>
        <v>Reichelt</v>
      </c>
      <c r="I46" t="str">
        <f>IFERROR(IF(_xlfn.XLOOKUP($A46&amp;"|Ja",Part_Suppliers!$L$2:$L$300,Part_Suppliers!$C$2:$C$300,"",0)=0,"",_xlfn.XLOOKUP($A46&amp;"|Ja",Part_Suppliers!$L$2:$L$300,Part_Suppliers!$C$2:$C$300,"",0)),"")</f>
        <v>TSR 1-2450</v>
      </c>
      <c r="J46" s="57">
        <v>0</v>
      </c>
      <c r="K46" s="57">
        <v>0</v>
      </c>
      <c r="L46" s="45" t="str">
        <f>IFERROR(IF(VLOOKUP($A46,Parts!$A$2:$M$191,8,FALSE())=0,"",VLOOKUP($A46,Parts!$A$2:$M$191,8,FALSE())),"")</f>
        <v>EnvNodeMini Rev 0.1</v>
      </c>
      <c r="M46" s="45" t="str">
        <f>IFERROR(IF(VLOOKUP($A46,Parts!$A$2:$M$191,12,FALSE())=0,"",VLOOKUP($A46,Parts!$A$2:$M$191,12,FALSE())),"")</f>
        <v/>
      </c>
      <c r="N46" s="58"/>
      <c r="O46" s="59" t="s">
        <v>85</v>
      </c>
      <c r="S46" t="str">
        <f>IF(O46="drucken",COUNTIF($O$5:O46,"drucken"),"")</f>
        <v/>
      </c>
    </row>
    <row r="47" spans="1:19" ht="26.25" customHeight="1" x14ac:dyDescent="0.2">
      <c r="A47" t="s">
        <v>134</v>
      </c>
      <c r="B47" t="str">
        <f>IFERROR(IF(VLOOKUP($A47,Parts!$A$2:$M$191,2,FALSE())=0,"",VLOOKUP($A47,Parts!$A$2:$M$191,2,FALSE())),"")</f>
        <v>DC/DC-Wandler</v>
      </c>
      <c r="C47" s="45" t="str">
        <f>IFERROR(IF(VLOOKUP($A47,Parts!$A$2:$M$191,3,FALSE())=0,"",VLOOKUP($A47,Parts!$A$2:$M$191,3,FALSE())),"")</f>
        <v>Schaltreglermodul 3,3 V</v>
      </c>
      <c r="D47" s="45" t="str">
        <f>IFERROR(IF(VLOOKUP($A47,Parts!$A$2:$M$191,4,FALSE())=0,"",VLOOKUP($A47,Parts!$A$2:$M$191,4,FALSE())),"")</f>
        <v>TSR 1-2433</v>
      </c>
      <c r="E47" s="45" t="str">
        <f>IFERROR(IF(VLOOKUP($A47,Parts!$A$2:$M$191,5,FALSE())=0,"",VLOOKUP($A47,Parts!$A$2:$M$191,5,FALSE())),"")</f>
        <v>Converter_DCDC:Converter_DCDC_TRACO_TSR-1_THT</v>
      </c>
      <c r="F47" t="str">
        <f>IFERROR(IF(VLOOKUP($A47,Parts!$A$2:$M$191,6,FALSE())=0,"",VLOOKUP($A47,Parts!$A$2:$M$191,6,FALSE())),"")</f>
        <v>Traco Power</v>
      </c>
      <c r="G47" t="str">
        <f>IFERROR(IF(VLOOKUP($A47,Parts!$A$2:$M$191,7,FALSE())=0,"",VLOOKUP($A47,Parts!$A$2:$M$191,7,FALSE())),"")</f>
        <v>TSR 1-2433</v>
      </c>
      <c r="H47" s="56" t="str">
        <f>IFERROR(IF(_xlfn.XLOOKUP($A47&amp;"|Ja",Part_Suppliers!$L$2:$L$300,Part_Suppliers!$B$2:$B$300,"",0)=0,"",_xlfn.XLOOKUP($A47&amp;"|Ja",Part_Suppliers!$L$2:$L$300,Part_Suppliers!$B$2:$B$300,"",0)),"")</f>
        <v>Reichelt</v>
      </c>
      <c r="I47" t="str">
        <f>IFERROR(IF(_xlfn.XLOOKUP($A47&amp;"|Ja",Part_Suppliers!$L$2:$L$300,Part_Suppliers!$C$2:$C$300,"",0)=0,"",_xlfn.XLOOKUP($A47&amp;"|Ja",Part_Suppliers!$L$2:$L$300,Part_Suppliers!$C$2:$C$300,"",0)),"")</f>
        <v>TSR 1-2433</v>
      </c>
      <c r="J47" s="57">
        <v>0</v>
      </c>
      <c r="K47" s="57">
        <v>0</v>
      </c>
      <c r="L47" s="45" t="str">
        <f>IFERROR(IF(VLOOKUP($A47,Parts!$A$2:$M$191,8,FALSE())=0,"",VLOOKUP($A47,Parts!$A$2:$M$191,8,FALSE())),"")</f>
        <v>EnvNodeMini Rev 0.1</v>
      </c>
      <c r="M47" s="45" t="str">
        <f>IFERROR(IF(VLOOKUP($A47,Parts!$A$2:$M$191,12,FALSE())=0,"",VLOOKUP($A47,Parts!$A$2:$M$191,12,FALSE())),"")</f>
        <v>KiCad-Library-ID basiert auf TSR_1-2450; Wert und tatsächliches Teil prüfen.</v>
      </c>
      <c r="N47" s="58"/>
      <c r="O47" s="59" t="s">
        <v>85</v>
      </c>
      <c r="S47" t="str">
        <f>IF(O47="drucken",COUNTIF($O$5:O47,"drucken"),"")</f>
        <v/>
      </c>
    </row>
    <row r="48" spans="1:19" ht="26.25" customHeight="1" x14ac:dyDescent="0.2">
      <c r="A48" t="s">
        <v>135</v>
      </c>
      <c r="B48" t="str">
        <f>IFERROR(IF(VLOOKUP($A48,Parts!$A$2:$M$191,2,FALSE())=0,"",VLOOKUP($A48,Parts!$A$2:$M$191,2,FALSE())),"")</f>
        <v>Kondensator</v>
      </c>
      <c r="C48" s="45" t="str">
        <f>IFERROR(IF(VLOOKUP($A48,Parts!$A$2:$M$191,3,FALSE())=0,"",VLOOKUP($A48,Parts!$A$2:$M$191,3,FALSE())),"")</f>
        <v>Keramikkondensator 10 nF SMD</v>
      </c>
      <c r="D48" s="45" t="str">
        <f>IFERROR(IF(VLOOKUP($A48,Parts!$A$2:$M$191,4,FALSE())=0,"",VLOOKUP($A48,Parts!$A$2:$M$191,4,FALSE())),"")</f>
        <v>10 nF</v>
      </c>
      <c r="E48" s="45" t="str">
        <f>IFERROR(IF(VLOOKUP($A48,Parts!$A$2:$M$191,5,FALSE())=0,"",VLOOKUP($A48,Parts!$A$2:$M$191,5,FALSE())),"")</f>
        <v>Capacitor_SMD:C_1206_3216Metric_Pad1.33x1.80mm_HandSolder</v>
      </c>
      <c r="F48" t="str">
        <f>IFERROR(IF(VLOOKUP($A48,Parts!$A$2:$M$191,6,FALSE())=0,"",VLOOKUP($A48,Parts!$A$2:$M$191,6,FALSE())),"")</f>
        <v>Kyocera</v>
      </c>
      <c r="G48" t="str">
        <f>IFERROR(IF(VLOOKUP($A48,Parts!$A$2:$M$191,7,FALSE())=0,"",VLOOKUP($A48,Parts!$A$2:$M$191,7,FALSE())),"")</f>
        <v>12061C103JAT2A</v>
      </c>
      <c r="H48" s="56" t="str">
        <f>IFERROR(IF(_xlfn.XLOOKUP($A48&amp;"|Ja",Part_Suppliers!$L$2:$L$300,Part_Suppliers!$B$2:$B$300,"",0)=0,"",_xlfn.XLOOKUP($A48&amp;"|Ja",Part_Suppliers!$L$2:$L$300,Part_Suppliers!$B$2:$B$300,"",0)),"")</f>
        <v>Reichelt</v>
      </c>
      <c r="I48" t="str">
        <f>IFERROR(IF(_xlfn.XLOOKUP($A48&amp;"|Ja",Part_Suppliers!$L$2:$L$300,Part_Suppliers!$C$2:$C$300,"",0)=0,"",_xlfn.XLOOKUP($A48&amp;"|Ja",Part_Suppliers!$L$2:$L$300,Part_Suppliers!$C$2:$C$300,"",0)),"")</f>
        <v>12061C103JAT2A</v>
      </c>
      <c r="J48" s="57">
        <v>0</v>
      </c>
      <c r="K48" s="57">
        <v>10</v>
      </c>
      <c r="L48" s="45" t="str">
        <f>IFERROR(IF(VLOOKUP($A48,Parts!$A$2:$M$191,8,FALSE())=0,"",VLOOKUP($A48,Parts!$A$2:$M$191,8,FALSE())),"")</f>
        <v>SolarRadiation; Aktuell 29.09.2026: SolarRadiation Rev 0.1; SCT013Head Rev 0.1</v>
      </c>
      <c r="M48" s="45" t="str">
        <f>IFERROR(IF(VLOOKUP($A48,Parts!$A$2:$M$191,12,FALSE())=0,"",VLOOKUP($A48,Parts!$A$2:$M$191,12,FALSE())),"")</f>
        <v/>
      </c>
      <c r="N48" s="58"/>
      <c r="O48" s="59" t="s">
        <v>85</v>
      </c>
      <c r="S48" t="str">
        <f>IF(O48="drucken",COUNTIF($O$5:O48,"drucken"),"")</f>
        <v/>
      </c>
    </row>
    <row r="49" spans="1:19" ht="26.25" customHeight="1" x14ac:dyDescent="0.2">
      <c r="A49" t="s">
        <v>136</v>
      </c>
      <c r="B49" t="str">
        <f>IFERROR(IF(VLOOKUP($A49,Parts!$A$2:$M$191,2,FALSE())=0,"",VLOOKUP($A49,Parts!$A$2:$M$191,2,FALSE())),"")</f>
        <v>Widerstand</v>
      </c>
      <c r="C49" s="45" t="str">
        <f>IFERROR(IF(VLOOKUP($A49,Parts!$A$2:$M$191,3,FALSE())=0,"",VLOOKUP($A49,Parts!$A$2:$M$191,3,FALSE())),"")</f>
        <v>Widerstand, Metallschicht, 2 Ohm, 0207, 600 mW, 1 %</v>
      </c>
      <c r="D49" s="45" t="str">
        <f>IFERROR(IF(VLOOKUP($A49,Parts!$A$2:$M$191,4,FALSE())=0,"",VLOOKUP($A49,Parts!$A$2:$M$191,4,FALSE())),"")</f>
        <v>2 Ω, 1 %, 600 mW</v>
      </c>
      <c r="E49" s="45" t="str">
        <f>IFERROR(IF(VLOOKUP($A49,Parts!$A$2:$M$191,5,FALSE())=0,"",VLOOKUP($A49,Parts!$A$2:$M$191,5,FALSE())),"")</f>
        <v>Resistor_THT:R_Axial_DIN0207_L6.3mm_D2.5mm_P7.62mm_Horizontal</v>
      </c>
      <c r="F49" t="str">
        <f>IFERROR(IF(VLOOKUP($A49,Parts!$A$2:$M$191,6,FALSE())=0,"",VLOOKUP($A49,Parts!$A$2:$M$191,6,FALSE())),"")</f>
        <v>Yageo</v>
      </c>
      <c r="G49" t="str">
        <f>IFERROR(IF(VLOOKUP($A49,Parts!$A$2:$M$191,7,FALSE())=0,"",VLOOKUP($A49,Parts!$A$2:$M$191,7,FALSE())),"")</f>
        <v>MF0207FTE52-2R</v>
      </c>
      <c r="H49" s="56" t="str">
        <f>IFERROR(IF(_xlfn.XLOOKUP($A49&amp;"|Ja",Part_Suppliers!$L$2:$L$300,Part_Suppliers!$B$2:$B$300,"",0)=0,"",_xlfn.XLOOKUP($A49&amp;"|Ja",Part_Suppliers!$L$2:$L$300,Part_Suppliers!$B$2:$B$300,"",0)),"")</f>
        <v>Reichelt</v>
      </c>
      <c r="I49" t="str">
        <f>IFERROR(IF(_xlfn.XLOOKUP($A49&amp;"|Ja",Part_Suppliers!$L$2:$L$300,Part_Suppliers!$C$2:$C$300,"",0)=0,"",_xlfn.XLOOKUP($A49&amp;"|Ja",Part_Suppliers!$L$2:$L$300,Part_Suppliers!$C$2:$C$300,"",0)),"")</f>
        <v>METALL 2,00</v>
      </c>
      <c r="J49" s="57">
        <v>0</v>
      </c>
      <c r="K49" s="57">
        <v>10</v>
      </c>
      <c r="L49" s="45" t="str">
        <f>IFERROR(IF(VLOOKUP($A49,Parts!$A$2:$M$191,8,FALSE())=0,"",VLOOKUP($A49,Parts!$A$2:$M$191,8,FALSE())),"")</f>
        <v>SolarRadiation; Aktuell 29.09.2026: SolarRadiation Rev 0.1</v>
      </c>
      <c r="M49" s="45" t="str">
        <f>IFERROR(IF(VLOOKUP($A49,Parts!$A$2:$M$191,12,FALSE())=0,"",VLOOKUP($A49,Parts!$A$2:$M$191,12,FALSE())),"")</f>
        <v>Toleranz auf 1 % korrigiert: vorhandene MPN MF0207FTE52-2R und Reichelt METALL 2,00. Frühere Angabe 0,1 % war widersprüchlich.</v>
      </c>
      <c r="N49" s="58"/>
      <c r="O49" s="59" t="s">
        <v>85</v>
      </c>
      <c r="S49" t="str">
        <f>IF(O49="drucken",COUNTIF($O$5:O49,"drucken"),"")</f>
        <v/>
      </c>
    </row>
    <row r="50" spans="1:19" ht="15" customHeight="1" x14ac:dyDescent="0.2">
      <c r="A50" t="s">
        <v>137</v>
      </c>
      <c r="B50" t="str">
        <f>IFERROR(IF(VLOOKUP($A50,Parts!$A$2:$M$191,2,FALSE())=0,"",VLOOKUP($A50,Parts!$A$2:$M$191,2,FALSE())),"")</f>
        <v>Solarzelle</v>
      </c>
      <c r="C50" s="45" t="str">
        <f>IFERROR(IF(VLOOKUP($A50,Parts!$A$2:$M$191,3,FALSE())=0,"",VLOOKUP($A50,Parts!$A$2:$M$191,3,FALSE())),"")</f>
        <v>Solarzelle KXOB25-14X1TF-TR</v>
      </c>
      <c r="D50" s="45" t="str">
        <f>IFERROR(IF(VLOOKUP($A50,Parts!$A$2:$M$191,4,FALSE())=0,"",VLOOKUP($A50,Parts!$A$2:$M$191,4,FALSE())),"")</f>
        <v>KXOB25-14X1TF-TR</v>
      </c>
      <c r="E50" s="45" t="str">
        <f>IFERROR(IF(VLOOKUP($A50,Parts!$A$2:$M$191,5,FALSE())=0,"",VLOOKUP($A50,Parts!$A$2:$M$191,5,FALSE())),"")</f>
        <v>EnvNode-Footprints:KXOB25-14X1F</v>
      </c>
      <c r="F50" t="str">
        <f>IFERROR(IF(VLOOKUP($A50,Parts!$A$2:$M$191,6,FALSE())=0,"",VLOOKUP($A50,Parts!$A$2:$M$191,6,FALSE())),"")</f>
        <v>ANYSOLAR Ltd</v>
      </c>
      <c r="G50" t="str">
        <f>IFERROR(IF(VLOOKUP($A50,Parts!$A$2:$M$191,7,FALSE())=0,"",VLOOKUP($A50,Parts!$A$2:$M$191,7,FALSE())),"")</f>
        <v>KXOB25-14X1TF-TR</v>
      </c>
      <c r="H50" s="56" t="str">
        <f>IFERROR(IF(_xlfn.XLOOKUP($A50&amp;"|Ja",Part_Suppliers!$L$2:$L$300,Part_Suppliers!$B$2:$B$300,"",0)=0,"",_xlfn.XLOOKUP($A50&amp;"|Ja",Part_Suppliers!$L$2:$L$300,Part_Suppliers!$B$2:$B$300,"",0)),"")</f>
        <v>DigiKey</v>
      </c>
      <c r="I50" t="str">
        <f>IFERROR(IF(_xlfn.XLOOKUP($A50&amp;"|Ja",Part_Suppliers!$L$2:$L$300,Part_Suppliers!$C$2:$C$300,"",0)=0,"",_xlfn.XLOOKUP($A50&amp;"|Ja",Part_Suppliers!$L$2:$L$300,Part_Suppliers!$C$2:$C$300,"",0)),"")</f>
        <v>2994-KXOB25-14X1TF-TRCT-ND</v>
      </c>
      <c r="J50" s="57">
        <v>2</v>
      </c>
      <c r="K50" s="57">
        <v>0</v>
      </c>
      <c r="L50" s="45" t="str">
        <f>IFERROR(IF(VLOOKUP($A50,Parts!$A$2:$M$191,8,FALSE())=0,"",VLOOKUP($A50,Parts!$A$2:$M$191,8,FALSE())),"")</f>
        <v>SolarRadiation; Aktuell 29.09.2026: SolarRadiation Rev 0.1</v>
      </c>
      <c r="M50" s="45" t="str">
        <f>IFERROR(IF(VLOOKUP($A50,Parts!$A$2:$M$191,12,FALSE())=0,"",VLOOKUP($A50,Parts!$A$2:$M$191,12,FALSE())),"")</f>
        <v>Dünne 1,2-mm-Variante; elektrisch und hinsichtlich Kontaktflächen kompatibel zur zuvor vorgesehenen KXOB25-14X1F-TB.</v>
      </c>
      <c r="N50" s="58"/>
      <c r="O50" s="59" t="s">
        <v>85</v>
      </c>
      <c r="S50" t="str">
        <f>IF(O50="drucken",COUNTIF($O$5:O50,"drucken"),"")</f>
        <v/>
      </c>
    </row>
    <row r="51" spans="1:19" ht="26.25" customHeight="1" x14ac:dyDescent="0.2">
      <c r="A51" t="s">
        <v>138</v>
      </c>
      <c r="B51" t="str">
        <f>IFERROR(IF(VLOOKUP($A51,Parts!$A$2:$M$191,2,FALSE())=0,"",VLOOKUP($A51,Parts!$A$2:$M$191,2,FALSE())),"")</f>
        <v>Sensor-IC</v>
      </c>
      <c r="C51" s="45" t="str">
        <f>IFERROR(IF(VLOOKUP($A51,Parts!$A$2:$M$191,3,FALSE())=0,"",VLOOKUP($A51,Parts!$A$2:$M$191,3,FALSE())),"")</f>
        <v>Temperatursensor TMP100</v>
      </c>
      <c r="D51" s="45" t="str">
        <f>IFERROR(IF(VLOOKUP($A51,Parts!$A$2:$M$191,4,FALSE())=0,"",VLOOKUP($A51,Parts!$A$2:$M$191,4,FALSE())),"")</f>
        <v>TMP100</v>
      </c>
      <c r="E51" s="45" t="str">
        <f>IFERROR(IF(VLOOKUP($A51,Parts!$A$2:$M$191,5,FALSE())=0,"",VLOOKUP($A51,Parts!$A$2:$M$191,5,FALSE())),"")</f>
        <v>Package_TO_SOT_SMD:SOT-23-6</v>
      </c>
      <c r="F51" t="str">
        <f>IFERROR(IF(VLOOKUP($A51,Parts!$A$2:$M$191,6,FALSE())=0,"",VLOOKUP($A51,Parts!$A$2:$M$191,6,FALSE())),"")</f>
        <v>Texas Instruments</v>
      </c>
      <c r="G51" t="str">
        <f>IFERROR(IF(VLOOKUP($A51,Parts!$A$2:$M$191,7,FALSE())=0,"",VLOOKUP($A51,Parts!$A$2:$M$191,7,FALSE())),"")</f>
        <v>TMP100NA/3K</v>
      </c>
      <c r="H51" s="56" t="str">
        <f>IFERROR(IF(_xlfn.XLOOKUP($A51&amp;"|Ja",Part_Suppliers!$L$2:$L$300,Part_Suppliers!$B$2:$B$300,"",0)=0,"",_xlfn.XLOOKUP($A51&amp;"|Ja",Part_Suppliers!$L$2:$L$300,Part_Suppliers!$B$2:$B$300,"",0)),"")</f>
        <v>DigiKey</v>
      </c>
      <c r="I51" t="str">
        <f>IFERROR(IF(_xlfn.XLOOKUP($A51&amp;"|Ja",Part_Suppliers!$L$2:$L$300,Part_Suppliers!$C$2:$C$300,"",0)=0,"",_xlfn.XLOOKUP($A51&amp;"|Ja",Part_Suppliers!$L$2:$L$300,Part_Suppliers!$C$2:$C$300,"",0)),"")</f>
        <v>296-26833-1-ND</v>
      </c>
      <c r="J51" s="57">
        <v>0</v>
      </c>
      <c r="K51" s="57">
        <v>0</v>
      </c>
      <c r="L51" s="45" t="str">
        <f>IFERROR(IF(VLOOKUP($A51,Parts!$A$2:$M$191,8,FALSE())=0,"",VLOOKUP($A51,Parts!$A$2:$M$191,8,FALSE())),"")</f>
        <v>SolarRadiation; Aktuell 29.09.2026: SolarRadiation Rev 0.1</v>
      </c>
      <c r="M51" s="45" t="str">
        <f>IFERROR(IF(VLOOKUP($A51,Parts!$A$2:$M$191,12,FALSE())=0,"",VLOOKUP($A51,Parts!$A$2:$M$191,12,FALSE())),"")</f>
        <v>Bestellbare SOT-23-6-Variante: DigiKey Gurtabschnitt 296-26833-1-ND.</v>
      </c>
      <c r="N51" s="58"/>
      <c r="O51" s="59" t="s">
        <v>85</v>
      </c>
      <c r="S51" t="str">
        <f>IF(O51="drucken",COUNTIF($O$5:O51,"drucken"),"")</f>
        <v/>
      </c>
    </row>
    <row r="52" spans="1:19" ht="26.25" customHeight="1" x14ac:dyDescent="0.2">
      <c r="A52" t="s">
        <v>139</v>
      </c>
      <c r="B52" t="str">
        <f>IFERROR(IF(VLOOKUP($A52,Parts!$A$2:$M$191,2,FALSE())=0,"",VLOOKUP($A52,Parts!$A$2:$M$191,2,FALSE())),"")</f>
        <v>PCB</v>
      </c>
      <c r="C52" s="45" t="str">
        <f>IFERROR(IF(VLOOKUP($A52,Parts!$A$2:$M$191,3,FALSE())=0,"",VLOOKUP($A52,Parts!$A$2:$M$191,3,FALSE())),"")</f>
        <v>EnvNode Mainboard PCB</v>
      </c>
      <c r="D52" s="45" t="str">
        <f>IFERROR(IF(VLOOKUP($A52,Parts!$A$2:$M$191,4,FALSE())=0,"",VLOOKUP($A52,Parts!$A$2:$M$191,4,FALSE())),"")</f>
        <v>Revision 0.2</v>
      </c>
      <c r="E52" s="45" t="str">
        <f>IFERROR(IF(VLOOKUP($A52,Parts!$A$2:$M$191,5,FALSE())=0,"",VLOOKUP($A52,Parts!$A$2:$M$191,5,FALSE())),"")</f>
        <v>PCB: EnvNode.kicad_pcb</v>
      </c>
      <c r="F52" t="str">
        <f>IFERROR(IF(VLOOKUP($A52,Parts!$A$2:$M$191,6,FALSE())=0,"",VLOOKUP($A52,Parts!$A$2:$M$191,6,FALSE())),"")</f>
        <v>JLCPCB</v>
      </c>
      <c r="G52" t="str">
        <f>IFERROR(IF(VLOOKUP($A52,Parts!$A$2:$M$191,7,FALSE())=0,"",VLOOKUP($A52,Parts!$A$2:$M$191,7,FALSE())),"")</f>
        <v/>
      </c>
      <c r="H52" s="56" t="str">
        <f>IFERROR(IF(_xlfn.XLOOKUP($A52&amp;"|Ja",Part_Suppliers!$L$2:$L$300,Part_Suppliers!$B$2:$B$300,"",0)=0,"",_xlfn.XLOOKUP($A52&amp;"|Ja",Part_Suppliers!$L$2:$L$300,Part_Suppliers!$B$2:$B$300,"",0)),"")</f>
        <v>JLCPCB</v>
      </c>
      <c r="I52" t="str">
        <f>IFERROR(IF(_xlfn.XLOOKUP($A52&amp;"|Ja",Part_Suppliers!$L$2:$L$300,Part_Suppliers!$C$2:$C$300,"",0)=0,"",_xlfn.XLOOKUP($A52&amp;"|Ja",Part_Suppliers!$L$2:$L$300,Part_Suppliers!$C$2:$C$300,"",0)),"")</f>
        <v/>
      </c>
      <c r="J52" s="57">
        <v>0</v>
      </c>
      <c r="K52" s="57">
        <v>0</v>
      </c>
      <c r="L52" s="45" t="str">
        <f>IFERROR(IF(VLOOKUP($A52,Parts!$A$2:$M$191,8,FALSE())=0,"",VLOOKUP($A52,Parts!$A$2:$M$191,8,FALSE())),"")</f>
        <v>EnvNode</v>
      </c>
      <c r="M52" s="45" t="str">
        <f>IFERROR(IF(VLOOKUP($A52,Parts!$A$2:$M$191,12,FALSE())=0,"",VLOOKUP($A52,Parts!$A$2:$M$191,12,FALSE())),"")</f>
        <v>Aktueller KiCad-Stand; Fertiger und konkrete Fertigungsvariante festlegen.</v>
      </c>
      <c r="N52" s="58"/>
      <c r="O52" s="59" t="s">
        <v>85</v>
      </c>
      <c r="S52" t="str">
        <f>IF(O52="drucken",COUNTIF($O$5:O52,"drucken"),"")</f>
        <v/>
      </c>
    </row>
    <row r="53" spans="1:19" ht="26.25" customHeight="1" x14ac:dyDescent="0.2">
      <c r="A53" t="s">
        <v>140</v>
      </c>
      <c r="B53" t="str">
        <f>IFERROR(IF(VLOOKUP($A53,Parts!$A$2:$M$191,2,FALSE())=0,"",VLOOKUP($A53,Parts!$A$2:$M$191,2,FALSE())),"")</f>
        <v>PCB</v>
      </c>
      <c r="C53" s="45" t="str">
        <f>IFERROR(IF(VLOOKUP($A53,Parts!$A$2:$M$191,3,FALSE())=0,"",VLOOKUP($A53,Parts!$A$2:$M$191,3,FALSE())),"")</f>
        <v>EnvNode Mini PCB</v>
      </c>
      <c r="D53" s="45" t="str">
        <f>IFERROR(IF(VLOOKUP($A53,Parts!$A$2:$M$191,4,FALSE())=0,"",VLOOKUP($A53,Parts!$A$2:$M$191,4,FALSE())),"")</f>
        <v>Revision 0.1</v>
      </c>
      <c r="E53" s="45" t="str">
        <f>IFERROR(IF(VLOOKUP($A53,Parts!$A$2:$M$191,5,FALSE())=0,"",VLOOKUP($A53,Parts!$A$2:$M$191,5,FALSE())),"")</f>
        <v>PCB: EnvNodeMini.kicad_pcb</v>
      </c>
      <c r="F53" t="str">
        <f>IFERROR(IF(VLOOKUP($A53,Parts!$A$2:$M$191,6,FALSE())=0,"",VLOOKUP($A53,Parts!$A$2:$M$191,6,FALSE())),"")</f>
        <v>JLCPCB</v>
      </c>
      <c r="G53" t="str">
        <f>IFERROR(IF(VLOOKUP($A53,Parts!$A$2:$M$191,7,FALSE())=0,"",VLOOKUP($A53,Parts!$A$2:$M$191,7,FALSE())),"")</f>
        <v/>
      </c>
      <c r="H53" s="56" t="str">
        <f>IFERROR(IF(_xlfn.XLOOKUP($A53&amp;"|Ja",Part_Suppliers!$L$2:$L$300,Part_Suppliers!$B$2:$B$300,"",0)=0,"",_xlfn.XLOOKUP($A53&amp;"|Ja",Part_Suppliers!$L$2:$L$300,Part_Suppliers!$B$2:$B$300,"",0)),"")</f>
        <v>JLCPCB</v>
      </c>
      <c r="I53" t="str">
        <f>IFERROR(IF(_xlfn.XLOOKUP($A53&amp;"|Ja",Part_Suppliers!$L$2:$L$300,Part_Suppliers!$C$2:$C$300,"",0)=0,"",_xlfn.XLOOKUP($A53&amp;"|Ja",Part_Suppliers!$L$2:$L$300,Part_Suppliers!$C$2:$C$300,"",0)),"")</f>
        <v/>
      </c>
      <c r="J53" s="57">
        <v>0</v>
      </c>
      <c r="K53" s="57">
        <v>0</v>
      </c>
      <c r="L53" s="45" t="str">
        <f>IFERROR(IF(VLOOKUP($A53,Parts!$A$2:$M$191,8,FALSE())=0,"",VLOOKUP($A53,Parts!$A$2:$M$191,8,FALSE())),"")</f>
        <v>EnvNodeMini Rev 0.1</v>
      </c>
      <c r="M53" s="45" t="str">
        <f>IFERROR(IF(VLOOKUP($A53,Parts!$A$2:$M$191,12,FALSE())=0,"",VLOOKUP($A53,Parts!$A$2:$M$191,12,FALSE())),"")</f>
        <v>Legacy-Leiterplatte Revision 0.1; für Revision 0.2 existiert ein eigener Artikel.</v>
      </c>
      <c r="N53" s="58"/>
      <c r="O53" s="59" t="s">
        <v>85</v>
      </c>
      <c r="S53" t="str">
        <f>IF(O53="drucken",COUNTIF($O$5:O53,"drucken"),"")</f>
        <v/>
      </c>
    </row>
    <row r="54" spans="1:19" ht="15" customHeight="1" x14ac:dyDescent="0.2">
      <c r="A54" t="s">
        <v>141</v>
      </c>
      <c r="B54" t="str">
        <f>IFERROR(IF(VLOOKUP($A54,Parts!$A$2:$M$191,2,FALSE())=0,"",VLOOKUP($A54,Parts!$A$2:$M$191,2,FALSE())),"")</f>
        <v>PCB</v>
      </c>
      <c r="C54" s="45" t="str">
        <f>IFERROR(IF(VLOOKUP($A54,Parts!$A$2:$M$191,3,FALSE())=0,"",VLOOKUP($A54,Parts!$A$2:$M$191,3,FALSE())),"")</f>
        <v>AnalogInput HalfSize PCB</v>
      </c>
      <c r="D54" s="45" t="str">
        <f>IFERROR(IF(VLOOKUP($A54,Parts!$A$2:$M$191,4,FALSE())=0,"",VLOOKUP($A54,Parts!$A$2:$M$191,4,FALSE())),"")</f>
        <v>Revision 0.1</v>
      </c>
      <c r="E54" s="45" t="str">
        <f>IFERROR(IF(VLOOKUP($A54,Parts!$A$2:$M$191,5,FALSE())=0,"",VLOOKUP($A54,Parts!$A$2:$M$191,5,FALSE())),"")</f>
        <v>PCB: AnalogInput.kicad_pcb</v>
      </c>
      <c r="F54" t="str">
        <f>IFERROR(IF(VLOOKUP($A54,Parts!$A$2:$M$191,6,FALSE())=0,"",VLOOKUP($A54,Parts!$A$2:$M$191,6,FALSE())),"")</f>
        <v>JLCPCB</v>
      </c>
      <c r="G54" t="str">
        <f>IFERROR(IF(VLOOKUP($A54,Parts!$A$2:$M$191,7,FALSE())=0,"",VLOOKUP($A54,Parts!$A$2:$M$191,7,FALSE())),"")</f>
        <v/>
      </c>
      <c r="H54" s="56" t="str">
        <f>IFERROR(IF(_xlfn.XLOOKUP($A54&amp;"|Ja",Part_Suppliers!$L$2:$L$300,Part_Suppliers!$B$2:$B$300,"",0)=0,"",_xlfn.XLOOKUP($A54&amp;"|Ja",Part_Suppliers!$L$2:$L$300,Part_Suppliers!$B$2:$B$300,"",0)),"")</f>
        <v>JLCPCB</v>
      </c>
      <c r="I54" t="str">
        <f>IFERROR(IF(_xlfn.XLOOKUP($A54&amp;"|Ja",Part_Suppliers!$L$2:$L$300,Part_Suppliers!$C$2:$C$300,"",0)=0,"",_xlfn.XLOOKUP($A54&amp;"|Ja",Part_Suppliers!$L$2:$L$300,Part_Suppliers!$C$2:$C$300,"",0)),"")</f>
        <v/>
      </c>
      <c r="J54" s="57">
        <v>0</v>
      </c>
      <c r="K54" s="57">
        <v>0</v>
      </c>
      <c r="L54" s="45" t="str">
        <f>IFERROR(IF(VLOOKUP($A54,Parts!$A$2:$M$191,8,FALSE())=0,"",VLOOKUP($A54,Parts!$A$2:$M$191,8,FALSE())),"")</f>
        <v>AnalogInput</v>
      </c>
      <c r="M54" s="45" t="str">
        <f>IFERROR(IF(VLOOKUP($A54,Parts!$A$2:$M$191,12,FALSE())=0,"",VLOOKUP($A54,Parts!$A$2:$M$191,12,FALSE())),"")</f>
        <v>Fertiger und konkrete Fertigungsvariante festlegen.</v>
      </c>
      <c r="N54" s="58"/>
      <c r="O54" s="59" t="s">
        <v>85</v>
      </c>
      <c r="S54" t="str">
        <f>IF(O54="drucken",COUNTIF($O$5:O54,"drucken"),"")</f>
        <v/>
      </c>
    </row>
    <row r="55" spans="1:19" ht="26.25" customHeight="1" x14ac:dyDescent="0.2">
      <c r="A55" t="s">
        <v>142</v>
      </c>
      <c r="B55" t="str">
        <f>IFERROR(IF(VLOOKUP($A55,Parts!$A$2:$M$191,2,FALSE())=0,"",VLOOKUP($A55,Parts!$A$2:$M$191,2,FALSE())),"")</f>
        <v>PCB</v>
      </c>
      <c r="C55" s="45" t="str">
        <f>IFERROR(IF(VLOOKUP($A55,Parts!$A$2:$M$191,3,FALSE())=0,"",VLOOKUP($A55,Parts!$A$2:$M$191,3,FALSE())),"")</f>
        <v>DuoRelay FullSize PCB Rev 0.1</v>
      </c>
      <c r="D55" s="45" t="str">
        <f>IFERROR(IF(VLOOKUP($A55,Parts!$A$2:$M$191,4,FALSE())=0,"",VLOOKUP($A55,Parts!$A$2:$M$191,4,FALSE())),"")</f>
        <v>Revision 0.1</v>
      </c>
      <c r="E55" s="45" t="str">
        <f>IFERROR(IF(VLOOKUP($A55,Parts!$A$2:$M$191,5,FALSE())=0,"",VLOOKUP($A55,Parts!$A$2:$M$191,5,FALSE())),"")</f>
        <v>PCB: DuoRelay.kicad_pcb</v>
      </c>
      <c r="F55" t="str">
        <f>IFERROR(IF(VLOOKUP($A55,Parts!$A$2:$M$191,6,FALSE())=0,"",VLOOKUP($A55,Parts!$A$2:$M$191,6,FALSE())),"")</f>
        <v>JLCPCB</v>
      </c>
      <c r="G55" t="str">
        <f>IFERROR(IF(VLOOKUP($A55,Parts!$A$2:$M$191,7,FALSE())=0,"",VLOOKUP($A55,Parts!$A$2:$M$191,7,FALSE())),"")</f>
        <v/>
      </c>
      <c r="H55" s="56" t="str">
        <f>IFERROR(IF(_xlfn.XLOOKUP($A55&amp;"|Ja",Part_Suppliers!$L$2:$L$300,Part_Suppliers!$B$2:$B$300,"",0)=0,"",_xlfn.XLOOKUP($A55&amp;"|Ja",Part_Suppliers!$L$2:$L$300,Part_Suppliers!$B$2:$B$300,"",0)),"")</f>
        <v>JLCPCB</v>
      </c>
      <c r="I55" t="str">
        <f>IFERROR(IF(_xlfn.XLOOKUP($A55&amp;"|Ja",Part_Suppliers!$L$2:$L$300,Part_Suppliers!$C$2:$C$300,"",0)=0,"",_xlfn.XLOOKUP($A55&amp;"|Ja",Part_Suppliers!$L$2:$L$300,Part_Suppliers!$C$2:$C$300,"",0)),"")</f>
        <v/>
      </c>
      <c r="J55" s="57">
        <v>0</v>
      </c>
      <c r="K55" s="57">
        <v>0</v>
      </c>
      <c r="L55" s="45" t="str">
        <f>IFERROR(IF(VLOOKUP($A55,Parts!$A$2:$M$191,8,FALSE())=0,"",VLOOKUP($A55,Parts!$A$2:$M$191,8,FALSE())),"")</f>
        <v>DuoRelay Rev 0.1</v>
      </c>
      <c r="M55" s="45" t="str">
        <f>IFERROR(IF(VLOOKUP($A55,Parts!$A$2:$M$191,12,FALSE())=0,"",VLOOKUP($A55,Parts!$A$2:$M$191,12,FALSE())),"")</f>
        <v>Legacy-Leiterplatte Revision 0.1; der aktuelle KiCad-Stand ist Revision 0.2 und besitzt einen eigenen Artikel.</v>
      </c>
      <c r="N55" s="58"/>
      <c r="O55" s="59" t="s">
        <v>85</v>
      </c>
      <c r="S55" t="str">
        <f>IF(O55="drucken",COUNTIF($O$5:O55,"drucken"),"")</f>
        <v/>
      </c>
    </row>
    <row r="56" spans="1:19" ht="15" customHeight="1" x14ac:dyDescent="0.2">
      <c r="A56" t="s">
        <v>143</v>
      </c>
      <c r="B56" t="str">
        <f>IFERROR(IF(VLOOKUP($A56,Parts!$A$2:$M$191,2,FALSE())=0,"",VLOOKUP($A56,Parts!$A$2:$M$191,2,FALSE())),"")</f>
        <v>PCB</v>
      </c>
      <c r="C56" s="45" t="str">
        <f>IFERROR(IF(VLOOKUP($A56,Parts!$A$2:$M$191,3,FALSE())=0,"",VLOOKUP($A56,Parts!$A$2:$M$191,3,FALSE())),"")</f>
        <v>SolarRadiation PCB</v>
      </c>
      <c r="D56" s="45" t="str">
        <f>IFERROR(IF(VLOOKUP($A56,Parts!$A$2:$M$191,4,FALSE())=0,"",VLOOKUP($A56,Parts!$A$2:$M$191,4,FALSE())),"")</f>
        <v>Revision 0.1</v>
      </c>
      <c r="E56" s="45" t="str">
        <f>IFERROR(IF(VLOOKUP($A56,Parts!$A$2:$M$191,5,FALSE())=0,"",VLOOKUP($A56,Parts!$A$2:$M$191,5,FALSE())),"")</f>
        <v>PCB: Sensors/SolarRadiation/SolarRadiation.kicad_pcb</v>
      </c>
      <c r="F56" t="str">
        <f>IFERROR(IF(VLOOKUP($A56,Parts!$A$2:$M$191,6,FALSE())=0,"",VLOOKUP($A56,Parts!$A$2:$M$191,6,FALSE())),"")</f>
        <v>JLCPCB</v>
      </c>
      <c r="G56" t="str">
        <f>IFERROR(IF(VLOOKUP($A56,Parts!$A$2:$M$191,7,FALSE())=0,"",VLOOKUP($A56,Parts!$A$2:$M$191,7,FALSE())),"")</f>
        <v/>
      </c>
      <c r="H56" s="56" t="str">
        <f>IFERROR(IF(_xlfn.XLOOKUP($A56&amp;"|Ja",Part_Suppliers!$L$2:$L$300,Part_Suppliers!$B$2:$B$300,"",0)=0,"",_xlfn.XLOOKUP($A56&amp;"|Ja",Part_Suppliers!$L$2:$L$300,Part_Suppliers!$B$2:$B$300,"",0)),"")</f>
        <v>JLCPCB</v>
      </c>
      <c r="I56" t="str">
        <f>IFERROR(IF(_xlfn.XLOOKUP($A56&amp;"|Ja",Part_Suppliers!$L$2:$L$300,Part_Suppliers!$C$2:$C$300,"",0)=0,"",_xlfn.XLOOKUP($A56&amp;"|Ja",Part_Suppliers!$L$2:$L$300,Part_Suppliers!$C$2:$C$300,"",0)),"")</f>
        <v/>
      </c>
      <c r="J56" s="57">
        <v>0</v>
      </c>
      <c r="K56" s="57">
        <v>0</v>
      </c>
      <c r="L56" s="45" t="str">
        <f>IFERROR(IF(VLOOKUP($A56,Parts!$A$2:$M$191,8,FALSE())=0,"",VLOOKUP($A56,Parts!$A$2:$M$191,8,FALSE())),"")</f>
        <v>SolarRadiation; Aktuell 29.09.2026: SolarRadiation Rev 0.1</v>
      </c>
      <c r="M56" s="45" t="str">
        <f>IFERROR(IF(VLOOKUP($A56,Parts!$A$2:$M$191,12,FALSE())=0,"",VLOOKUP($A56,Parts!$A$2:$M$191,12,FALSE())),"")</f>
        <v>Fertiger gemäß EnvNode-PCB-Praxis JLCPCB vorgesehen. Angebot, Auftragsnummer und Stückpreis offen.</v>
      </c>
      <c r="N56" s="58"/>
      <c r="O56" s="59" t="s">
        <v>85</v>
      </c>
      <c r="S56" t="str">
        <f>IF(O56="drucken",COUNTIF($O$5:O56,"drucken"),"")</f>
        <v/>
      </c>
    </row>
    <row r="57" spans="1:19" ht="15" customHeight="1" x14ac:dyDescent="0.2">
      <c r="A57" t="s">
        <v>144</v>
      </c>
      <c r="B57" t="str">
        <f>IFERROR(IF(VLOOKUP($A57,Parts!$A$2:$M$191,2,FALSE())=0,"",VLOOKUP($A57,Parts!$A$2:$M$191,2,FALSE())),"")</f>
        <v>PCB</v>
      </c>
      <c r="C57" s="45" t="str">
        <f>IFERROR(IF(VLOOKUP($A57,Parts!$A$2:$M$191,3,FALSE())=0,"",VLOOKUP($A57,Parts!$A$2:$M$191,3,FALSE())),"")</f>
        <v>RainDetector PCB</v>
      </c>
      <c r="D57" s="45" t="str">
        <f>IFERROR(IF(VLOOKUP($A57,Parts!$A$2:$M$191,4,FALSE())=0,"",VLOOKUP($A57,Parts!$A$2:$M$191,4,FALSE())),"")</f>
        <v>Revision 1.0</v>
      </c>
      <c r="E57" s="45" t="str">
        <f>IFERROR(IF(VLOOKUP($A57,Parts!$A$2:$M$191,5,FALSE())=0,"",VLOOKUP($A57,Parts!$A$2:$M$191,5,FALSE())),"")</f>
        <v>PCB: Raindetector.kicad_pcb</v>
      </c>
      <c r="F57" t="str">
        <f>IFERROR(IF(VLOOKUP($A57,Parts!$A$2:$M$191,6,FALSE())=0,"",VLOOKUP($A57,Parts!$A$2:$M$191,6,FALSE())),"")</f>
        <v>JLCPCB</v>
      </c>
      <c r="G57" t="str">
        <f>IFERROR(IF(VLOOKUP($A57,Parts!$A$2:$M$191,7,FALSE())=0,"",VLOOKUP($A57,Parts!$A$2:$M$191,7,FALSE())),"")</f>
        <v/>
      </c>
      <c r="H57" s="56" t="str">
        <f>IFERROR(IF(_xlfn.XLOOKUP($A57&amp;"|Ja",Part_Suppliers!$L$2:$L$300,Part_Suppliers!$B$2:$B$300,"",0)=0,"",_xlfn.XLOOKUP($A57&amp;"|Ja",Part_Suppliers!$L$2:$L$300,Part_Suppliers!$B$2:$B$300,"",0)),"")</f>
        <v>JLCPCB</v>
      </c>
      <c r="I57" t="str">
        <f>IFERROR(IF(_xlfn.XLOOKUP($A57&amp;"|Ja",Part_Suppliers!$L$2:$L$300,Part_Suppliers!$C$2:$C$300,"",0)=0,"",_xlfn.XLOOKUP($A57&amp;"|Ja",Part_Suppliers!$L$2:$L$300,Part_Suppliers!$C$2:$C$300,"",0)),"")</f>
        <v/>
      </c>
      <c r="J57" s="57">
        <v>4</v>
      </c>
      <c r="K57" s="57">
        <v>0</v>
      </c>
      <c r="L57" s="45" t="str">
        <f>IFERROR(IF(VLOOKUP($A57,Parts!$A$2:$M$191,8,FALSE())=0,"",VLOOKUP($A57,Parts!$A$2:$M$191,8,FALSE())),"")</f>
        <v>RainDetector</v>
      </c>
      <c r="M57" s="45" t="str">
        <f>IFERROR(IF(VLOOKUP($A57,Parts!$A$2:$M$191,12,FALSE())=0,"",VLOOKUP($A57,Parts!$A$2:$M$191,12,FALSE())),"")&amp;" | Verbrauch Auftrag 22.09.2026: 1. Gebucht 27.09.2026."</f>
        <v>Fertiger und konkrete Fertigungsvariante festlegen. | Verbrauch Auftrag 22.09.2026: 1. Gebucht 27.09.2026.</v>
      </c>
      <c r="N57" s="58"/>
      <c r="O57" s="59" t="s">
        <v>85</v>
      </c>
      <c r="S57" t="str">
        <f>IF(O57="drucken",COUNTIF($O$5:O57,"drucken"),"")</f>
        <v/>
      </c>
    </row>
    <row r="58" spans="1:19" ht="52.75" customHeight="1" x14ac:dyDescent="0.2">
      <c r="A58" t="s">
        <v>145</v>
      </c>
      <c r="B58" t="str">
        <f>IFERROR(IF(VLOOKUP($A58,Parts!$A$2:$M$191,2,FALSE())=0,"",VLOOKUP($A58,Parts!$A$2:$M$191,2,FALSE())),"")</f>
        <v>Steckverbinder</v>
      </c>
      <c r="C58" s="45" t="str">
        <f>IFERROR(IF(VLOOKUP($A58,Parts!$A$2:$M$191,3,FALSE())=0,"",VLOOKUP($A58,Parts!$A$2:$M$191,3,FALSE())),"")</f>
        <v>Buchsenleiste 2x7, 2,54 mm, vertikal</v>
      </c>
      <c r="D58" s="45" t="str">
        <f>IFERROR(IF(VLOOKUP($A58,Parts!$A$2:$M$191,4,FALSE())=0,"",VLOOKUP($A58,Parts!$A$2:$M$191,4,FALSE())),"")</f>
        <v>2x7, 2,54 mm, THT, vertikal, vergoldet, Bauhöhe 8,5 mm</v>
      </c>
      <c r="E58" s="45" t="str">
        <f>IFERROR(IF(VLOOKUP($A58,Parts!$A$2:$M$191,5,FALSE())=0,"",VLOOKUP($A58,Parts!$A$2:$M$191,5,FALSE())),"")</f>
        <v>Connector_PinSocket_2.54mm:PinSocket_2x07_P2.54mm_Vertical</v>
      </c>
      <c r="F58" t="str">
        <f>IFERROR(IF(VLOOKUP($A58,Parts!$A$2:$M$191,6,FALSE())=0,"",VLOOKUP($A58,Parts!$A$2:$M$191,6,FALSE())),"")</f>
        <v>BINDER MPE GMBH</v>
      </c>
      <c r="G58" t="str">
        <f>IFERROR(IF(VLOOKUP($A58,Parts!$A$2:$M$191,7,FALSE())=0,"",VLOOKUP($A58,Parts!$A$2:$M$191,7,FALSE())),"")</f>
        <v>094-2-014-0-NFX-YS0</v>
      </c>
      <c r="H58" s="56" t="str">
        <f>IFERROR(IF(_xlfn.XLOOKUP($A58&amp;"|Ja",Part_Suppliers!$L$2:$L$300,Part_Suppliers!$B$2:$B$300,"",0)=0,"",_xlfn.XLOOKUP($A58&amp;"|Ja",Part_Suppliers!$L$2:$L$300,Part_Suppliers!$B$2:$B$300,"",0)),"")</f>
        <v>Reichelt</v>
      </c>
      <c r="I58" t="str">
        <f>IFERROR(IF(_xlfn.XLOOKUP($A58&amp;"|Ja",Part_Suppliers!$L$2:$L$300,Part_Suppliers!$C$2:$C$300,"",0)=0,"",_xlfn.XLOOKUP($A58&amp;"|Ja",Part_Suppliers!$L$2:$L$300,Part_Suppliers!$C$2:$C$300,"",0)),"")</f>
        <v>MPE 094-2-014</v>
      </c>
      <c r="J58" s="57">
        <v>2</v>
      </c>
      <c r="K58" s="57">
        <v>8</v>
      </c>
      <c r="L58" s="45" t="str">
        <f>IFERROR(IF(VLOOKUP($A58,Parts!$A$2:$M$191,8,FALSE())=0,"",VLOOKUP($A58,Parts!$A$2:$M$191,8,FALSE())),"")</f>
        <v>EnvNodeMini Rev 0.2; Aktuell 29.09.2026: EnvNode Mini Bausatz Rev 0.8; EnvNode Weatherstation Bausatz Rev 0.2</v>
      </c>
      <c r="M58" s="45" t="str">
        <f>IFERROR(IF(VLOOKUP($A58,Parts!$A$2:$M$191,12,FALSE())=0,"",VLOOKUP($A58,Parts!$A$2:$M$191,12,FALSE())),"")&amp;" | Verbrauch Auftrag 22.09.2026: 4. Gebucht 27.09.2026. Negativer Bestand: Wareneingang/Artikelzuordnung klären."</f>
        <v>Reichelt MPE 094-2-014: Dual-Buchsenleiste, 14 Kontakte, 2,54 mm, THT, gerade, 3 A/250 V und 8,5 mm Bauhöhe. Footprint-kompatible Beschaffungsalternative zur Würth 61301421821 mit 8,4 mm Bauhöhe. | Verbrauch Auftrag 22.09.2026: 4. Gebucht 27.09.2026. Negativer Bestand: Wareneingang/Artikelzuordnung klären.</v>
      </c>
      <c r="N58" s="58"/>
      <c r="O58" s="59" t="s">
        <v>85</v>
      </c>
      <c r="S58" t="str">
        <f>IF(O58="drucken",COUNTIF($O$5:O58,"drucken"),"")</f>
        <v/>
      </c>
    </row>
    <row r="59" spans="1:19" ht="66" customHeight="1" x14ac:dyDescent="0.2">
      <c r="A59" t="s">
        <v>146</v>
      </c>
      <c r="B59" t="str">
        <f>IFERROR(IF(VLOOKUP($A59,Parts!$A$2:$M$191,2,FALSE())=0,"",VLOOKUP($A59,Parts!$A$2:$M$191,2,FALSE())),"")</f>
        <v>Diode</v>
      </c>
      <c r="C59" s="45" t="str">
        <f>IFERROR(IF(VLOOKUP($A59,Parts!$A$2:$M$191,3,FALSE())=0,"",VLOOKUP($A59,Parts!$A$2:$M$191,3,FALSE())),"")</f>
        <v>Schottky-Diode SS14, SMA</v>
      </c>
      <c r="D59" s="45" t="str">
        <f>IFERROR(IF(VLOOKUP($A59,Parts!$A$2:$M$191,4,FALSE())=0,"",VLOOKUP($A59,Parts!$A$2:$M$191,4,FALSE())),"")</f>
        <v>SS14, 1 A, 40 V, UF max. 0,5 V, IFSM 40 A</v>
      </c>
      <c r="E59" s="45" t="str">
        <f>IFERROR(IF(VLOOKUP($A59,Parts!$A$2:$M$191,5,FALSE())=0,"",VLOOKUP($A59,Parts!$A$2:$M$191,5,FALSE())),"")</f>
        <v>Diode_SMD:D_SMA</v>
      </c>
      <c r="F59" t="str">
        <f>IFERROR(IF(VLOOKUP($A59,Parts!$A$2:$M$191,6,FALSE())=0,"",VLOOKUP($A59,Parts!$A$2:$M$191,6,FALSE())),"")</f>
        <v>Vishay</v>
      </c>
      <c r="G59" t="str">
        <f>IFERROR(IF(VLOOKUP($A59,Parts!$A$2:$M$191,7,FALSE())=0,"",VLOOKUP($A59,Parts!$A$2:$M$191,7,FALSE())),"")</f>
        <v>SS14-E3/61T</v>
      </c>
      <c r="H59" s="56" t="str">
        <f>IFERROR(IF(_xlfn.XLOOKUP($A59&amp;"|Ja",Part_Suppliers!$L$2:$L$300,Part_Suppliers!$B$2:$B$300,"",0)=0,"",_xlfn.XLOOKUP($A59&amp;"|Ja",Part_Suppliers!$L$2:$L$300,Part_Suppliers!$B$2:$B$300,"",0)),"")</f>
        <v>Reichelt</v>
      </c>
      <c r="I59" t="str">
        <f>IFERROR(IF(_xlfn.XLOOKUP($A59&amp;"|Ja",Part_Suppliers!$L$2:$L$300,Part_Suppliers!$C$2:$C$300,"",0)=0,"",_xlfn.XLOOKUP($A59&amp;"|Ja",Part_Suppliers!$L$2:$L$300,Part_Suppliers!$C$2:$C$300,"",0)),"")</f>
        <v>SS 14 VIS</v>
      </c>
      <c r="J59" s="57">
        <v>16</v>
      </c>
      <c r="K59" s="57">
        <v>0</v>
      </c>
      <c r="L59" s="45" t="str">
        <f>IFERROR(IF(VLOOKUP($A59,Parts!$A$2:$M$191,8,FALSE())=0,"",VLOOKUP($A59,Parts!$A$2:$M$191,8,FALSE())),"")</f>
        <v>EnvNodeMini Rev 0.2; ORing Power Rev 0.1; Aktuell 29.09.2026: ORing Power Modul Rev 0.1</v>
      </c>
      <c r="M59" s="45" t="str">
        <f>IFERROR(IF(VLOOKUP($A59,Parts!$A$2:$M$191,12,FALSE())=0,"",VLOOKUP($A59,Parts!$A$2:$M$191,12,FALSE())),"")&amp;" | Verbrauch Auftrag 22.09.2026: 4. Gebucht 27.09.2026."</f>
        <v>Vishay Schottky-Gleichrichter im DO-214AC-/SMA-Gehäuse, 40 V Sperrspannung, 1 A Dauerstrom, 40 A Stoßstrom und Temperaturbereich −65 bis +150 °C. D1 entkoppelt +3V3_EXT, D2 entkoppelt +3V3_DEVKIT; beide speisen mit der Kathode +3V3_SYS. Zwei Stück je EnvNode Mini Rev 0.2. | Verbrauch Auftrag 22.09.2026: 4. Gebucht 27.09.2026.</v>
      </c>
      <c r="N59" s="58"/>
      <c r="O59" s="59" t="s">
        <v>85</v>
      </c>
      <c r="S59" t="str">
        <f>IF(O59="drucken",COUNTIF($O$5:O59,"drucken"),"")</f>
        <v/>
      </c>
    </row>
    <row r="60" spans="1:19" ht="66" customHeight="1" x14ac:dyDescent="0.2">
      <c r="A60" t="s">
        <v>147</v>
      </c>
      <c r="B60" t="str">
        <f>IFERROR(IF(VLOOKUP($A60,Parts!$A$2:$M$191,2,FALSE())=0,"",VLOOKUP($A60,Parts!$A$2:$M$191,2,FALSE())),"")</f>
        <v>Kondensator</v>
      </c>
      <c r="C60" s="45" t="str">
        <f>IFERROR(IF(VLOOKUP($A60,Parts!$A$2:$M$191,3,FALSE())=0,"",VLOOKUP($A60,Parts!$A$2:$M$191,3,FALSE())),"")</f>
        <v>Elektrolytkondensator 10 µF SMD</v>
      </c>
      <c r="D60" s="45" t="str">
        <f>IFERROR(IF(VLOOKUP($A60,Parts!$A$2:$M$191,4,FALSE())=0,"",VLOOKUP($A60,Parts!$A$2:$M$191,4,FALSE())),"")</f>
        <v>10 µF, ±20 %, 25 V, 85 °C, 2000 h</v>
      </c>
      <c r="E60" s="45" t="str">
        <f>IFERROR(IF(VLOOKUP($A60,Parts!$A$2:$M$191,5,FALSE())=0,"",VLOOKUP($A60,Parts!$A$2:$M$191,5,FALSE())),"")</f>
        <v>Capacitor_SMD:CP_Elec_5x5.4</v>
      </c>
      <c r="F60" t="str">
        <f>IFERROR(IF(VLOOKUP($A60,Parts!$A$2:$M$191,6,FALSE())=0,"",VLOOKUP($A60,Parts!$A$2:$M$191,6,FALSE())),"")</f>
        <v>Panasonic</v>
      </c>
      <c r="G60" t="str">
        <f>IFERROR(IF(VLOOKUP($A60,Parts!$A$2:$M$191,7,FALSE())=0,"",VLOOKUP($A60,Parts!$A$2:$M$191,7,FALSE())),"")</f>
        <v>EEE1EA100SR</v>
      </c>
      <c r="H60" s="56" t="str">
        <f>IFERROR(IF(_xlfn.XLOOKUP($A60&amp;"|Ja",Part_Suppliers!$L$2:$L$300,Part_Suppliers!$B$2:$B$300,"",0)=0,"",_xlfn.XLOOKUP($A60&amp;"|Ja",Part_Suppliers!$L$2:$L$300,Part_Suppliers!$B$2:$B$300,"",0)),"")</f>
        <v>Reichelt</v>
      </c>
      <c r="I60" t="str">
        <f>IFERROR(IF(_xlfn.XLOOKUP($A60&amp;"|Ja",Part_Suppliers!$L$2:$L$300,Part_Suppliers!$C$2:$C$300,"",0)=0,"",_xlfn.XLOOKUP($A60&amp;"|Ja",Part_Suppliers!$L$2:$L$300,Part_Suppliers!$C$2:$C$300,"",0)),"")</f>
        <v>S-V 10U 25</v>
      </c>
      <c r="J60" s="57">
        <v>8</v>
      </c>
      <c r="K60" s="57">
        <v>0</v>
      </c>
      <c r="L60" s="45" t="str">
        <f>IFERROR(IF(VLOOKUP($A60,Parts!$A$2:$M$191,8,FALSE())=0,"",VLOOKUP($A60,Parts!$A$2:$M$191,8,FALSE())),"")</f>
        <v>EnvNodeMini Rev 0.2; ORing Power Rev 0.1; Aktuell 29.09.2026: ORing Power Modul Rev 0.1</v>
      </c>
      <c r="M60" s="45" t="str">
        <f>IFERROR(IF(VLOOKUP($A60,Parts!$A$2:$M$191,12,FALSE())=0,"",VLOOKUP($A60,Parts!$A$2:$M$191,12,FALSE())),"")&amp;" | Verbrauch Auftrag 22.09.2026: 2. Gebucht 27.09.2026."</f>
        <v>Panasonic SMD-Aluminium-Elektrolytkondensator, 10 µF ±20 %, 25 V, 85 °C, 2000 h. Abmessungen Ø 5,0 × 5,4 mm passen exakt zum zugewiesenen KiCad-Footprint. C6 liegt zwischen +3V3_SYS und GND; 25 V bieten deutliche Spannungsreserve. Polarität beachten. | Verbrauch Auftrag 22.09.2026: 2. Gebucht 27.09.2026.</v>
      </c>
      <c r="N60" s="58"/>
      <c r="O60" s="59" t="s">
        <v>85</v>
      </c>
      <c r="S60" t="str">
        <f>IF(O60="drucken",COUNTIF($O$5:O60,"drucken"),"")</f>
        <v/>
      </c>
    </row>
    <row r="61" spans="1:19" ht="26.25" customHeight="1" x14ac:dyDescent="0.2">
      <c r="A61" t="s">
        <v>148</v>
      </c>
      <c r="B61" t="str">
        <f>IFERROR(IF(VLOOKUP($A61,Parts!$A$2:$M$191,2,FALSE())=0,"",VLOOKUP($A61,Parts!$A$2:$M$191,2,FALSE())),"")</f>
        <v>PCB</v>
      </c>
      <c r="C61" s="45" t="str">
        <f>IFERROR(IF(VLOOKUP($A61,Parts!$A$2:$M$191,3,FALSE())=0,"",VLOOKUP($A61,Parts!$A$2:$M$191,3,FALSE())),"")</f>
        <v>EnvNode Mini PCB Rev 0.2</v>
      </c>
      <c r="D61" s="45" t="str">
        <f>IFERROR(IF(VLOOKUP($A61,Parts!$A$2:$M$191,4,FALSE())=0,"",VLOOKUP($A61,Parts!$A$2:$M$191,4,FALSE())),"")</f>
        <v>Revision 0.2</v>
      </c>
      <c r="E61" s="45" t="str">
        <f>IFERROR(IF(VLOOKUP($A61,Parts!$A$2:$M$191,5,FALSE())=0,"",VLOOKUP($A61,Parts!$A$2:$M$191,5,FALSE())),"")</f>
        <v>PCB: MainBoards/EnvNode Mini/EnvNode Mini.kicad_pcb</v>
      </c>
      <c r="F61" t="str">
        <f>IFERROR(IF(VLOOKUP($A61,Parts!$A$2:$M$191,6,FALSE())=0,"",VLOOKUP($A61,Parts!$A$2:$M$191,6,FALSE())),"")</f>
        <v>JLCPCB</v>
      </c>
      <c r="G61" t="str">
        <f>IFERROR(IF(VLOOKUP($A61,Parts!$A$2:$M$191,7,FALSE())=0,"",VLOOKUP($A61,Parts!$A$2:$M$191,7,FALSE())),"")</f>
        <v/>
      </c>
      <c r="H61" s="56" t="str">
        <f>IFERROR(IF(_xlfn.XLOOKUP($A61&amp;"|Ja",Part_Suppliers!$L$2:$L$300,Part_Suppliers!$B$2:$B$300,"",0)=0,"",_xlfn.XLOOKUP($A61&amp;"|Ja",Part_Suppliers!$L$2:$L$300,Part_Suppliers!$B$2:$B$300,"",0)),"")</f>
        <v>JLCPCB</v>
      </c>
      <c r="I61" t="str">
        <f>IFERROR(IF(_xlfn.XLOOKUP($A61&amp;"|Ja",Part_Suppliers!$L$2:$L$300,Part_Suppliers!$C$2:$C$300,"",0)=0,"",_xlfn.XLOOKUP($A61&amp;"|Ja",Part_Suppliers!$L$2:$L$300,Part_Suppliers!$C$2:$C$300,"",0)),"")</f>
        <v/>
      </c>
      <c r="J61" s="57">
        <v>0</v>
      </c>
      <c r="K61" s="57">
        <v>0</v>
      </c>
      <c r="L61" s="45" t="str">
        <f>IFERROR(IF(VLOOKUP($A61,Parts!$A$2:$M$191,8,FALSE())=0,"",VLOOKUP($A61,Parts!$A$2:$M$191,8,FALSE())),"")</f>
        <v>EnvNodeMini Rev 0.2</v>
      </c>
      <c r="M61" s="45" t="str">
        <f>IFERROR(IF(VLOOKUP($A61,Parts!$A$2:$M$191,12,FALSE())=0,"",VLOOKUP($A61,Parts!$A$2:$M$191,12,FALSE())),"")</f>
        <v>Aktueller KiCad-Stand; Fertiger und konkrete Fertigungsvariante festlegen.</v>
      </c>
      <c r="N61" s="58"/>
      <c r="O61" s="59" t="s">
        <v>85</v>
      </c>
      <c r="S61" t="str">
        <f>IF(O61="drucken",COUNTIF($O$5:O61,"drucken"),"")</f>
        <v/>
      </c>
    </row>
    <row r="62" spans="1:19" ht="66" customHeight="1" x14ac:dyDescent="0.2">
      <c r="A62" t="s">
        <v>149</v>
      </c>
      <c r="B62" t="str">
        <f>IFERROR(IF(VLOOKUP($A62,Parts!$A$2:$M$191,2,FALSE())=0,"",VLOOKUP($A62,Parts!$A$2:$M$191,2,FALSE())),"")</f>
        <v>Steckverbinder</v>
      </c>
      <c r="C62" s="45" t="str">
        <f>IFERROR(IF(VLOOKUP($A62,Parts!$A$2:$M$191,3,FALSE())=0,"",VLOOKUP($A62,Parts!$A$2:$M$191,3,FALSE())),"")</f>
        <v>Stiftleiste 2x7, 2,54 mm, SMD</v>
      </c>
      <c r="D62" s="45" t="str">
        <f>IFERROR(IF(VLOOKUP($A62,Parts!$A$2:$M$191,4,FALSE())=0,"",VLOOKUP($A62,Parts!$A$2:$M$191,4,FALSE())),"")</f>
        <v>2x7, 2,54 mm, SMD, vertikal, vergoldet, 6,0 mm Stecklänge</v>
      </c>
      <c r="E62" s="45" t="str">
        <f>IFERROR(IF(VLOOKUP($A62,Parts!$A$2:$M$191,5,FALSE())=0,"",VLOOKUP($A62,Parts!$A$2:$M$191,5,FALSE())),"")</f>
        <v>EnvNode-Footprints:J_Wurth_WR-PHD_61031421121</v>
      </c>
      <c r="F62" t="str">
        <f>IFERROR(IF(VLOOKUP($A62,Parts!$A$2:$M$191,6,FALSE())=0,"",VLOOKUP($A62,Parts!$A$2:$M$191,6,FALSE())),"")</f>
        <v>Würth Elektronik</v>
      </c>
      <c r="G62" t="str">
        <f>IFERROR(IF(VLOOKUP($A62,Parts!$A$2:$M$191,7,FALSE())=0,"",VLOOKUP($A62,Parts!$A$2:$M$191,7,FALSE())),"")</f>
        <v>61031421121</v>
      </c>
      <c r="H62" s="56" t="str">
        <f>IFERROR(IF(_xlfn.XLOOKUP($A62&amp;"|Ja",Part_Suppliers!$L$2:$L$300,Part_Suppliers!$B$2:$B$300,"",0)=0,"",_xlfn.XLOOKUP($A62&amp;"|Ja",Part_Suppliers!$L$2:$L$300,Part_Suppliers!$B$2:$B$300,"",0)),"")</f>
        <v>DigiKey</v>
      </c>
      <c r="I62" t="str">
        <f>IFERROR(IF(_xlfn.XLOOKUP($A62&amp;"|Ja",Part_Suppliers!$L$2:$L$300,Part_Suppliers!$C$2:$C$300,"",0)=0,"",_xlfn.XLOOKUP($A62&amp;"|Ja",Part_Suppliers!$L$2:$L$300,Part_Suppliers!$C$2:$C$300,"",0)),"")</f>
        <v>732-61031421121CT-ND</v>
      </c>
      <c r="J62" s="57">
        <v>0</v>
      </c>
      <c r="K62" s="57">
        <v>0</v>
      </c>
      <c r="L62" s="45" t="str">
        <f>IFERROR(IF(VLOOKUP($A62,Parts!$A$2:$M$191,8,FALSE())=0,"",VLOOKUP($A62,Parts!$A$2:$M$191,8,FALSE())),"")</f>
        <v>Empty FullSize/HalfSize SMD</v>
      </c>
      <c r="M62" s="45" t="str">
        <f>IFERROR(IF(VLOOKUP($A62,Parts!$A$2:$M$191,12,FALSE())=0,"",VLOOKUP($A62,Parts!$A$2:$M$191,12,FALSE())),"")</f>
        <v>Würth WR-PHD SMD-Stiftleiste, 14 Kontakte, 2,54 mm, vergoldet, 3 A/250 V. Exakter Artikel für den Projekt-Footprint J_Wurth_WR-PHD_61031421121. Einzelpreis Gurtabschnitt, Stand 2026-09-01; Preis und Verfügbarkeit vor Bestellung prüfen.</v>
      </c>
      <c r="N62" s="58"/>
      <c r="O62" s="59" t="s">
        <v>85</v>
      </c>
      <c r="S62" t="str">
        <f>IF(O62="drucken",COUNTIF($O$5:O62,"drucken"),"")</f>
        <v/>
      </c>
    </row>
    <row r="63" spans="1:19" ht="92.5" customHeight="1" x14ac:dyDescent="0.2">
      <c r="A63" t="s">
        <v>150</v>
      </c>
      <c r="B63" t="str">
        <f>IFERROR(IF(VLOOKUP($A63,Parts!$A$2:$M$191,2,FALSE())=0,"",VLOOKUP($A63,Parts!$A$2:$M$191,2,FALSE())),"")</f>
        <v>Steckverbinder</v>
      </c>
      <c r="C63" s="45" t="str">
        <f>IFERROR(IF(VLOOKUP($A63,Parts!$A$2:$M$191,3,FALSE())=0,"",VLOOKUP($A63,Parts!$A$2:$M$191,3,FALSE())),"")</f>
        <v>Stiftleiste 2x7, 2,54 mm, vertikal, Bottom-Mount</v>
      </c>
      <c r="D63" s="45" t="str">
        <f>IFERROR(IF(VLOOKUP($A63,Parts!$A$2:$M$191,4,FALSE())=0,"",VLOOKUP($A63,Parts!$A$2:$M$191,4,FALSE())),"")</f>
        <v>2x7, 2,54 mm, THT, vertikal, vergoldet, 6,1 mm Stecklänge, 3,0 mm Lötstift</v>
      </c>
      <c r="E63" s="45" t="str">
        <f>IFERROR(IF(VLOOKUP($A63,Parts!$A$2:$M$191,5,FALSE())=0,"",VLOOKUP($A63,Parts!$A$2:$M$191,5,FALSE())),"")</f>
        <v>EnvNode-Footprints:PinHeader_2x07_P2.54mm_Vertical_Bottom</v>
      </c>
      <c r="F63" t="str">
        <f>IFERROR(IF(VLOOKUP($A63,Parts!$A$2:$M$191,6,FALSE())=0,"",VLOOKUP($A63,Parts!$A$2:$M$191,6,FALSE())),"")</f>
        <v>ECON Connect</v>
      </c>
      <c r="G63" t="str">
        <f>IFERROR(IF(VLOOKUP($A63,Parts!$A$2:$M$191,7,FALSE())=0,"",VLOOKUP($A63,Parts!$A$2:$M$191,7,FALSE())),"")</f>
        <v>SL14G2</v>
      </c>
      <c r="H63" s="56" t="str">
        <f>IFERROR(IF(_xlfn.XLOOKUP($A63&amp;"|Ja",Part_Suppliers!$L$2:$L$300,Part_Suppliers!$B$2:$B$300,"",0)=0,"",_xlfn.XLOOKUP($A63&amp;"|Ja",Part_Suppliers!$L$2:$L$300,Part_Suppliers!$B$2:$B$300,"",0)),"")</f>
        <v>Reichelt</v>
      </c>
      <c r="I63" t="str">
        <f>IFERROR(IF(_xlfn.XLOOKUP($A63&amp;"|Ja",Part_Suppliers!$L$2:$L$300,Part_Suppliers!$C$2:$C$300,"",0)=0,"",_xlfn.XLOOKUP($A63&amp;"|Ja",Part_Suppliers!$L$2:$L$300,Part_Suppliers!$C$2:$C$300,"",0)),"")</f>
        <v>ECON SL14G2</v>
      </c>
      <c r="J63" s="57">
        <v>7</v>
      </c>
      <c r="K63" s="57">
        <v>0</v>
      </c>
      <c r="L63" s="45" t="str">
        <f>IFERROR(IF(VLOOKUP($A63,Parts!$A$2:$M$191,8,FALSE())=0,"",VLOOKUP($A63,Parts!$A$2:$M$191,8,FALSE())),"")</f>
        <v>Empty FullSize/HalfSize THT; DuoRelay Rev 0.2; AnalogHydroPressure; Aktuell 29.09.2026: DuoRelay FullSize Bausatz Rev 0.3</v>
      </c>
      <c r="M63" s="45" t="str">
        <f>IFERROR(IF(VLOOKUP($A63,Parts!$A$2:$M$191,12,FALSE())=0,"",VLOOKUP($A63,Parts!$A$2:$M$191,12,FALSE())),"")&amp;" | Verbrauch Auftrag 22.09.2026: 1. Gebucht 27.09.2026."</f>
        <v>Standard-THT-Stiftleiste mit 11,6 mm Gesamtlänge, vergoldeten Kontakten und 3 A Nennstrom. Die Bestückung von der Modulunterseite und die dafür passende Pinorientierung werden durch den Projekt-Footprint PinHeader_2x07_P2.54mm_Vertical_Bottom festgelegt. Einzelpreis inkl. MwSt., Stand 2026-09-01; Preis und Verfügbarkeit vor Bestellung prüfen. | Verbrauch Auftrag 22.09.2026: 1. Gebucht 27.09.2026.</v>
      </c>
      <c r="N63" s="58"/>
      <c r="O63" s="59" t="s">
        <v>85</v>
      </c>
      <c r="S63" t="str">
        <f>IF(O63="drucken",COUNTIF($O$5:O63,"drucken"),"")</f>
        <v/>
      </c>
    </row>
    <row r="64" spans="1:19" ht="26.25" customHeight="1" x14ac:dyDescent="0.2">
      <c r="A64" t="s">
        <v>151</v>
      </c>
      <c r="B64" t="str">
        <f>IFERROR(IF(VLOOKUP($A64,Parts!$A$2:$M$191,2,FALSE())=0,"",VLOOKUP($A64,Parts!$A$2:$M$191,2,FALSE())),"")</f>
        <v>PCB</v>
      </c>
      <c r="C64" s="45" t="str">
        <f>IFERROR(IF(VLOOKUP($A64,Parts!$A$2:$M$191,3,FALSE())=0,"",VLOOKUP($A64,Parts!$A$2:$M$191,3,FALSE())),"")</f>
        <v>Empty FullSize SMD PCB</v>
      </c>
      <c r="D64" s="45" t="str">
        <f>IFERROR(IF(VLOOKUP($A64,Parts!$A$2:$M$191,4,FALSE())=0,"",VLOOKUP($A64,Parts!$A$2:$M$191,4,FALSE())),"")</f>
        <v>Revision offen</v>
      </c>
      <c r="E64" s="45" t="str">
        <f>IFERROR(IF(VLOOKUP($A64,Parts!$A$2:$M$191,5,FALSE())=0,"",VLOOKUP($A64,Parts!$A$2:$M$191,5,FALSE())),"")</f>
        <v>PCB: Modules/FullSize/Empty-SMD/Empty-SMD.kicad_pcb</v>
      </c>
      <c r="F64" t="str">
        <f>IFERROR(IF(VLOOKUP($A64,Parts!$A$2:$M$191,6,FALSE())=0,"",VLOOKUP($A64,Parts!$A$2:$M$191,6,FALSE())),"")</f>
        <v>JLCPCB</v>
      </c>
      <c r="G64" t="str">
        <f>IFERROR(IF(VLOOKUP($A64,Parts!$A$2:$M$191,7,FALSE())=0,"",VLOOKUP($A64,Parts!$A$2:$M$191,7,FALSE())),"")</f>
        <v/>
      </c>
      <c r="H64" s="56" t="str">
        <f>IFERROR(IF(_xlfn.XLOOKUP($A64&amp;"|Ja",Part_Suppliers!$L$2:$L$300,Part_Suppliers!$B$2:$B$300,"",0)=0,"",_xlfn.XLOOKUP($A64&amp;"|Ja",Part_Suppliers!$L$2:$L$300,Part_Suppliers!$B$2:$B$300,"",0)),"")</f>
        <v>JLCPCB</v>
      </c>
      <c r="I64" t="str">
        <f>IFERROR(IF(_xlfn.XLOOKUP($A64&amp;"|Ja",Part_Suppliers!$L$2:$L$300,Part_Suppliers!$C$2:$C$300,"",0)=0,"",_xlfn.XLOOKUP($A64&amp;"|Ja",Part_Suppliers!$L$2:$L$300,Part_Suppliers!$C$2:$C$300,"",0)),"")</f>
        <v/>
      </c>
      <c r="J64" s="57">
        <v>0</v>
      </c>
      <c r="K64" s="57">
        <v>0</v>
      </c>
      <c r="L64" s="45" t="str">
        <f>IFERROR(IF(VLOOKUP($A64,Parts!$A$2:$M$191,8,FALSE())=0,"",VLOOKUP($A64,Parts!$A$2:$M$191,8,FALSE())),"")</f>
        <v>Empty FullSize SMD</v>
      </c>
      <c r="M64" s="45" t="str">
        <f>IFERROR(IF(VLOOKUP($A64,Parts!$A$2:$M$191,12,FALSE())=0,"",VLOOKUP($A64,Parts!$A$2:$M$191,12,FALSE())),"")</f>
        <v>Aktueller KiCad-Stand; Revision, Fertiger und konkrete Fertigungsvariante festlegen.</v>
      </c>
      <c r="N64" s="58"/>
      <c r="O64" s="59" t="s">
        <v>85</v>
      </c>
      <c r="S64" t="str">
        <f>IF(O64="drucken",COUNTIF($O$5:O64,"drucken"),"")</f>
        <v/>
      </c>
    </row>
    <row r="65" spans="1:19" ht="26.25" customHeight="1" x14ac:dyDescent="0.2">
      <c r="A65" t="s">
        <v>152</v>
      </c>
      <c r="B65" t="str">
        <f>IFERROR(IF(VLOOKUP($A65,Parts!$A$2:$M$191,2,FALSE())=0,"",VLOOKUP($A65,Parts!$A$2:$M$191,2,FALSE())),"")</f>
        <v>PCB</v>
      </c>
      <c r="C65" s="45" t="str">
        <f>IFERROR(IF(VLOOKUP($A65,Parts!$A$2:$M$191,3,FALSE())=0,"",VLOOKUP($A65,Parts!$A$2:$M$191,3,FALSE())),"")</f>
        <v>Empty FullSize THT PCB</v>
      </c>
      <c r="D65" s="45" t="str">
        <f>IFERROR(IF(VLOOKUP($A65,Parts!$A$2:$M$191,4,FALSE())=0,"",VLOOKUP($A65,Parts!$A$2:$M$191,4,FALSE())),"")</f>
        <v>Revision offen</v>
      </c>
      <c r="E65" s="45" t="str">
        <f>IFERROR(IF(VLOOKUP($A65,Parts!$A$2:$M$191,5,FALSE())=0,"",VLOOKUP($A65,Parts!$A$2:$M$191,5,FALSE())),"")</f>
        <v>PCB: Modules/FullSize/Empty-THT/Empty-THT.kicad_pcb</v>
      </c>
      <c r="F65" t="str">
        <f>IFERROR(IF(VLOOKUP($A65,Parts!$A$2:$M$191,6,FALSE())=0,"",VLOOKUP($A65,Parts!$A$2:$M$191,6,FALSE())),"")</f>
        <v>JLCPCB</v>
      </c>
      <c r="G65" t="str">
        <f>IFERROR(IF(VLOOKUP($A65,Parts!$A$2:$M$191,7,FALSE())=0,"",VLOOKUP($A65,Parts!$A$2:$M$191,7,FALSE())),"")</f>
        <v/>
      </c>
      <c r="H65" s="56" t="str">
        <f>IFERROR(IF(_xlfn.XLOOKUP($A65&amp;"|Ja",Part_Suppliers!$L$2:$L$300,Part_Suppliers!$B$2:$B$300,"",0)=0,"",_xlfn.XLOOKUP($A65&amp;"|Ja",Part_Suppliers!$L$2:$L$300,Part_Suppliers!$B$2:$B$300,"",0)),"")</f>
        <v>JLCPCB</v>
      </c>
      <c r="I65" t="str">
        <f>IFERROR(IF(_xlfn.XLOOKUP($A65&amp;"|Ja",Part_Suppliers!$L$2:$L$300,Part_Suppliers!$C$2:$C$300,"",0)=0,"",_xlfn.XLOOKUP($A65&amp;"|Ja",Part_Suppliers!$L$2:$L$300,Part_Suppliers!$C$2:$C$300,"",0)),"")</f>
        <v/>
      </c>
      <c r="J65" s="57">
        <v>0</v>
      </c>
      <c r="K65" s="57">
        <v>0</v>
      </c>
      <c r="L65" s="45" t="str">
        <f>IFERROR(IF(VLOOKUP($A65,Parts!$A$2:$M$191,8,FALSE())=0,"",VLOOKUP($A65,Parts!$A$2:$M$191,8,FALSE())),"")</f>
        <v>Empty FullSize THT</v>
      </c>
      <c r="M65" s="45" t="str">
        <f>IFERROR(IF(VLOOKUP($A65,Parts!$A$2:$M$191,12,FALSE())=0,"",VLOOKUP($A65,Parts!$A$2:$M$191,12,FALSE())),"")</f>
        <v>Aktueller KiCad-Stand; Revision, Fertiger und konkrete Fertigungsvariante festlegen.</v>
      </c>
      <c r="N65" s="58"/>
      <c r="O65" s="59" t="s">
        <v>85</v>
      </c>
      <c r="S65" t="str">
        <f>IF(O65="drucken",COUNTIF($O$5:O65,"drucken"),"")</f>
        <v/>
      </c>
    </row>
    <row r="66" spans="1:19" ht="26.25" customHeight="1" x14ac:dyDescent="0.2">
      <c r="A66" t="s">
        <v>153</v>
      </c>
      <c r="B66" t="str">
        <f>IFERROR(IF(VLOOKUP($A66,Parts!$A$2:$M$191,2,FALSE())=0,"",VLOOKUP($A66,Parts!$A$2:$M$191,2,FALSE())),"")</f>
        <v>PCB</v>
      </c>
      <c r="C66" s="45" t="str">
        <f>IFERROR(IF(VLOOKUP($A66,Parts!$A$2:$M$191,3,FALSE())=0,"",VLOOKUP($A66,Parts!$A$2:$M$191,3,FALSE())),"")</f>
        <v>Empty HalfSize SMD PCB</v>
      </c>
      <c r="D66" s="45" t="str">
        <f>IFERROR(IF(VLOOKUP($A66,Parts!$A$2:$M$191,4,FALSE())=0,"",VLOOKUP($A66,Parts!$A$2:$M$191,4,FALSE())),"")</f>
        <v>Revision offen</v>
      </c>
      <c r="E66" s="45" t="str">
        <f>IFERROR(IF(VLOOKUP($A66,Parts!$A$2:$M$191,5,FALSE())=0,"",VLOOKUP($A66,Parts!$A$2:$M$191,5,FALSE())),"")</f>
        <v>PCB: Modules/HalfSize/Empty-SMD/Empty-SMD.kicad_pcb</v>
      </c>
      <c r="F66" t="str">
        <f>IFERROR(IF(VLOOKUP($A66,Parts!$A$2:$M$191,6,FALSE())=0,"",VLOOKUP($A66,Parts!$A$2:$M$191,6,FALSE())),"")</f>
        <v>JLCPCB</v>
      </c>
      <c r="G66" t="str">
        <f>IFERROR(IF(VLOOKUP($A66,Parts!$A$2:$M$191,7,FALSE())=0,"",VLOOKUP($A66,Parts!$A$2:$M$191,7,FALSE())),"")</f>
        <v/>
      </c>
      <c r="H66" s="56" t="str">
        <f>IFERROR(IF(_xlfn.XLOOKUP($A66&amp;"|Ja",Part_Suppliers!$L$2:$L$300,Part_Suppliers!$B$2:$B$300,"",0)=0,"",_xlfn.XLOOKUP($A66&amp;"|Ja",Part_Suppliers!$L$2:$L$300,Part_Suppliers!$B$2:$B$300,"",0)),"")</f>
        <v>JLCPCB</v>
      </c>
      <c r="I66" t="str">
        <f>IFERROR(IF(_xlfn.XLOOKUP($A66&amp;"|Ja",Part_Suppliers!$L$2:$L$300,Part_Suppliers!$C$2:$C$300,"",0)=0,"",_xlfn.XLOOKUP($A66&amp;"|Ja",Part_Suppliers!$L$2:$L$300,Part_Suppliers!$C$2:$C$300,"",0)),"")</f>
        <v/>
      </c>
      <c r="J66" s="57">
        <v>0</v>
      </c>
      <c r="K66" s="57">
        <v>0</v>
      </c>
      <c r="L66" s="45" t="str">
        <f>IFERROR(IF(VLOOKUP($A66,Parts!$A$2:$M$191,8,FALSE())=0,"",VLOOKUP($A66,Parts!$A$2:$M$191,8,FALSE())),"")</f>
        <v>Empty HalfSize SMD</v>
      </c>
      <c r="M66" s="45" t="str">
        <f>IFERROR(IF(VLOOKUP($A66,Parts!$A$2:$M$191,12,FALSE())=0,"",VLOOKUP($A66,Parts!$A$2:$M$191,12,FALSE())),"")</f>
        <v>Aktueller KiCad-Stand; Revision, Fertiger und konkrete Fertigungsvariante festlegen.</v>
      </c>
      <c r="N66" s="58"/>
      <c r="O66" s="59" t="s">
        <v>85</v>
      </c>
      <c r="S66" t="str">
        <f>IF(O66="drucken",COUNTIF($O$5:O66,"drucken"),"")</f>
        <v/>
      </c>
    </row>
    <row r="67" spans="1:19" ht="26.25" customHeight="1" x14ac:dyDescent="0.2">
      <c r="A67" t="s">
        <v>154</v>
      </c>
      <c r="B67" t="str">
        <f>IFERROR(IF(VLOOKUP($A67,Parts!$A$2:$M$191,2,FALSE())=0,"",VLOOKUP($A67,Parts!$A$2:$M$191,2,FALSE())),"")</f>
        <v>PCB</v>
      </c>
      <c r="C67" s="45" t="str">
        <f>IFERROR(IF(VLOOKUP($A67,Parts!$A$2:$M$191,3,FALSE())=0,"",VLOOKUP($A67,Parts!$A$2:$M$191,3,FALSE())),"")</f>
        <v>Empty HalfSize THT PCB</v>
      </c>
      <c r="D67" s="45" t="str">
        <f>IFERROR(IF(VLOOKUP($A67,Parts!$A$2:$M$191,4,FALSE())=0,"",VLOOKUP($A67,Parts!$A$2:$M$191,4,FALSE())),"")</f>
        <v>Revision offen</v>
      </c>
      <c r="E67" s="45" t="str">
        <f>IFERROR(IF(VLOOKUP($A67,Parts!$A$2:$M$191,5,FALSE())=0,"",VLOOKUP($A67,Parts!$A$2:$M$191,5,FALSE())),"")</f>
        <v>PCB: Modules/HalfSize/Empty-THT/Empty-THT.kicad_pcb</v>
      </c>
      <c r="F67" t="str">
        <f>IFERROR(IF(VLOOKUP($A67,Parts!$A$2:$M$191,6,FALSE())=0,"",VLOOKUP($A67,Parts!$A$2:$M$191,6,FALSE())),"")</f>
        <v>JLCPCB</v>
      </c>
      <c r="G67" t="str">
        <f>IFERROR(IF(VLOOKUP($A67,Parts!$A$2:$M$191,7,FALSE())=0,"",VLOOKUP($A67,Parts!$A$2:$M$191,7,FALSE())),"")</f>
        <v/>
      </c>
      <c r="H67" s="56" t="str">
        <f>IFERROR(IF(_xlfn.XLOOKUP($A67&amp;"|Ja",Part_Suppliers!$L$2:$L$300,Part_Suppliers!$B$2:$B$300,"",0)=0,"",_xlfn.XLOOKUP($A67&amp;"|Ja",Part_Suppliers!$L$2:$L$300,Part_Suppliers!$B$2:$B$300,"",0)),"")</f>
        <v>JLCPCB</v>
      </c>
      <c r="I67" t="str">
        <f>IFERROR(IF(_xlfn.XLOOKUP($A67&amp;"|Ja",Part_Suppliers!$L$2:$L$300,Part_Suppliers!$C$2:$C$300,"",0)=0,"",_xlfn.XLOOKUP($A67&amp;"|Ja",Part_Suppliers!$L$2:$L$300,Part_Suppliers!$C$2:$C$300,"",0)),"")</f>
        <v/>
      </c>
      <c r="J67" s="57">
        <v>0</v>
      </c>
      <c r="K67" s="57">
        <v>0</v>
      </c>
      <c r="L67" s="45" t="str">
        <f>IFERROR(IF(VLOOKUP($A67,Parts!$A$2:$M$191,8,FALSE())=0,"",VLOOKUP($A67,Parts!$A$2:$M$191,8,FALSE())),"")</f>
        <v>Empty HalfSize THT</v>
      </c>
      <c r="M67" s="45" t="str">
        <f>IFERROR(IF(VLOOKUP($A67,Parts!$A$2:$M$191,12,FALSE())=0,"",VLOOKUP($A67,Parts!$A$2:$M$191,12,FALSE())),"")</f>
        <v>Aktueller KiCad-Stand; Revision, Fertiger und konkrete Fertigungsvariante festlegen.</v>
      </c>
      <c r="N67" s="58"/>
      <c r="O67" s="59" t="s">
        <v>85</v>
      </c>
      <c r="S67" t="str">
        <f>IF(O67="drucken",COUNTIF($O$5:O67,"drucken"),"")</f>
        <v/>
      </c>
    </row>
    <row r="68" spans="1:19" ht="52.75" customHeight="1" x14ac:dyDescent="0.2">
      <c r="A68" t="s">
        <v>155</v>
      </c>
      <c r="B68" t="str">
        <f>IFERROR(IF(VLOOKUP($A68,Parts!$A$2:$M$191,2,FALSE())=0,"",VLOOKUP($A68,Parts!$A$2:$M$191,2,FALSE())),"")</f>
        <v>LED</v>
      </c>
      <c r="C68" s="45" t="str">
        <f>IFERROR(IF(VLOOKUP($A68,Parts!$A$2:$M$191,3,FALSE())=0,"",VLOOKUP($A68,Parts!$A$2:$M$191,3,FALSE())),"")</f>
        <v>LED SMD 1206, rot</v>
      </c>
      <c r="D68" s="45" t="str">
        <f>IFERROR(IF(VLOOKUP($A68,Parts!$A$2:$M$191,4,FALSE())=0,"",VLOOKUP($A68,Parts!$A$2:$M$191,4,FALSE())),"")</f>
        <v>Hyperrot, 645 nm, 250 mcd, 140°, Vf 2,0–2,5 V, IF max. 30 mA</v>
      </c>
      <c r="E68" s="45" t="str">
        <f>IFERROR(IF(VLOOKUP($A68,Parts!$A$2:$M$191,5,FALSE())=0,"",VLOOKUP($A68,Parts!$A$2:$M$191,5,FALSE())),"")</f>
        <v>LED_SMD:LED_1206_3216Metric_Pad1.42x1.75mm_HandSolder</v>
      </c>
      <c r="F68" t="str">
        <f>IFERROR(IF(VLOOKUP($A68,Parts!$A$2:$M$191,6,FALSE())=0,"",VLOOKUP($A68,Parts!$A$2:$M$191,6,FALSE())),"")</f>
        <v>Kingbright</v>
      </c>
      <c r="G68" t="str">
        <f>IFERROR(IF(VLOOKUP($A68,Parts!$A$2:$M$191,7,FALSE())=0,"",VLOOKUP($A68,Parts!$A$2:$M$191,7,FALSE())),"")</f>
        <v>KP-3216SURC</v>
      </c>
      <c r="H68" s="56" t="str">
        <f>IFERROR(IF(_xlfn.XLOOKUP($A68&amp;"|Ja",Part_Suppliers!$L$2:$L$300,Part_Suppliers!$B$2:$B$300,"",0)=0,"",_xlfn.XLOOKUP($A68&amp;"|Ja",Part_Suppliers!$L$2:$L$300,Part_Suppliers!$B$2:$B$300,"",0)),"")</f>
        <v>Reichelt</v>
      </c>
      <c r="I68" t="str">
        <f>IFERROR(IF(_xlfn.XLOOKUP($A68&amp;"|Ja",Part_Suppliers!$L$2:$L$300,Part_Suppliers!$C$2:$C$300,"",0)=0,"",_xlfn.XLOOKUP($A68&amp;"|Ja",Part_Suppliers!$L$2:$L$300,Part_Suppliers!$C$2:$C$300,"",0)),"")</f>
        <v>KBT KP-3216SURC</v>
      </c>
      <c r="J68" s="57">
        <v>18</v>
      </c>
      <c r="K68" s="57">
        <v>0</v>
      </c>
      <c r="L68" s="45" t="str">
        <f>IFERROR(IF(VLOOKUP($A68,Parts!$A$2:$M$191,8,FALSE())=0,"",VLOOKUP($A68,Parts!$A$2:$M$191,8,FALSE())),"")</f>
        <v>DuoRelay Rev 0.2; Aktuell 29.09.2026: DuoRelay FullSize Bausatz Rev 0.3</v>
      </c>
      <c r="M68" s="45" t="str">
        <f>IFERROR(IF(VLOOKUP($A68,Parts!$A$2:$M$191,12,FALSE())=0,"",VLOOKUP($A68,Parts!$A$2:$M$191,12,FALSE())),"")&amp;" | Verbrauch Auftrag 22.09.2026: 2. Gebucht 27.09.2026."</f>
        <v>Kingbright SMD-LED im 1206-/3216-Gehäuse, hyperrot, 250 mcd, 140° Abstrahlwinkel, Bauhöhe 1,1 mm. Im DuoRelay liegen D3/D4 über je 1,5 kΩ an +5 V; bei etwa 2 V Vorwärtsspannung fließen rund 2 mA. | Verbrauch Auftrag 22.09.2026: 2. Gebucht 27.09.2026.</v>
      </c>
      <c r="N68" s="58"/>
      <c r="O68" s="59" t="s">
        <v>85</v>
      </c>
      <c r="S68" t="str">
        <f>IF(O68="drucken",COUNTIF($O$5:O68,"drucken"),"")</f>
        <v/>
      </c>
    </row>
    <row r="69" spans="1:19" ht="39.5" customHeight="1" x14ac:dyDescent="0.2">
      <c r="A69" t="s">
        <v>156</v>
      </c>
      <c r="B69" t="str">
        <f>IFERROR(IF(VLOOKUP($A69,Parts!$A$2:$M$191,2,FALSE())=0,"",VLOOKUP($A69,Parts!$A$2:$M$191,2,FALSE())),"")</f>
        <v>Widerstand</v>
      </c>
      <c r="C69" s="45" t="str">
        <f>IFERROR(IF(VLOOKUP($A69,Parts!$A$2:$M$191,3,FALSE())=0,"",VLOOKUP($A69,Parts!$A$2:$M$191,3,FALSE())),"")</f>
        <v>Widerstand 1,5 kΩ SMD</v>
      </c>
      <c r="D69" s="45" t="str">
        <f>IFERROR(IF(VLOOKUP($A69,Parts!$A$2:$M$191,4,FALSE())=0,"",VLOOKUP($A69,Parts!$A$2:$M$191,4,FALSE())),"")</f>
        <v>1,5 kΩ, 1 %, 0,25 W, 1206</v>
      </c>
      <c r="E69" s="45" t="str">
        <f>IFERROR(IF(VLOOKUP($A69,Parts!$A$2:$M$191,5,FALSE())=0,"",VLOOKUP($A69,Parts!$A$2:$M$191,5,FALSE())),"")</f>
        <v>Resistor_SMD:R_1206_3216Metric_Pad1.30x1.75mm_HandSolder</v>
      </c>
      <c r="F69" t="str">
        <f>IFERROR(IF(VLOOKUP($A69,Parts!$A$2:$M$191,6,FALSE())=0,"",VLOOKUP($A69,Parts!$A$2:$M$191,6,FALSE())),"")</f>
        <v>Vishay</v>
      </c>
      <c r="G69" t="str">
        <f>IFERROR(IF(VLOOKUP($A69,Parts!$A$2:$M$191,7,FALSE())=0,"",VLOOKUP($A69,Parts!$A$2:$M$191,7,FALSE())),"")</f>
        <v>CRCW12061K50FKEA</v>
      </c>
      <c r="H69" s="56" t="str">
        <f>IFERROR(IF(_xlfn.XLOOKUP($A69&amp;"|Ja",Part_Suppliers!$L$2:$L$300,Part_Suppliers!$B$2:$B$300,"",0)=0,"",_xlfn.XLOOKUP($A69&amp;"|Ja",Part_Suppliers!$L$2:$L$300,Part_Suppliers!$B$2:$B$300,"",0)),"")</f>
        <v>Reichelt</v>
      </c>
      <c r="I69" t="str">
        <f>IFERROR(IF(_xlfn.XLOOKUP($A69&amp;"|Ja",Part_Suppliers!$L$2:$L$300,Part_Suppliers!$C$2:$C$300,"",0)=0,"",_xlfn.XLOOKUP($A69&amp;"|Ja",Part_Suppliers!$L$2:$L$300,Part_Suppliers!$C$2:$C$300,"",0)),"")</f>
        <v>VIS CRCW12061K5</v>
      </c>
      <c r="J69" s="57">
        <v>18</v>
      </c>
      <c r="K69" s="57">
        <v>0</v>
      </c>
      <c r="L69" s="45" t="s">
        <v>1377</v>
      </c>
      <c r="M69" s="45" t="str">
        <f>IFERROR(IF(VLOOKUP($A69,Parts!$A$2:$M$191,12,FALSE())=0,"",VLOOKUP($A69,Parts!$A$2:$M$191,12,FALSE())),"")&amp;" | Verbrauch Auftrag 22.09.2026: 2. Gebucht 27.09.2026. Negativer Bestand: Wareneingang/Artikelzuordnung klären."</f>
        <v>Exakt passend als Vorwiderstand der Relais-LEDs. Einzelpreis, Stand 2026-09-01; Preis und Verfügbarkeit vor Bestellung prüfen. | Verbrauch Auftrag 22.09.2026: 2. Gebucht 27.09.2026. Negativer Bestand: Wareneingang/Artikelzuordnung klären.</v>
      </c>
      <c r="N69" s="58"/>
      <c r="O69" s="59" t="s">
        <v>85</v>
      </c>
      <c r="S69" t="str">
        <f>IF(O69="drucken",COUNTIF($O$5:O69,"drucken"),"")</f>
        <v/>
      </c>
    </row>
    <row r="70" spans="1:19" ht="26.25" customHeight="1" x14ac:dyDescent="0.2">
      <c r="A70" t="s">
        <v>157</v>
      </c>
      <c r="B70" t="str">
        <f>IFERROR(IF(VLOOKUP($A70,Parts!$A$2:$M$191,2,FALSE())=0,"",VLOOKUP($A70,Parts!$A$2:$M$191,2,FALSE())),"")</f>
        <v>PCB</v>
      </c>
      <c r="C70" s="45" t="str">
        <f>IFERROR(IF(VLOOKUP($A70,Parts!$A$2:$M$191,3,FALSE())=0,"",VLOOKUP($A70,Parts!$A$2:$M$191,3,FALSE())),"")</f>
        <v>DuoRelay FullSize PCB Rev 0.2</v>
      </c>
      <c r="D70" s="45" t="str">
        <f>IFERROR(IF(VLOOKUP($A70,Parts!$A$2:$M$191,4,FALSE())=0,"",VLOOKUP($A70,Parts!$A$2:$M$191,4,FALSE())),"")</f>
        <v>Revision 0.2</v>
      </c>
      <c r="E70" s="45" t="str">
        <f>IFERROR(IF(VLOOKUP($A70,Parts!$A$2:$M$191,5,FALSE())=0,"",VLOOKUP($A70,Parts!$A$2:$M$191,5,FALSE())),"")</f>
        <v>PCB: Modules/FullSize/DuoRelay/DuoRelay.kicad_pcb</v>
      </c>
      <c r="F70" t="str">
        <f>IFERROR(IF(VLOOKUP($A70,Parts!$A$2:$M$191,6,FALSE())=0,"",VLOOKUP($A70,Parts!$A$2:$M$191,6,FALSE())),"")</f>
        <v>JLCPCB</v>
      </c>
      <c r="G70" t="str">
        <f>IFERROR(IF(VLOOKUP($A70,Parts!$A$2:$M$191,7,FALSE())=0,"",VLOOKUP($A70,Parts!$A$2:$M$191,7,FALSE())),"")</f>
        <v/>
      </c>
      <c r="H70" s="56" t="str">
        <f>IFERROR(IF(_xlfn.XLOOKUP($A70&amp;"|Ja",Part_Suppliers!$L$2:$L$300,Part_Suppliers!$B$2:$B$300,"",0)=0,"",_xlfn.XLOOKUP($A70&amp;"|Ja",Part_Suppliers!$L$2:$L$300,Part_Suppliers!$B$2:$B$300,"",0)),"")</f>
        <v>JLCPCB</v>
      </c>
      <c r="I70" t="str">
        <f>IFERROR(IF(_xlfn.XLOOKUP($A70&amp;"|Ja",Part_Suppliers!$L$2:$L$300,Part_Suppliers!$C$2:$C$300,"",0)=0,"",_xlfn.XLOOKUP($A70&amp;"|Ja",Part_Suppliers!$L$2:$L$300,Part_Suppliers!$C$2:$C$300,"",0)),"")</f>
        <v/>
      </c>
      <c r="J70" s="57">
        <v>0</v>
      </c>
      <c r="K70" s="57">
        <v>0</v>
      </c>
      <c r="L70" s="45" t="str">
        <f>IFERROR(IF(VLOOKUP($A70,Parts!$A$2:$M$191,8,FALSE())=0,"",VLOOKUP($A70,Parts!$A$2:$M$191,8,FALSE())),"")</f>
        <v>DuoRelay Rev 0.2</v>
      </c>
      <c r="M70" s="45" t="str">
        <f>IFERROR(IF(VLOOKUP($A70,Parts!$A$2:$M$191,12,FALSE())=0,"",VLOOKUP($A70,Parts!$A$2:$M$191,12,FALSE())),"")</f>
        <v>Aktueller KiCad-Stand; Fertiger und konkrete Fertigungsvariante festlegen.</v>
      </c>
      <c r="N70" s="58"/>
      <c r="O70" s="59" t="s">
        <v>85</v>
      </c>
      <c r="S70" t="str">
        <f>IF(O70="drucken",COUNTIF($O$5:O70,"drucken"),"")</f>
        <v/>
      </c>
    </row>
    <row r="71" spans="1:19" ht="39.5" customHeight="1" x14ac:dyDescent="0.2">
      <c r="A71" t="s">
        <v>158</v>
      </c>
      <c r="B71" t="str">
        <f>IFERROR(IF(VLOOKUP($A71,Parts!$A$2:$M$191,2,FALSE())=0,"",VLOOKUP($A71,Parts!$A$2:$M$191,2,FALSE())),"")</f>
        <v>Kondensator</v>
      </c>
      <c r="C71" s="45" t="str">
        <f>IFERROR(IF(VLOOKUP($A71,Parts!$A$2:$M$191,3,FALSE())=0,"",VLOOKUP($A71,Parts!$A$2:$M$191,3,FALSE())),"")</f>
        <v>Keramikkondensator 4,7 µF SMD</v>
      </c>
      <c r="D71" s="45" t="str">
        <f>IFERROR(IF(VLOOKUP($A71,Parts!$A$2:$M$191,4,FALSE())=0,"",VLOOKUP($A71,Parts!$A$2:$M$191,4,FALSE())),"")</f>
        <v>4,7 µF, 25 V, X7R, ±10 %, 1206</v>
      </c>
      <c r="E71" s="45" t="str">
        <f>IFERROR(IF(VLOOKUP($A71,Parts!$A$2:$M$191,5,FALSE())=0,"",VLOOKUP($A71,Parts!$A$2:$M$191,5,FALSE())),"")</f>
        <v>Capacitor_SMD:C_1206_3216Metric_Pad1.33x1.80mm_HandSolder</v>
      </c>
      <c r="F71" t="str">
        <f>IFERROR(IF(VLOOKUP($A71,Parts!$A$2:$M$191,6,FALSE())=0,"",VLOOKUP($A71,Parts!$A$2:$M$191,6,FALSE())),"")</f>
        <v>Samsung Electro-Mechanics</v>
      </c>
      <c r="G71" t="str">
        <f>IFERROR(IF(VLOOKUP($A71,Parts!$A$2:$M$191,7,FALSE())=0,"",VLOOKUP($A71,Parts!$A$2:$M$191,7,FALSE())),"")</f>
        <v>CL31B475KAHNNNE</v>
      </c>
      <c r="H71" s="56" t="str">
        <f>IFERROR(IF(_xlfn.XLOOKUP($A71&amp;"|Ja",Part_Suppliers!$L$2:$L$300,Part_Suppliers!$B$2:$B$300,"",0)=0,"",_xlfn.XLOOKUP($A71&amp;"|Ja",Part_Suppliers!$L$2:$L$300,Part_Suppliers!$B$2:$B$300,"",0)),"")</f>
        <v>Reichelt</v>
      </c>
      <c r="I71" t="str">
        <f>IFERROR(IF(_xlfn.XLOOKUP($A71&amp;"|Ja",Part_Suppliers!$L$2:$L$300,Part_Suppliers!$C$2:$C$300,"",0)=0,"",_xlfn.XLOOKUP($A71&amp;"|Ja",Part_Suppliers!$L$2:$L$300,Part_Suppliers!$C$2:$C$300,"",0)),"")</f>
        <v>CL31B475KAHNNNE</v>
      </c>
      <c r="J71" s="57">
        <v>20</v>
      </c>
      <c r="K71" s="57">
        <v>0</v>
      </c>
      <c r="L71" s="45" t="str">
        <f>IFERROR(IF(VLOOKUP($A71,Parts!$A$2:$M$191,8,FALSE())=0,"",VLOOKUP($A71,Parts!$A$2:$M$191,8,FALSE())),"")</f>
        <v>AnalogHydroPressure</v>
      </c>
      <c r="M71" s="45" t="str">
        <f>IFERROR(IF(VLOOKUP($A71,Parts!$A$2:$M$191,12,FALSE())=0,"",VLOOKUP($A71,Parts!$A$2:$M$191,12,FALSE())),"")</f>
        <v>25-V-Ausführung übertrifft die geforderten mindestens 10 V. Einzelpreis, Stand 2026-09-01; Preis und Verfügbarkeit vor Bestellung prüfen.</v>
      </c>
      <c r="N71" s="58"/>
      <c r="O71" s="59" t="s">
        <v>85</v>
      </c>
      <c r="S71" t="str">
        <f>IF(O71="drucken",COUNTIF($O$5:O71,"drucken"),"")</f>
        <v/>
      </c>
    </row>
    <row r="72" spans="1:19" ht="39.5" customHeight="1" x14ac:dyDescent="0.2">
      <c r="A72" t="s">
        <v>159</v>
      </c>
      <c r="B72" t="str">
        <f>IFERROR(IF(VLOOKUP($A72,Parts!$A$2:$M$191,2,FALSE())=0,"",VLOOKUP($A72,Parts!$A$2:$M$191,2,FALSE())),"")</f>
        <v>Kondensator</v>
      </c>
      <c r="C72" s="45" t="str">
        <f>IFERROR(IF(VLOOKUP($A72,Parts!$A$2:$M$191,3,FALSE())=0,"",VLOOKUP($A72,Parts!$A$2:$M$191,3,FALSE())),"")</f>
        <v>Keramikkondensator 4,7 µF SMD</v>
      </c>
      <c r="D72" s="45" t="str">
        <f>IFERROR(IF(VLOOKUP($A72,Parts!$A$2:$M$191,4,FALSE())=0,"",VLOOKUP($A72,Parts!$A$2:$M$191,4,FALSE())),"")</f>
        <v>4,7 µF, 50 V, X7R, ±10 %, 1210</v>
      </c>
      <c r="E72" s="45" t="str">
        <f>IFERROR(IF(VLOOKUP($A72,Parts!$A$2:$M$191,5,FALSE())=0,"",VLOOKUP($A72,Parts!$A$2:$M$191,5,FALSE())),"")</f>
        <v>Capacitor_SMD:C_1210_3225Metric_Pad1.33x2.70mm_HandSolder</v>
      </c>
      <c r="F72" t="str">
        <f>IFERROR(IF(VLOOKUP($A72,Parts!$A$2:$M$191,6,FALSE())=0,"",VLOOKUP($A72,Parts!$A$2:$M$191,6,FALSE())),"")</f>
        <v>Samsung Electro-Mechanics</v>
      </c>
      <c r="G72" t="str">
        <f>IFERROR(IF(VLOOKUP($A72,Parts!$A$2:$M$191,7,FALSE())=0,"",VLOOKUP($A72,Parts!$A$2:$M$191,7,FALSE())),"")</f>
        <v>CL32B475KBJVPNE</v>
      </c>
      <c r="H72" s="56" t="str">
        <f>IFERROR(IF(_xlfn.XLOOKUP($A72&amp;"|Ja",Part_Suppliers!$L$2:$L$300,Part_Suppliers!$B$2:$B$300,"",0)=0,"",_xlfn.XLOOKUP($A72&amp;"|Ja",Part_Suppliers!$L$2:$L$300,Part_Suppliers!$B$2:$B$300,"",0)),"")</f>
        <v>Reichelt</v>
      </c>
      <c r="I72" t="str">
        <f>IFERROR(IF(_xlfn.XLOOKUP($A72&amp;"|Ja",Part_Suppliers!$L$2:$L$300,Part_Suppliers!$C$2:$C$300,"",0)=0,"",_xlfn.XLOOKUP($A72&amp;"|Ja",Part_Suppliers!$L$2:$L$300,Part_Suppliers!$C$2:$C$300,"",0)),"")</f>
        <v>CL32B475KBJVPNE</v>
      </c>
      <c r="J72" s="57">
        <v>4</v>
      </c>
      <c r="K72" s="57">
        <v>0</v>
      </c>
      <c r="L72" s="45" t="str">
        <f>IFERROR(IF(VLOOKUP($A72,Parts!$A$2:$M$191,8,FALSE())=0,"",VLOOKUP($A72,Parts!$A$2:$M$191,8,FALSE())),"")</f>
        <v>AnalogHydroPressure</v>
      </c>
      <c r="M72" s="45" t="str">
        <f>IFERROR(IF(VLOOKUP($A72,Parts!$A$2:$M$191,12,FALSE())=0,"",VLOOKUP($A72,Parts!$A$2:$M$191,12,FALSE())),"")</f>
        <v>Passende 50-V-/1210-Ausführung für den Ausgang des 24-V-Boosters. Einzelpreis, Stand 2026-09-01; Preis und Verfügbarkeit vor Bestellung prüfen.</v>
      </c>
      <c r="N72" s="58"/>
      <c r="O72" s="59" t="s">
        <v>85</v>
      </c>
      <c r="S72" t="str">
        <f>IF(O72="drucken",COUNTIF($O$5:O72,"drucken"),"")</f>
        <v/>
      </c>
    </row>
    <row r="73" spans="1:19" ht="52.75" customHeight="1" x14ac:dyDescent="0.2">
      <c r="A73" t="s">
        <v>160</v>
      </c>
      <c r="B73" t="str">
        <f>IFERROR(IF(VLOOKUP($A73,Parts!$A$2:$M$191,2,FALSE())=0,"",VLOOKUP($A73,Parts!$A$2:$M$191,2,FALSE())),"")</f>
        <v>Diode</v>
      </c>
      <c r="C73" s="45" t="str">
        <f>IFERROR(IF(VLOOKUP($A73,Parts!$A$2:$M$191,3,FALSE())=0,"",VLOOKUP($A73,Parts!$A$2:$M$191,3,FALSE())),"")</f>
        <v>Schottky-Diode SMD</v>
      </c>
      <c r="D73" s="45" t="str">
        <f>IFERROR(IF(VLOOKUP($A73,Parts!$A$2:$M$191,4,FALSE())=0,"",VLOOKUP($A73,Parts!$A$2:$M$191,4,FALSE())),"")</f>
        <v>Typ und elektrische Daten offen</v>
      </c>
      <c r="E73" s="45" t="str">
        <f>IFERROR(IF(VLOOKUP($A73,Parts!$A$2:$M$191,5,FALSE())=0,"",VLOOKUP($A73,Parts!$A$2:$M$191,5,FALSE())),"")</f>
        <v>Diode_SMD:D_SOD-323F</v>
      </c>
      <c r="F73" t="str">
        <f>IFERROR(IF(VLOOKUP($A73,Parts!$A$2:$M$191,6,FALSE())=0,"",VLOOKUP($A73,Parts!$A$2:$M$191,6,FALSE())),"")</f>
        <v/>
      </c>
      <c r="G73" t="str">
        <f>IFERROR(IF(VLOOKUP($A73,Parts!$A$2:$M$191,7,FALSE())=0,"",VLOOKUP($A73,Parts!$A$2:$M$191,7,FALSE())),"")</f>
        <v/>
      </c>
      <c r="H73" s="56" t="str">
        <f>IFERROR(IF(_xlfn.XLOOKUP($A73&amp;"|Ja",Part_Suppliers!$L$2:$L$300,Part_Suppliers!$B$2:$B$300,"",0)=0,"",_xlfn.XLOOKUP($A73&amp;"|Ja",Part_Suppliers!$L$2:$L$300,Part_Suppliers!$B$2:$B$300,"",0)),"")</f>
        <v>Noch festlegen</v>
      </c>
      <c r="I73" t="str">
        <f>IFERROR(IF(_xlfn.XLOOKUP($A73&amp;"|Ja",Part_Suppliers!$L$2:$L$300,Part_Suppliers!$C$2:$C$300,"",0)=0,"",_xlfn.XLOOKUP($A73&amp;"|Ja",Part_Suppliers!$L$2:$L$300,Part_Suppliers!$C$2:$C$300,"",0)),"")</f>
        <v/>
      </c>
      <c r="J73" s="57">
        <v>0</v>
      </c>
      <c r="K73" s="57">
        <v>0</v>
      </c>
      <c r="L73" s="45" t="str">
        <f>IFERROR(IF(VLOOKUP($A73,Parts!$A$2:$M$191,8,FALSE())=0,"",VLOOKUP($A73,Parts!$A$2:$M$191,8,FALSE())),"")</f>
        <v>AnalogHydroPressure Rev 0.2–0.3</v>
      </c>
      <c r="M73" s="45" t="str">
        <f>IFERROR(IF(VLOOKUP($A73,Parts!$A$2:$M$191,12,FALSE())=0,"",VLOOKUP($A73,Parts!$A$2:$M$191,12,FALSE())),"")</f>
        <v>Historischer, elektrisch nicht ausreichend spezifizierter SOD-323F-Artikel. In AnalogHydroPressure Rev. 0.4 durch ENP-00106 ersetzt. Legacy: eindeutige Ausführung fehlt; keine spekulative Hersteller- oder Lieferantenzuordnung.</v>
      </c>
      <c r="N73" s="58"/>
      <c r="O73" s="59" t="s">
        <v>85</v>
      </c>
      <c r="S73" t="str">
        <f>IF(O73="drucken",COUNTIF($O$5:O73,"drucken"),"")</f>
        <v/>
      </c>
    </row>
    <row r="74" spans="1:19" ht="39.5" customHeight="1" x14ac:dyDescent="0.2">
      <c r="A74" t="s">
        <v>161</v>
      </c>
      <c r="B74" t="str">
        <f>IFERROR(IF(VLOOKUP($A74,Parts!$A$2:$M$191,2,FALSE())=0,"",VLOOKUP($A74,Parts!$A$2:$M$191,2,FALSE())),"")</f>
        <v>Induktivität</v>
      </c>
      <c r="C74" s="45" t="str">
        <f>IFERROR(IF(VLOOKUP($A74,Parts!$A$2:$M$191,3,FALSE())=0,"",VLOOKUP($A74,Parts!$A$2:$M$191,3,FALSE())),"")</f>
        <v>Leistungsinduktivität 0,68 µH</v>
      </c>
      <c r="D74" s="45" t="str">
        <f>IFERROR(IF(VLOOKUP($A74,Parts!$A$2:$M$191,4,FALSE())=0,"",VLOOKUP($A74,Parts!$A$2:$M$191,4,FALSE())),"")</f>
        <v>0,68 µH, 11,7 A, DCR 9,2 mΩ, WE-MAPI 4020HT</v>
      </c>
      <c r="E74" s="45" t="str">
        <f>IFERROR(IF(VLOOKUP($A74,Parts!$A$2:$M$191,5,FALSE())=0,"",VLOOKUP($A74,Parts!$A$2:$M$191,5,FALSE())),"")</f>
        <v>Inductor_SMD:L_Wuerth_MAPI-3012</v>
      </c>
      <c r="F74" t="str">
        <f>IFERROR(IF(VLOOKUP($A74,Parts!$A$2:$M$191,6,FALSE())=0,"",VLOOKUP($A74,Parts!$A$2:$M$191,6,FALSE())),"")</f>
        <v>Würth Elektronik</v>
      </c>
      <c r="G74" t="str">
        <f>IFERROR(IF(VLOOKUP($A74,Parts!$A$2:$M$191,7,FALSE())=0,"",VLOOKUP($A74,Parts!$A$2:$M$191,7,FALSE())),"")</f>
        <v>744383560068HT</v>
      </c>
      <c r="H74" s="56" t="str">
        <f>IFERROR(IF(_xlfn.XLOOKUP($A74&amp;"|Ja",Part_Suppliers!$L$2:$L$300,Part_Suppliers!$B$2:$B$300,"",0)=0,"",_xlfn.XLOOKUP($A74&amp;"|Ja",Part_Suppliers!$L$2:$L$300,Part_Suppliers!$B$2:$B$300,"",0)),"")</f>
        <v>DigiKey</v>
      </c>
      <c r="I74" t="str">
        <f>IFERROR(IF(_xlfn.XLOOKUP($A74&amp;"|Ja",Part_Suppliers!$L$2:$L$300,Part_Suppliers!$C$2:$C$300,"",0)=0,"",_xlfn.XLOOKUP($A74&amp;"|Ja",Part_Suppliers!$L$2:$L$300,Part_Suppliers!$C$2:$C$300,"",0)),"")</f>
        <v>732-744383560068HTCT-ND</v>
      </c>
      <c r="J74" s="57">
        <v>2</v>
      </c>
      <c r="K74" s="57">
        <v>0</v>
      </c>
      <c r="L74" s="45" t="str">
        <f>IFERROR(IF(VLOOKUP($A74,Parts!$A$2:$M$191,8,FALSE())=0,"",VLOOKUP($A74,Parts!$A$2:$M$191,8,FALSE())),"")</f>
        <v>AnalogHydroPressure</v>
      </c>
      <c r="M74" s="45" t="str">
        <f>IFERROR(IF(VLOOKUP($A74,Parts!$A$2:$M$191,12,FALSE())=0,"",VLOOKUP($A74,Parts!$A$2:$M$191,12,FALSE())),"")</f>
        <v>Bestellte HT-Ausführung: 680 nH, 11,7 A, DCR 9,2 mΩ. Ersetzt die zuvor vorgesehene 744383560068.</v>
      </c>
      <c r="N74" s="58"/>
      <c r="O74" s="59" t="s">
        <v>85</v>
      </c>
      <c r="S74" t="str">
        <f>IF(O74="drucken",COUNTIF($O$5:O74,"drucken"),"")</f>
        <v/>
      </c>
    </row>
    <row r="75" spans="1:19" ht="26.25" customHeight="1" x14ac:dyDescent="0.2">
      <c r="A75" t="s">
        <v>162</v>
      </c>
      <c r="B75" t="str">
        <f>IFERROR(IF(VLOOKUP($A75,Parts!$A$2:$M$191,2,FALSE())=0,"",VLOOKUP($A75,Parts!$A$2:$M$191,2,FALSE())),"")</f>
        <v>Widerstand</v>
      </c>
      <c r="C75" s="45" t="str">
        <f>IFERROR(IF(VLOOKUP($A75,Parts!$A$2:$M$191,3,FALSE())=0,"",VLOOKUP($A75,Parts!$A$2:$M$191,3,FALSE())),"")</f>
        <v>Widerstand 1 MΩ SMD</v>
      </c>
      <c r="D75" s="45" t="str">
        <f>IFERROR(IF(VLOOKUP($A75,Parts!$A$2:$M$191,4,FALSE())=0,"",VLOOKUP($A75,Parts!$A$2:$M$191,4,FALSE())),"")</f>
        <v>1 MΩ, 1 %, 0,25 W, 1206</v>
      </c>
      <c r="E75" s="45" t="str">
        <f>IFERROR(IF(VLOOKUP($A75,Parts!$A$2:$M$191,5,FALSE())=0,"",VLOOKUP($A75,Parts!$A$2:$M$191,5,FALSE())),"")</f>
        <v>Resistor_SMD:R_1206_3216Metric_Pad1.30x1.75mm_HandSolder</v>
      </c>
      <c r="F75" t="str">
        <f>IFERROR(IF(VLOOKUP($A75,Parts!$A$2:$M$191,6,FALSE())=0,"",VLOOKUP($A75,Parts!$A$2:$M$191,6,FALSE())),"")</f>
        <v>Vishay</v>
      </c>
      <c r="G75" t="str">
        <f>IFERROR(IF(VLOOKUP($A75,Parts!$A$2:$M$191,7,FALSE())=0,"",VLOOKUP($A75,Parts!$A$2:$M$191,7,FALSE())),"")</f>
        <v>CRCW12061M00FKEA</v>
      </c>
      <c r="H75" s="56" t="str">
        <f>IFERROR(IF(_xlfn.XLOOKUP($A75&amp;"|Ja",Part_Suppliers!$L$2:$L$300,Part_Suppliers!$B$2:$B$300,"",0)=0,"",_xlfn.XLOOKUP($A75&amp;"|Ja",Part_Suppliers!$L$2:$L$300,Part_Suppliers!$B$2:$B$300,"",0)),"")</f>
        <v>Reichelt</v>
      </c>
      <c r="I75" t="str">
        <f>IFERROR(IF(_xlfn.XLOOKUP($A75&amp;"|Ja",Part_Suppliers!$L$2:$L$300,Part_Suppliers!$C$2:$C$300,"",0)=0,"",_xlfn.XLOOKUP($A75&amp;"|Ja",Part_Suppliers!$L$2:$L$300,Part_Suppliers!$C$2:$C$300,"",0)),"")</f>
        <v>VIS CRCW12061M0</v>
      </c>
      <c r="J75" s="57">
        <v>20</v>
      </c>
      <c r="K75" s="57">
        <v>0</v>
      </c>
      <c r="L75" s="45" t="str">
        <f>IFERROR(IF(VLOOKUP($A75,Parts!$A$2:$M$191,8,FALSE())=0,"",VLOOKUP($A75,Parts!$A$2:$M$191,8,FALSE())),"")</f>
        <v>AnalogHydroPressure</v>
      </c>
      <c r="M75" s="45" t="str">
        <f>IFERROR(IF(VLOOKUP($A75,Parts!$A$2:$M$191,12,FALSE())=0,"",VLOOKUP($A75,Parts!$A$2:$M$191,12,FALSE())),"")</f>
        <v>Elektrisch und mechanisch passend. Einzelpreis, Stand 2026-09-01; Preis und Verfügbarkeit vor Bestellung prüfen.</v>
      </c>
      <c r="N75" s="58"/>
      <c r="O75" s="59" t="s">
        <v>85</v>
      </c>
      <c r="S75" t="str">
        <f>IF(O75="drucken",COUNTIF($O$5:O75,"drucken"),"")</f>
        <v/>
      </c>
    </row>
    <row r="76" spans="1:19" ht="52.75" customHeight="1" x14ac:dyDescent="0.2">
      <c r="A76" t="s">
        <v>163</v>
      </c>
      <c r="B76" t="str">
        <f>IFERROR(IF(VLOOKUP($A76,Parts!$A$2:$M$191,2,FALSE())=0,"",VLOOKUP($A76,Parts!$A$2:$M$191,2,FALSE())),"")</f>
        <v>Widerstand</v>
      </c>
      <c r="C76" s="45" t="str">
        <f>IFERROR(IF(VLOOKUP($A76,Parts!$A$2:$M$191,3,FALSE())=0,"",VLOOKUP($A76,Parts!$A$2:$M$191,3,FALSE())),"")</f>
        <v>Widerstand 71,5 kΩ SMD</v>
      </c>
      <c r="D76" s="45" t="str">
        <f>IFERROR(IF(VLOOKUP($A76,Parts!$A$2:$M$191,4,FALSE())=0,"",VLOOKUP($A76,Parts!$A$2:$M$191,4,FALSE())),"")</f>
        <v>71,5 kΩ, 1 %, 0,25 W, 1206</v>
      </c>
      <c r="E76" s="45" t="str">
        <f>IFERROR(IF(VLOOKUP($A76,Parts!$A$2:$M$191,5,FALSE())=0,"",VLOOKUP($A76,Parts!$A$2:$M$191,5,FALSE())),"")</f>
        <v>Resistor_SMD:R_1206_3216Metric_Pad1.30x1.75mm_HandSolder</v>
      </c>
      <c r="F76" t="str">
        <f>IFERROR(IF(VLOOKUP($A76,Parts!$A$2:$M$191,6,FALSE())=0,"",VLOOKUP($A76,Parts!$A$2:$M$191,6,FALSE())),"")</f>
        <v>Yageo</v>
      </c>
      <c r="G76" t="str">
        <f>IFERROR(IF(VLOOKUP($A76,Parts!$A$2:$M$191,7,FALSE())=0,"",VLOOKUP($A76,Parts!$A$2:$M$191,7,FALSE())),"")</f>
        <v>RC1206FR-0771K5L</v>
      </c>
      <c r="H76" s="56" t="str">
        <f>IFERROR(IF(_xlfn.XLOOKUP($A76&amp;"|Ja",Part_Suppliers!$L$2:$L$300,Part_Suppliers!$B$2:$B$300,"",0)=0,"",_xlfn.XLOOKUP($A76&amp;"|Ja",Part_Suppliers!$L$2:$L$300,Part_Suppliers!$B$2:$B$300,"",0)),"")</f>
        <v>DigiKey</v>
      </c>
      <c r="I76" t="str">
        <f>IFERROR(IF(_xlfn.XLOOKUP($A76&amp;"|Ja",Part_Suppliers!$L$2:$L$300,Part_Suppliers!$C$2:$C$300,"",0)=0,"",_xlfn.XLOOKUP($A76&amp;"|Ja",Part_Suppliers!$L$2:$L$300,Part_Suppliers!$C$2:$C$300,"",0)),"")</f>
        <v>311-71.5KFRCT-ND</v>
      </c>
      <c r="J76" s="57">
        <v>2</v>
      </c>
      <c r="K76" s="57">
        <v>0</v>
      </c>
      <c r="L76" s="45" t="str">
        <f>IFERROR(IF(VLOOKUP($A76,Parts!$A$2:$M$191,8,FALSE())=0,"",VLOOKUP($A76,Parts!$A$2:$M$191,8,FALSE())),"")</f>
        <v>AnalogHydroPressure</v>
      </c>
      <c r="M76" s="45" t="str">
        <f>IFERROR(IF(VLOOKUP($A76,Parts!$A$2:$M$191,12,FALSE())=0,"",VLOOKUP($A76,Parts!$A$2:$M$191,12,FALSE())),"")</f>
        <v>Exakter Wert für den Feedback-Widerstand; DigiKey-Bestellnummer auf der Produktseite vor Bestellung ergänzen. Einzelpreis, Stand 2026-09-01; Preis und Verfügbarkeit vor Bestellung prüfen.</v>
      </c>
      <c r="N76" s="58"/>
      <c r="O76" s="59" t="s">
        <v>85</v>
      </c>
      <c r="S76" t="str">
        <f>IF(O76="drucken",COUNTIF($O$5:O76,"drucken"),"")</f>
        <v/>
      </c>
    </row>
    <row r="77" spans="1:19" ht="39.5" customHeight="1" x14ac:dyDescent="0.2">
      <c r="A77" t="s">
        <v>164</v>
      </c>
      <c r="B77" t="str">
        <f>IFERROR(IF(VLOOKUP($A77,Parts!$A$2:$M$191,2,FALSE())=0,"",VLOOKUP($A77,Parts!$A$2:$M$191,2,FALSE())),"")</f>
        <v>Widerstand</v>
      </c>
      <c r="C77" s="45" t="str">
        <f>IFERROR(IF(VLOOKUP($A77,Parts!$A$2:$M$191,3,FALSE())=0,"",VLOOKUP($A77,Parts!$A$2:$M$191,3,FALSE())),"")</f>
        <v>Widerstand 220 kΩ SMD</v>
      </c>
      <c r="D77" s="45" t="str">
        <f>IFERROR(IF(VLOOKUP($A77,Parts!$A$2:$M$191,4,FALSE())=0,"",VLOOKUP($A77,Parts!$A$2:$M$191,4,FALSE())),"")</f>
        <v>220 kΩ, 1 %, 0,25 W, 1206</v>
      </c>
      <c r="E77" s="45" t="str">
        <f>IFERROR(IF(VLOOKUP($A77,Parts!$A$2:$M$191,5,FALSE())=0,"",VLOOKUP($A77,Parts!$A$2:$M$191,5,FALSE())),"")</f>
        <v>Resistor_SMD:R_1206_3216Metric_Pad1.30x1.75mm_HandSolder</v>
      </c>
      <c r="F77" t="str">
        <f>IFERROR(IF(VLOOKUP($A77,Parts!$A$2:$M$191,6,FALSE())=0,"",VLOOKUP($A77,Parts!$A$2:$M$191,6,FALSE())),"")</f>
        <v>Vishay Dale</v>
      </c>
      <c r="G77" t="str">
        <f>IFERROR(IF(VLOOKUP($A77,Parts!$A$2:$M$191,7,FALSE())=0,"",VLOOKUP($A77,Parts!$A$2:$M$191,7,FALSE())),"")</f>
        <v>RCV1206220KFKEA</v>
      </c>
      <c r="H77" s="56" t="str">
        <f>IFERROR(IF(_xlfn.XLOOKUP($A77&amp;"|Ja",Part_Suppliers!$L$2:$L$300,Part_Suppliers!$B$2:$B$300,"",0)=0,"",_xlfn.XLOOKUP($A77&amp;"|Ja",Part_Suppliers!$L$2:$L$300,Part_Suppliers!$B$2:$B$300,"",0)),"")</f>
        <v>DigiKey</v>
      </c>
      <c r="I77" t="str">
        <f>IFERROR(IF(_xlfn.XLOOKUP($A77&amp;"|Ja",Part_Suppliers!$L$2:$L$300,Part_Suppliers!$C$2:$C$300,"",0)=0,"",_xlfn.XLOOKUP($A77&amp;"|Ja",Part_Suppliers!$L$2:$L$300,Part_Suppliers!$C$2:$C$300,"",0)),"")</f>
        <v>541-RCV1206220KFKEACT-ND</v>
      </c>
      <c r="J77" s="57">
        <v>2</v>
      </c>
      <c r="K77" s="57">
        <v>0</v>
      </c>
      <c r="L77" s="45" t="str">
        <f>IFERROR(IF(VLOOKUP($A77,Parts!$A$2:$M$191,8,FALSE())=0,"",VLOOKUP($A77,Parts!$A$2:$M$191,8,FALSE())),"")</f>
        <v>AnalogHydroPressure</v>
      </c>
      <c r="M77" s="45" t="str">
        <f>IFERROR(IF(VLOOKUP($A77,Parts!$A$2:$M$191,12,FALSE())=0,"",VLOOKUP($A77,Parts!$A$2:$M$191,12,FALSE())),"")</f>
        <v>220 kΩ, ±1 %, 0,25 W, 1206; DigiKey-Gurtabschnitt. Ersetzt die zuvor bei TME vorgesehene Walsin-Ausführung.</v>
      </c>
      <c r="N77" s="58"/>
      <c r="O77" s="59" t="s">
        <v>85</v>
      </c>
      <c r="S77" t="str">
        <f>IF(O77="drucken",COUNTIF($O$5:O77,"drucken"),"")</f>
        <v/>
      </c>
    </row>
    <row r="78" spans="1:19" ht="39.5" customHeight="1" x14ac:dyDescent="0.2">
      <c r="A78" t="s">
        <v>165</v>
      </c>
      <c r="B78" t="str">
        <f>IFERROR(IF(VLOOKUP($A78,Parts!$A$2:$M$191,2,FALSE())=0,"",VLOOKUP($A78,Parts!$A$2:$M$191,2,FALSE())),"")</f>
        <v>Schalter</v>
      </c>
      <c r="C78" s="45" t="str">
        <f>IFERROR(IF(VLOOKUP($A78,Parts!$A$2:$M$191,3,FALSE())=0,"",VLOOKUP($A78,Parts!$A$2:$M$191,3,FALSE())),"")</f>
        <v>Schiebeschalter DPDT</v>
      </c>
      <c r="D78" s="45" t="str">
        <f>IFERROR(IF(VLOOKUP($A78,Parts!$A$2:$M$191,4,FALSE())=0,"",VLOOKUP($A78,Parts!$A$2:$M$191,4,FALSE())),"")</f>
        <v>DPDT</v>
      </c>
      <c r="E78" s="45" t="str">
        <f>IFERROR(IF(VLOOKUP($A78,Parts!$A$2:$M$191,5,FALSE())=0,"",VLOOKUP($A78,Parts!$A$2:$M$191,5,FALSE())),"")</f>
        <v>EnvNode-Footprints:SW_Slide_CK_OS202011MS2QS1</v>
      </c>
      <c r="F78" t="str">
        <f>IFERROR(IF(VLOOKUP($A78,Parts!$A$2:$M$191,6,FALSE())=0,"",VLOOKUP($A78,Parts!$A$2:$M$191,6,FALSE())),"")</f>
        <v>C&amp;K</v>
      </c>
      <c r="G78" t="str">
        <f>IFERROR(IF(VLOOKUP($A78,Parts!$A$2:$M$191,7,FALSE())=0,"",VLOOKUP($A78,Parts!$A$2:$M$191,7,FALSE())),"")</f>
        <v>OS202011MS2QS1</v>
      </c>
      <c r="H78" s="56" t="str">
        <f>IFERROR(IF(_xlfn.XLOOKUP($A78&amp;"|Ja",Part_Suppliers!$L$2:$L$300,Part_Suppliers!$B$2:$B$300,"",0)=0,"",_xlfn.XLOOKUP($A78&amp;"|Ja",Part_Suppliers!$L$2:$L$300,Part_Suppliers!$B$2:$B$300,"",0)),"")</f>
        <v>DigiKey</v>
      </c>
      <c r="I78" t="str">
        <f>IFERROR(IF(_xlfn.XLOOKUP($A78&amp;"|Ja",Part_Suppliers!$L$2:$L$300,Part_Suppliers!$C$2:$C$300,"",0)=0,"",_xlfn.XLOOKUP($A78&amp;"|Ja",Part_Suppliers!$L$2:$L$300,Part_Suppliers!$C$2:$C$300,"",0)),"")</f>
        <v>CKN9544-ND</v>
      </c>
      <c r="J78" s="57">
        <v>2</v>
      </c>
      <c r="K78" s="57">
        <v>0</v>
      </c>
      <c r="L78" s="45" t="str">
        <f>IFERROR(IF(VLOOKUP($A78,Parts!$A$2:$M$191,8,FALSE())=0,"",VLOOKUP($A78,Parts!$A$2:$M$191,8,FALSE())),"")</f>
        <v>AnalogHydroPressure Rev 0.2–0.3</v>
      </c>
      <c r="M78" s="45" t="str">
        <f>IFERROR(IF(VLOOKUP($A78,Parts!$A$2:$M$191,12,FALSE())=0,"",VLOOKUP($A78,Parts!$A$2:$M$191,12,FALSE())),"")</f>
        <v>Historischer DPDT-Schiebeschalter. In AnalogHydroPressure Rev. 0.4 entfallen; die I²C-Buswahl erfolgt über Lötjumper.</v>
      </c>
      <c r="N78" s="58"/>
      <c r="O78" s="59" t="s">
        <v>85</v>
      </c>
      <c r="S78" t="str">
        <f>IF(O78="drucken",COUNTIF($O$5:O78,"drucken"),"")</f>
        <v/>
      </c>
    </row>
    <row r="79" spans="1:19" ht="39.5" customHeight="1" x14ac:dyDescent="0.2">
      <c r="A79" t="s">
        <v>166</v>
      </c>
      <c r="B79" t="str">
        <f>IFERROR(IF(VLOOKUP($A79,Parts!$A$2:$M$191,2,FALSE())=0,"",VLOOKUP($A79,Parts!$A$2:$M$191,2,FALSE())),"")</f>
        <v>DC/DC-Wandler</v>
      </c>
      <c r="C79" s="45" t="str">
        <f>IFERROR(IF(VLOOKUP($A79,Parts!$A$2:$M$191,3,FALSE())=0,"",VLOOKUP($A79,Parts!$A$2:$M$191,3,FALSE())),"")</f>
        <v>Boost-Regler LT8330</v>
      </c>
      <c r="D79" s="45" t="str">
        <f>IFERROR(IF(VLOOKUP($A79,Parts!$A$2:$M$191,4,FALSE())=0,"",VLOOKUP($A79,Parts!$A$2:$M$191,4,FALSE())),"")</f>
        <v>LT8330, 3…40 V Eingang, 60 V/1 A Schalter, TSOT-23-6</v>
      </c>
      <c r="E79" s="45" t="str">
        <f>IFERROR(IF(VLOOKUP($A79,Parts!$A$2:$M$191,5,FALSE())=0,"",VLOOKUP($A79,Parts!$A$2:$M$191,5,FALSE())),"")</f>
        <v>Package_TO_SOT_SMD:SOT-23-6</v>
      </c>
      <c r="F79" t="str">
        <f>IFERROR(IF(VLOOKUP($A79,Parts!$A$2:$M$191,6,FALSE())=0,"",VLOOKUP($A79,Parts!$A$2:$M$191,6,FALSE())),"")</f>
        <v>Analog Devices</v>
      </c>
      <c r="G79" t="str">
        <f>IFERROR(IF(VLOOKUP($A79,Parts!$A$2:$M$191,7,FALSE())=0,"",VLOOKUP($A79,Parts!$A$2:$M$191,7,FALSE())),"")</f>
        <v>LT8330ES6#TRMPBF</v>
      </c>
      <c r="H79" s="56" t="str">
        <f>IFERROR(IF(_xlfn.XLOOKUP($A79&amp;"|Ja",Part_Suppliers!$L$2:$L$300,Part_Suppliers!$B$2:$B$300,"",0)=0,"",_xlfn.XLOOKUP($A79&amp;"|Ja",Part_Suppliers!$L$2:$L$300,Part_Suppliers!$B$2:$B$300,"",0)),"")</f>
        <v>DigiKey</v>
      </c>
      <c r="I79" t="str">
        <f>IFERROR(IF(_xlfn.XLOOKUP($A79&amp;"|Ja",Part_Suppliers!$L$2:$L$300,Part_Suppliers!$C$2:$C$300,"",0)=0,"",_xlfn.XLOOKUP($A79&amp;"|Ja",Part_Suppliers!$L$2:$L$300,Part_Suppliers!$C$2:$C$300,"",0)),"")</f>
        <v>505-LT8330ES6#TRMPBFCT-ND</v>
      </c>
      <c r="J79" s="57">
        <v>3</v>
      </c>
      <c r="K79" s="57">
        <v>0</v>
      </c>
      <c r="L79" s="45" t="str">
        <f>IFERROR(IF(VLOOKUP($A79,Parts!$A$2:$M$191,8,FALSE())=0,"",VLOOKUP($A79,Parts!$A$2:$M$191,8,FALSE())),"")</f>
        <v>AnalogHydroPressure</v>
      </c>
      <c r="M79" s="45" t="str">
        <f>IFERROR(IF(VLOOKUP($A79,Parts!$A$2:$M$191,12,FALSE())=0,"",VLOOKUP($A79,Parts!$A$2:$M$191,12,FALSE())),"")</f>
        <v>Bestellbare E-Temperaturvariante im geforderten TSOT-23-6, Cut Tape. Einzelpreis, Stand 2026-09-01; Preis und Verfügbarkeit vor Bestellung prüfen.</v>
      </c>
      <c r="N79" s="58"/>
      <c r="O79" s="59" t="s">
        <v>85</v>
      </c>
      <c r="S79" t="str">
        <f>IF(O79="drucken",COUNTIF($O$5:O79,"drucken"),"")</f>
        <v/>
      </c>
    </row>
    <row r="80" spans="1:19" ht="39.5" customHeight="1" x14ac:dyDescent="0.2">
      <c r="A80" t="s">
        <v>167</v>
      </c>
      <c r="B80" t="str">
        <f>IFERROR(IF(VLOOKUP($A80,Parts!$A$2:$M$191,2,FALSE())=0,"",VLOOKUP($A80,Parts!$A$2:$M$191,2,FALSE())),"")</f>
        <v>PCB</v>
      </c>
      <c r="C80" s="45" t="str">
        <f>IFERROR(IF(VLOOKUP($A80,Parts!$A$2:$M$191,3,FALSE())=0,"",VLOOKUP($A80,Parts!$A$2:$M$191,3,FALSE())),"")</f>
        <v>AnalogHydroPressure FullSize PCB Rev 0.2</v>
      </c>
      <c r="D80" s="45" t="str">
        <f>IFERROR(IF(VLOOKUP($A80,Parts!$A$2:$M$191,4,FALSE())=0,"",VLOOKUP($A80,Parts!$A$2:$M$191,4,FALSE())),"")</f>
        <v>Revision 0.2</v>
      </c>
      <c r="E80" s="45" t="str">
        <f>IFERROR(IF(VLOOKUP($A80,Parts!$A$2:$M$191,5,FALSE())=0,"",VLOOKUP($A80,Parts!$A$2:$M$191,5,FALSE())),"")</f>
        <v>PCB: Modules/FullSize/AnalogHydroPressure/AnalogHydroPressure.kicad_pcb</v>
      </c>
      <c r="F80" t="str">
        <f>IFERROR(IF(VLOOKUP($A80,Parts!$A$2:$M$191,6,FALSE())=0,"",VLOOKUP($A80,Parts!$A$2:$M$191,6,FALSE())),"")</f>
        <v>JLCPCB</v>
      </c>
      <c r="G80" t="str">
        <f>IFERROR(IF(VLOOKUP($A80,Parts!$A$2:$M$191,7,FALSE())=0,"",VLOOKUP($A80,Parts!$A$2:$M$191,7,FALSE())),"")</f>
        <v/>
      </c>
      <c r="H80" s="56" t="str">
        <f>IFERROR(IF(_xlfn.XLOOKUP($A80&amp;"|Ja",Part_Suppliers!$L$2:$L$300,Part_Suppliers!$B$2:$B$300,"",0)=0,"",_xlfn.XLOOKUP($A80&amp;"|Ja",Part_Suppliers!$L$2:$L$300,Part_Suppliers!$B$2:$B$300,"",0)),"")</f>
        <v>JLCPCB</v>
      </c>
      <c r="I80" t="str">
        <f>IFERROR(IF(_xlfn.XLOOKUP($A80&amp;"|Ja",Part_Suppliers!$L$2:$L$300,Part_Suppliers!$C$2:$C$300,"",0)=0,"",_xlfn.XLOOKUP($A80&amp;"|Ja",Part_Suppliers!$L$2:$L$300,Part_Suppliers!$C$2:$C$300,"",0)),"")</f>
        <v/>
      </c>
      <c r="J80" s="57">
        <v>0</v>
      </c>
      <c r="K80" s="57">
        <v>0</v>
      </c>
      <c r="L80" s="45" t="str">
        <f>IFERROR(IF(VLOOKUP($A80,Parts!$A$2:$M$191,8,FALSE())=0,"",VLOOKUP($A80,Parts!$A$2:$M$191,8,FALSE())),"")</f>
        <v>AnalogHydroPressure</v>
      </c>
      <c r="M80" s="45" t="str">
        <f>IFERROR(IF(VLOOKUP($A80,Parts!$A$2:$M$191,12,FALSE())=0,"",VLOOKUP($A80,Parts!$A$2:$M$191,12,FALSE())),"")</f>
        <v>Aktueller KiCad-Stand einschließlich Busumschaltung auf Modulseite und F.Cu-Backfill; Fertiger und Fertigungsvariante festlegen.</v>
      </c>
      <c r="N80" s="58"/>
      <c r="O80" s="59" t="s">
        <v>85</v>
      </c>
      <c r="S80" t="str">
        <f>IF(O80="drucken",COUNTIF($O$5:O80,"drucken"),"")</f>
        <v/>
      </c>
    </row>
    <row r="81" spans="1:19" ht="39.5" customHeight="1" x14ac:dyDescent="0.2">
      <c r="A81" t="s">
        <v>168</v>
      </c>
      <c r="B81" t="str">
        <f>IFERROR(IF(VLOOKUP($A81,Parts!$A$2:$M$191,2,FALSE())=0,"",VLOOKUP($A81,Parts!$A$2:$M$191,2,FALSE())),"")</f>
        <v>Adapter</v>
      </c>
      <c r="C81" s="45" t="str">
        <f>IFERROR(IF(VLOOKUP($A81,Parts!$A$2:$M$191,3,FALSE())=0,"",VLOOKUP($A81,Parts!$A$2:$M$191,3,FALSE())),"")</f>
        <v>SMD-Adapter SOT23-3 auf Raster 2,54 mm</v>
      </c>
      <c r="D81" s="45" t="str">
        <f>IFERROR(IF(VLOOKUP($A81,Parts!$A$2:$M$191,4,FALSE())=0,"",VLOOKUP($A81,Parts!$A$2:$M$191,4,FALSE())),"")</f>
        <v>SOT23-3, Pitch 0,95 mm auf RM 2,54 mm</v>
      </c>
      <c r="E81" s="45" t="str">
        <f>IFERROR(IF(VLOOKUP($A81,Parts!$A$2:$M$191,5,FALSE())=0,"",VLOOKUP($A81,Parts!$A$2:$M$191,5,FALSE())),"")</f>
        <v/>
      </c>
      <c r="F81" t="str">
        <f>IFERROR(IF(VLOOKUP($A81,Parts!$A$2:$M$191,6,FALSE())=0,"",VLOOKUP($A81,Parts!$A$2:$M$191,6,FALSE())),"")</f>
        <v>ROTH-ELEKTRONIK</v>
      </c>
      <c r="G81" t="str">
        <f>IFERROR(IF(VLOOKUP($A81,Parts!$A$2:$M$191,7,FALSE())=0,"",VLOOKUP($A81,Parts!$A$2:$M$191,7,FALSE())),"")</f>
        <v>RE909</v>
      </c>
      <c r="H81" s="56" t="str">
        <f>IFERROR(IF(_xlfn.XLOOKUP($A81&amp;"|Ja",Part_Suppliers!$L$2:$L$300,Part_Suppliers!$B$2:$B$300,"",0)=0,"",_xlfn.XLOOKUP($A81&amp;"|Ja",Part_Suppliers!$L$2:$L$300,Part_Suppliers!$B$2:$B$300,"",0)),"")</f>
        <v>Reichelt</v>
      </c>
      <c r="I81" t="str">
        <f>IFERROR(IF(_xlfn.XLOOKUP($A81&amp;"|Ja",Part_Suppliers!$L$2:$L$300,Part_Suppliers!$C$2:$C$300,"",0)=0,"",_xlfn.XLOOKUP($A81&amp;"|Ja",Part_Suppliers!$L$2:$L$300,Part_Suppliers!$C$2:$C$300,"",0)),"")</f>
        <v>RE 909</v>
      </c>
      <c r="J81" s="57">
        <v>0</v>
      </c>
      <c r="K81" s="57">
        <v>0</v>
      </c>
      <c r="L81" s="45" t="str">
        <f>IFERROR(IF(VLOOKUP($A81,Parts!$A$2:$M$191,8,FALSE())=0,"",VLOOKUP($A81,Parts!$A$2:$M$191,8,FALSE())),"")</f>
        <v>Bestand/Werkstatt</v>
      </c>
      <c r="M81" s="45" t="str">
        <f>IFERROR(IF(VLOOKUP($A81,Parts!$A$2:$M$191,12,FALSE())=0,"",VLOOKUP($A81,Parts!$A$2:$M$191,12,FALSE())),"")</f>
        <v>Prototyping-Adapter, 8,6 × 13,2 mm; derzeit keinem Kit oder KiCad-BOM zugeordnet.</v>
      </c>
      <c r="N81" s="58" t="s">
        <v>169</v>
      </c>
      <c r="O81" s="59" t="s">
        <v>85</v>
      </c>
      <c r="S81" t="str">
        <f>IF(O81="drucken",COUNTIF($O$5:O81,"drucken"),"")</f>
        <v/>
      </c>
    </row>
    <row r="82" spans="1:19" ht="39.5" customHeight="1" x14ac:dyDescent="0.2">
      <c r="A82" t="s">
        <v>170</v>
      </c>
      <c r="B82" t="str">
        <f>IFERROR(IF(VLOOKUP($A82,Parts!$A$2:$M$191,2,FALSE())=0,"",VLOOKUP($A82,Parts!$A$2:$M$191,2,FALSE())),"")</f>
        <v>Widerstand</v>
      </c>
      <c r="C82" s="45" t="str">
        <f>IFERROR(IF(VLOOKUP($A82,Parts!$A$2:$M$191,3,FALSE())=0,"",VLOOKUP($A82,Parts!$A$2:$M$191,3,FALSE())),"")</f>
        <v>Metalloxidwiderstand 100 Ohm, 1 W, 5 %</v>
      </c>
      <c r="D82" s="45" t="str">
        <f>IFERROR(IF(VLOOKUP($A82,Parts!$A$2:$M$191,4,FALSE())=0,"",VLOOKUP($A82,Parts!$A$2:$M$191,4,FALSE())),"")</f>
        <v>100 Ω, 1 W, 5 %, 500 V</v>
      </c>
      <c r="E82" s="45" t="str">
        <f>IFERROR(IF(VLOOKUP($A82,Parts!$A$2:$M$191,5,FALSE())=0,"",VLOOKUP($A82,Parts!$A$2:$M$191,5,FALSE())),"")</f>
        <v>Resistor_THT:R_Axial_DIN0207_L6.3mm_D2.5mm_P10.16mm_Horizontal</v>
      </c>
      <c r="F82" t="str">
        <f>IFERROR(IF(VLOOKUP($A82,Parts!$A$2:$M$191,6,FALSE())=0,"",VLOOKUP($A82,Parts!$A$2:$M$191,6,FALSE())),"")</f>
        <v>VITROHM</v>
      </c>
      <c r="G82" t="str">
        <f>IFERROR(IF(VLOOKUP($A82,Parts!$A$2:$M$191,7,FALSE())=0,"",VLOOKUP($A82,Parts!$A$2:$M$191,7,FALSE())),"")</f>
        <v>POS100JT-52-100RAA</v>
      </c>
      <c r="H82" s="56" t="str">
        <f>IFERROR(IF(_xlfn.XLOOKUP($A82&amp;"|Ja",Part_Suppliers!$L$2:$L$300,Part_Suppliers!$B$2:$B$300,"",0)=0,"",_xlfn.XLOOKUP($A82&amp;"|Ja",Part_Suppliers!$L$2:$L$300,Part_Suppliers!$B$2:$B$300,"",0)),"")</f>
        <v>Reichelt</v>
      </c>
      <c r="I82" t="str">
        <f>IFERROR(IF(_xlfn.XLOOKUP($A82&amp;"|Ja",Part_Suppliers!$L$2:$L$300,Part_Suppliers!$C$2:$C$300,"",0)=0,"",_xlfn.XLOOKUP($A82&amp;"|Ja",Part_Suppliers!$L$2:$L$300,Part_Suppliers!$C$2:$C$300,"",0)),"")</f>
        <v>1W 100</v>
      </c>
      <c r="J82" s="57">
        <v>10</v>
      </c>
      <c r="K82" s="57">
        <v>0</v>
      </c>
      <c r="L82" s="45" t="str">
        <f>IFERROR(IF(VLOOKUP($A82,Parts!$A$2:$M$191,8,FALSE())=0,"",VLOOKUP($A82,Parts!$A$2:$M$191,8,FALSE())),"")</f>
        <v>Bestand/Werkstatt</v>
      </c>
      <c r="M82" s="45" t="str">
        <f>IFERROR(IF(VLOOKUP($A82,Parts!$A$2:$M$191,12,FALSE())=0,"",VLOOKUP($A82,Parts!$A$2:$M$191,12,FALSE())),"")</f>
        <v>Gegurteter THT-Metalloxidwiderstand, Bauform 0207; derzeit keinem Kit oder KiCad-BOM zugeordnet.</v>
      </c>
      <c r="N82" s="58"/>
      <c r="O82" s="59" t="s">
        <v>85</v>
      </c>
      <c r="S82" t="str">
        <f>IF(O82="drucken",COUNTIF($O$5:O82,"drucken"),"")</f>
        <v/>
      </c>
    </row>
    <row r="83" spans="1:19" ht="39.5" customHeight="1" x14ac:dyDescent="0.2">
      <c r="A83" t="s">
        <v>171</v>
      </c>
      <c r="B83" t="str">
        <f>IFERROR(IF(VLOOKUP($A83,Parts!$A$2:$M$191,2,FALSE())=0,"",VLOOKUP($A83,Parts!$A$2:$M$191,2,FALSE())),"")</f>
        <v>Widerstand</v>
      </c>
      <c r="C83" s="45" t="str">
        <f>IFERROR(IF(VLOOKUP($A83,Parts!$A$2:$M$191,3,FALSE())=0,"",VLOOKUP($A83,Parts!$A$2:$M$191,3,FALSE())),"")</f>
        <v>Metalloxidwiderstand 100 kOhm, 1 W, 5 %</v>
      </c>
      <c r="D83" s="45" t="str">
        <f>IFERROR(IF(VLOOKUP($A83,Parts!$A$2:$M$191,4,FALSE())=0,"",VLOOKUP($A83,Parts!$A$2:$M$191,4,FALSE())),"")</f>
        <v>100 kΩ, 1 W, 5 %, 500 V</v>
      </c>
      <c r="E83" s="45" t="str">
        <f>IFERROR(IF(VLOOKUP($A83,Parts!$A$2:$M$191,5,FALSE())=0,"",VLOOKUP($A83,Parts!$A$2:$M$191,5,FALSE())),"")</f>
        <v>Resistor_THT:R_Axial_DIN0207_L6.3mm_D2.5mm_P10.16mm_Horizontal</v>
      </c>
      <c r="F83" t="str">
        <f>IFERROR(IF(VLOOKUP($A83,Parts!$A$2:$M$191,6,FALSE())=0,"",VLOOKUP($A83,Parts!$A$2:$M$191,6,FALSE())),"")</f>
        <v>VITROHM</v>
      </c>
      <c r="G83" t="str">
        <f>IFERROR(IF(VLOOKUP($A83,Parts!$A$2:$M$191,7,FALSE())=0,"",VLOOKUP($A83,Parts!$A$2:$M$191,7,FALSE())),"")</f>
        <v>POS100JT-52-100KAA</v>
      </c>
      <c r="H83" s="56" t="str">
        <f>IFERROR(IF(_xlfn.XLOOKUP($A83&amp;"|Ja",Part_Suppliers!$L$2:$L$300,Part_Suppliers!$B$2:$B$300,"",0)=0,"",_xlfn.XLOOKUP($A83&amp;"|Ja",Part_Suppliers!$L$2:$L$300,Part_Suppliers!$B$2:$B$300,"",0)),"")</f>
        <v>Reichelt</v>
      </c>
      <c r="I83" t="str">
        <f>IFERROR(IF(_xlfn.XLOOKUP($A83&amp;"|Ja",Part_Suppliers!$L$2:$L$300,Part_Suppliers!$C$2:$C$300,"",0)=0,"",_xlfn.XLOOKUP($A83&amp;"|Ja",Part_Suppliers!$L$2:$L$300,Part_Suppliers!$C$2:$C$300,"",0)),"")</f>
        <v>1W 100K</v>
      </c>
      <c r="J83" s="57">
        <v>10</v>
      </c>
      <c r="K83" s="57">
        <v>0</v>
      </c>
      <c r="L83" s="45" t="str">
        <f>IFERROR(IF(VLOOKUP($A83,Parts!$A$2:$M$191,8,FALSE())=0,"",VLOOKUP($A83,Parts!$A$2:$M$191,8,FALSE())),"")</f>
        <v>Bestand/Werkstatt</v>
      </c>
      <c r="M83" s="45" t="str">
        <f>IFERROR(IF(VLOOKUP($A83,Parts!$A$2:$M$191,12,FALSE())=0,"",VLOOKUP($A83,Parts!$A$2:$M$191,12,FALSE())),"")</f>
        <v>Gegurteter THT-Metalloxidwiderstand, Bauform 0207; derzeit keinem Kit oder KiCad-BOM zugeordnet.</v>
      </c>
      <c r="N83" s="58"/>
      <c r="O83" s="59" t="s">
        <v>85</v>
      </c>
      <c r="S83" t="str">
        <f>IF(O83="drucken",COUNTIF($O$5:O83,"drucken"),"")</f>
        <v/>
      </c>
    </row>
    <row r="84" spans="1:19" ht="39.5" customHeight="1" x14ac:dyDescent="0.2">
      <c r="A84" t="s">
        <v>172</v>
      </c>
      <c r="B84" t="str">
        <f>IFERROR(IF(VLOOKUP($A84,Parts!$A$2:$M$191,2,FALSE())=0,"",VLOOKUP($A84,Parts!$A$2:$M$191,2,FALSE())),"")</f>
        <v>Steckverbinder</v>
      </c>
      <c r="C84" s="45" t="str">
        <f>IFERROR(IF(VLOOKUP($A84,Parts!$A$2:$M$191,3,FALSE())=0,"",VLOOKUP($A84,Parts!$A$2:$M$191,3,FALSE())),"")</f>
        <v>WEIPU SP13 Gehäusebuchse, 2-polig</v>
      </c>
      <c r="D84" s="45" t="str">
        <f>IFERROR(IF(VLOOKUP($A84,Parts!$A$2:$M$191,4,FALSE())=0,"",VLOOKUP($A84,Parts!$A$2:$M$191,4,FALSE())),"")</f>
        <v>2-polig, Buchsenkontakte, IP68 gesteckt, Lötanschluss, Hinterwandmontage</v>
      </c>
      <c r="E84" s="45" t="str">
        <f>IFERROR(IF(VLOOKUP($A84,Parts!$A$2:$M$191,5,FALSE())=0,"",VLOOKUP($A84,Parts!$A$2:$M$191,5,FALSE())),"")</f>
        <v>WEIPU SP13 Gehäusebuchse, 2-polig</v>
      </c>
      <c r="F84" t="str">
        <f>IFERROR(IF(VLOOKUP($A84,Parts!$A$2:$M$191,6,FALSE())=0,"",VLOOKUP($A84,Parts!$A$2:$M$191,6,FALSE())),"")</f>
        <v>WEIPU</v>
      </c>
      <c r="G84" t="str">
        <f>IFERROR(IF(VLOOKUP($A84,Parts!$A$2:$M$191,7,FALSE())=0,"",VLOOKUP($A84,Parts!$A$2:$M$191,7,FALSE())),"")</f>
        <v>SP1312/S2-N</v>
      </c>
      <c r="H84" s="56" t="str">
        <f>IFERROR(IF(_xlfn.XLOOKUP($A84&amp;"|Ja",Part_Suppliers!$L$2:$L$300,Part_Suppliers!$B$2:$B$300,"",0)=0,"",_xlfn.XLOOKUP($A84&amp;"|Ja",Part_Suppliers!$L$2:$L$300,Part_Suppliers!$B$2:$B$300,"",0)),"")</f>
        <v>TME</v>
      </c>
      <c r="I84" t="str">
        <f>IFERROR(IF(_xlfn.XLOOKUP($A84&amp;"|Ja",Part_Suppliers!$L$2:$L$300,Part_Suppliers!$C$2:$C$300,"",0)=0,"",_xlfn.XLOOKUP($A84&amp;"|Ja",Part_Suppliers!$L$2:$L$300,Part_Suppliers!$C$2:$C$300,"",0)),"")</f>
        <v>SP1312/S2</v>
      </c>
      <c r="J84" s="57">
        <v>0</v>
      </c>
      <c r="K84" s="57">
        <v>0</v>
      </c>
      <c r="L84" s="45" t="str">
        <f>IFERROR(IF(VLOOKUP($A84,Parts!$A$2:$M$191,8,FALSE())=0,"",VLOOKUP($A84,Parts!$A$2:$M$191,8,FALSE())),"")</f>
        <v>Gehäusemontage (offen); Aktuell 29.09.2026: EnvNode Mini Bausatz Rev 0.8</v>
      </c>
      <c r="M84" s="45" t="str">
        <f>IFERROR(IF(VLOOKUP($A84,Parts!$A$2:$M$191,12,FALSE())=0,"",VLOOKUP($A84,Parts!$A$2:$M$191,12,FALSE())),"")</f>
        <v>Passend zu Kabelstecker SP1310/P2-N (ENP-00081). 13 A / 250 V AC; Panel-Ausschnitt Ø13 mm. Einsatz und Pinbelegung im Kit festlegen.</v>
      </c>
      <c r="N84" s="58"/>
      <c r="O84" s="59" t="s">
        <v>85</v>
      </c>
      <c r="S84" t="str">
        <f>IF(O84="drucken",COUNTIF($O$5:O84,"drucken"),"")</f>
        <v/>
      </c>
    </row>
    <row r="85" spans="1:19" ht="39.5" customHeight="1" x14ac:dyDescent="0.2">
      <c r="A85" t="s">
        <v>173</v>
      </c>
      <c r="B85" t="str">
        <f>IFERROR(IF(VLOOKUP($A85,Parts!$A$2:$M$191,2,FALSE())=0,"",VLOOKUP($A85,Parts!$A$2:$M$191,2,FALSE())),"")</f>
        <v>Steckverbinder</v>
      </c>
      <c r="C85" s="45" t="str">
        <f>IFERROR(IF(VLOOKUP($A85,Parts!$A$2:$M$191,3,FALSE())=0,"",VLOOKUP($A85,Parts!$A$2:$M$191,3,FALSE())),"")</f>
        <v>WEIPU SP13 Kabelstecker, 2-polig</v>
      </c>
      <c r="D85" s="45" t="str">
        <f>IFERROR(IF(VLOOKUP($A85,Parts!$A$2:$M$191,4,FALSE())=0,"",VLOOKUP($A85,Parts!$A$2:$M$191,4,FALSE())),"")</f>
        <v>2-polig, Stiftkontakte, IP68 gesteckt, Lötanschluss</v>
      </c>
      <c r="E85" s="45" t="str">
        <f>IFERROR(IF(VLOOKUP($A85,Parts!$A$2:$M$191,5,FALSE())=0,"",VLOOKUP($A85,Parts!$A$2:$M$191,5,FALSE())),"")</f>
        <v>WEIPU SP13 Kabelstecker, 2-polig</v>
      </c>
      <c r="F85" t="str">
        <f>IFERROR(IF(VLOOKUP($A85,Parts!$A$2:$M$191,6,FALSE())=0,"",VLOOKUP($A85,Parts!$A$2:$M$191,6,FALSE())),"")</f>
        <v>WEIPU</v>
      </c>
      <c r="G85" t="str">
        <f>IFERROR(IF(VLOOKUP($A85,Parts!$A$2:$M$191,7,FALSE())=0,"",VLOOKUP($A85,Parts!$A$2:$M$191,7,FALSE())),"")</f>
        <v>SP1310/P2I-N</v>
      </c>
      <c r="H85" s="56" t="str">
        <f>IFERROR(IF(_xlfn.XLOOKUP($A85&amp;"|Ja",Part_Suppliers!$L$2:$L$300,Part_Suppliers!$B$2:$B$300,"",0)=0,"",_xlfn.XLOOKUP($A85&amp;"|Ja",Part_Suppliers!$L$2:$L$300,Part_Suppliers!$B$2:$B$300,"",0)),"")</f>
        <v>TME</v>
      </c>
      <c r="I85" t="str">
        <f>IFERROR(IF(_xlfn.XLOOKUP($A85&amp;"|Ja",Part_Suppliers!$L$2:$L$300,Part_Suppliers!$C$2:$C$300,"",0)=0,"",_xlfn.XLOOKUP($A85&amp;"|Ja",Part_Suppliers!$L$2:$L$300,Part_Suppliers!$C$2:$C$300,"",0)),"")</f>
        <v>SP1310/P2</v>
      </c>
      <c r="J85" s="57">
        <v>0</v>
      </c>
      <c r="K85" s="57">
        <v>0</v>
      </c>
      <c r="L85" s="45" t="str">
        <f>IFERROR(IF(VLOOKUP($A85,Parts!$A$2:$M$191,8,FALSE())=0,"",VLOOKUP($A85,Parts!$A$2:$M$191,8,FALSE())),"")</f>
        <v>Gehäusemontage (offen); Aktuell 29.09.2026: EnvNode Mini Bausatz Rev 0.8</v>
      </c>
      <c r="M85" s="45" t="str">
        <f>IFERROR(IF(VLOOKUP($A85,Parts!$A$2:$M$191,12,FALSE())=0,"",VLOOKUP($A85,Parts!$A$2:$M$191,12,FALSE())),"")</f>
        <v>Bestellbare Variante für Kabeldurchmesser 4–6,5 mm; konkreten Kabeldurchmesser vor Kauf bestätigen.</v>
      </c>
      <c r="N85" s="58"/>
      <c r="O85" s="59" t="s">
        <v>85</v>
      </c>
      <c r="S85" t="str">
        <f>IF(O85="drucken",COUNTIF($O$5:O85,"drucken"),"")</f>
        <v/>
      </c>
    </row>
    <row r="86" spans="1:19" ht="39.5" customHeight="1" x14ac:dyDescent="0.2">
      <c r="A86" t="s">
        <v>174</v>
      </c>
      <c r="B86" t="str">
        <f>IFERROR(IF(VLOOKUP($A86,Parts!$A$2:$M$191,2,FALSE())=0,"",VLOOKUP($A86,Parts!$A$2:$M$191,2,FALSE())),"")</f>
        <v>Steckverbinder</v>
      </c>
      <c r="C86" s="45" t="str">
        <f>IFERROR(IF(VLOOKUP($A86,Parts!$A$2:$M$191,3,FALSE())=0,"",VLOOKUP($A86,Parts!$A$2:$M$191,3,FALSE())),"")</f>
        <v>WEIPU SP13 Gehäusestecker, 2-polig</v>
      </c>
      <c r="D86" s="45" t="str">
        <f>IFERROR(IF(VLOOKUP($A86,Parts!$A$2:$M$191,4,FALSE())=0,"",VLOOKUP($A86,Parts!$A$2:$M$191,4,FALSE())),"")</f>
        <v>2-polig, Stiftkontakte, IP68 gesteckt, Lötanschluss, Hinterwandmontage</v>
      </c>
      <c r="E86" s="45" t="str">
        <f>IFERROR(IF(VLOOKUP($A86,Parts!$A$2:$M$191,5,FALSE())=0,"",VLOOKUP($A86,Parts!$A$2:$M$191,5,FALSE())),"")</f>
        <v>WEIPU SP13 Gehäusestecker, 2-polig</v>
      </c>
      <c r="F86" t="str">
        <f>IFERROR(IF(VLOOKUP($A86,Parts!$A$2:$M$191,6,FALSE())=0,"",VLOOKUP($A86,Parts!$A$2:$M$191,6,FALSE())),"")</f>
        <v>WEIPU</v>
      </c>
      <c r="G86" t="str">
        <f>IFERROR(IF(VLOOKUP($A86,Parts!$A$2:$M$191,7,FALSE())=0,"",VLOOKUP($A86,Parts!$A$2:$M$191,7,FALSE())),"")</f>
        <v>SP1312/P2-N</v>
      </c>
      <c r="H86" s="56" t="str">
        <f>IFERROR(IF(_xlfn.XLOOKUP($A86&amp;"|Ja",Part_Suppliers!$L$2:$L$300,Part_Suppliers!$B$2:$B$300,"",0)=0,"",_xlfn.XLOOKUP($A86&amp;"|Ja",Part_Suppliers!$L$2:$L$300,Part_Suppliers!$B$2:$B$300,"",0)),"")</f>
        <v>TME</v>
      </c>
      <c r="I86" t="str">
        <f>IFERROR(IF(_xlfn.XLOOKUP($A86&amp;"|Ja",Part_Suppliers!$L$2:$L$300,Part_Suppliers!$C$2:$C$300,"",0)=0,"",_xlfn.XLOOKUP($A86&amp;"|Ja",Part_Suppliers!$L$2:$L$300,Part_Suppliers!$C$2:$C$300,"",0)),"")</f>
        <v>SP1312/P2</v>
      </c>
      <c r="J86" s="57">
        <v>0</v>
      </c>
      <c r="K86" s="57">
        <v>0</v>
      </c>
      <c r="L86" s="45" t="str">
        <f>IFERROR(IF(VLOOKUP($A86,Parts!$A$2:$M$191,8,FALSE())=0,"",VLOOKUP($A86,Parts!$A$2:$M$191,8,FALSE())),"")</f>
        <v>Gehäusemontage (offen)</v>
      </c>
      <c r="M86" s="45" t="str">
        <f>IFERROR(IF(VLOOKUP($A86,Parts!$A$2:$M$191,12,FALSE())=0,"",VLOOKUP($A86,Parts!$A$2:$M$191,12,FALSE())),"")</f>
        <v>Passend zu Kabelbuchse SP1310/S2-N (ENP-00083). 13 A / 250 V AC; Panel-Ausschnitt Ø13 mm. Einsatz und Pinbelegung im Kit festlegen.</v>
      </c>
      <c r="N86" s="58"/>
      <c r="O86" s="59" t="s">
        <v>85</v>
      </c>
      <c r="S86" t="str">
        <f>IF(O86="drucken",COUNTIF($O$5:O86,"drucken"),"")</f>
        <v/>
      </c>
    </row>
    <row r="87" spans="1:19" ht="39.5" customHeight="1" x14ac:dyDescent="0.2">
      <c r="A87" t="s">
        <v>175</v>
      </c>
      <c r="B87" t="str">
        <f>IFERROR(IF(VLOOKUP($A87,Parts!$A$2:$M$191,2,FALSE())=0,"",VLOOKUP($A87,Parts!$A$2:$M$191,2,FALSE())),"")</f>
        <v>Steckverbinder</v>
      </c>
      <c r="C87" s="45" t="str">
        <f>IFERROR(IF(VLOOKUP($A87,Parts!$A$2:$M$191,3,FALSE())=0,"",VLOOKUP($A87,Parts!$A$2:$M$191,3,FALSE())),"")</f>
        <v>WEIPU SP13 Kabelbuchse, 2-polig</v>
      </c>
      <c r="D87" s="45" t="str">
        <f>IFERROR(IF(VLOOKUP($A87,Parts!$A$2:$M$191,4,FALSE())=0,"",VLOOKUP($A87,Parts!$A$2:$M$191,4,FALSE())),"")</f>
        <v>2-polig, Buchsenkontakte, IP68 gesteckt, Lötanschluss</v>
      </c>
      <c r="E87" s="45" t="str">
        <f>IFERROR(IF(VLOOKUP($A87,Parts!$A$2:$M$191,5,FALSE())=0,"",VLOOKUP($A87,Parts!$A$2:$M$191,5,FALSE())),"")</f>
        <v>WEIPU SP13 Kabelbuchse, 2-polig</v>
      </c>
      <c r="F87" t="str">
        <f>IFERROR(IF(VLOOKUP($A87,Parts!$A$2:$M$191,6,FALSE())=0,"",VLOOKUP($A87,Parts!$A$2:$M$191,6,FALSE())),"")</f>
        <v>WEIPU</v>
      </c>
      <c r="G87" t="str">
        <f>IFERROR(IF(VLOOKUP($A87,Parts!$A$2:$M$191,7,FALSE())=0,"",VLOOKUP($A87,Parts!$A$2:$M$191,7,FALSE())),"")</f>
        <v>SP1310/S2I-N</v>
      </c>
      <c r="H87" s="56" t="str">
        <f>IFERROR(IF(_xlfn.XLOOKUP($A87&amp;"|Ja",Part_Suppliers!$L$2:$L$300,Part_Suppliers!$B$2:$B$300,"",0)=0,"",_xlfn.XLOOKUP($A87&amp;"|Ja",Part_Suppliers!$L$2:$L$300,Part_Suppliers!$B$2:$B$300,"",0)),"")</f>
        <v>TME</v>
      </c>
      <c r="I87" t="str">
        <f>IFERROR(IF(_xlfn.XLOOKUP($A87&amp;"|Ja",Part_Suppliers!$L$2:$L$300,Part_Suppliers!$C$2:$C$300,"",0)=0,"",_xlfn.XLOOKUP($A87&amp;"|Ja",Part_Suppliers!$L$2:$L$300,Part_Suppliers!$C$2:$C$300,"",0)),"")</f>
        <v>SP1310/S2</v>
      </c>
      <c r="J87" s="57">
        <v>0</v>
      </c>
      <c r="K87" s="57">
        <v>0</v>
      </c>
      <c r="L87" s="45" t="str">
        <f>IFERROR(IF(VLOOKUP($A87,Parts!$A$2:$M$191,8,FALSE())=0,"",VLOOKUP($A87,Parts!$A$2:$M$191,8,FALSE())),"")</f>
        <v>Gehäusemontage (offen)</v>
      </c>
      <c r="M87" s="45" t="str">
        <f>IFERROR(IF(VLOOKUP($A87,Parts!$A$2:$M$191,12,FALSE())=0,"",VLOOKUP($A87,Parts!$A$2:$M$191,12,FALSE())),"")</f>
        <v>Bestellbare Variante für Kabeldurchmesser 4–6,5 mm; konkreten Kabeldurchmesser vor Kauf bestätigen.</v>
      </c>
      <c r="N87" s="58"/>
      <c r="O87" s="59" t="s">
        <v>85</v>
      </c>
      <c r="S87" t="str">
        <f>IF(O87="drucken",COUNTIF($O$5:O87,"drucken"),"")</f>
        <v/>
      </c>
    </row>
    <row r="88" spans="1:19" ht="39.5" customHeight="1" x14ac:dyDescent="0.2">
      <c r="A88" t="s">
        <v>176</v>
      </c>
      <c r="B88" t="str">
        <f>IFERROR(IF(VLOOKUP($A88,Parts!$A$2:$M$191,2,FALSE())=0,"",VLOOKUP($A88,Parts!$A$2:$M$191,2,FALSE())),"")</f>
        <v>Steckverbinder</v>
      </c>
      <c r="C88" s="45" t="str">
        <f>IFERROR(IF(VLOOKUP($A88,Parts!$A$2:$M$191,3,FALSE())=0,"",VLOOKUP($A88,Parts!$A$2:$M$191,3,FALSE())),"")</f>
        <v>WEIPU SP13 Gehäusebuchse, 4-polig</v>
      </c>
      <c r="D88" s="45" t="str">
        <f>IFERROR(IF(VLOOKUP($A88,Parts!$A$2:$M$191,4,FALSE())=0,"",VLOOKUP($A88,Parts!$A$2:$M$191,4,FALSE())),"")</f>
        <v>4-polig, Buchsenkontakte, IP68 gesteckt, Lötanschluss, Hinterwandmontage</v>
      </c>
      <c r="E88" s="45" t="str">
        <f>IFERROR(IF(VLOOKUP($A88,Parts!$A$2:$M$191,5,FALSE())=0,"",VLOOKUP($A88,Parts!$A$2:$M$191,5,FALSE())),"")</f>
        <v>WEIPU SP13 Gehäusebuchse, 4-polig</v>
      </c>
      <c r="F88" t="str">
        <f>IFERROR(IF(VLOOKUP($A88,Parts!$A$2:$M$191,6,FALSE())=0,"",VLOOKUP($A88,Parts!$A$2:$M$191,6,FALSE())),"")</f>
        <v>WEIPU</v>
      </c>
      <c r="G88" t="str">
        <f>IFERROR(IF(VLOOKUP($A88,Parts!$A$2:$M$191,7,FALSE())=0,"",VLOOKUP($A88,Parts!$A$2:$M$191,7,FALSE())),"")</f>
        <v>SP1312/S4-N</v>
      </c>
      <c r="H88" s="56" t="str">
        <f>IFERROR(IF(_xlfn.XLOOKUP($A88&amp;"|Ja",Part_Suppliers!$L$2:$L$300,Part_Suppliers!$B$2:$B$300,"",0)=0,"",_xlfn.XLOOKUP($A88&amp;"|Ja",Part_Suppliers!$L$2:$L$300,Part_Suppliers!$B$2:$B$300,"",0)),"")</f>
        <v>TME</v>
      </c>
      <c r="I88" t="str">
        <f>IFERROR(IF(_xlfn.XLOOKUP($A88&amp;"|Ja",Part_Suppliers!$L$2:$L$300,Part_Suppliers!$C$2:$C$300,"",0)=0,"",_xlfn.XLOOKUP($A88&amp;"|Ja",Part_Suppliers!$L$2:$L$300,Part_Suppliers!$C$2:$C$300,"",0)),"")</f>
        <v>SP1312/S4</v>
      </c>
      <c r="J88" s="57">
        <v>0</v>
      </c>
      <c r="K88" s="57">
        <v>0</v>
      </c>
      <c r="L88" s="45" t="str">
        <f>IFERROR(IF(VLOOKUP($A88,Parts!$A$2:$M$191,8,FALSE())=0,"",VLOOKUP($A88,Parts!$A$2:$M$191,8,FALSE())),"")</f>
        <v>Gehäusemontage (offen); Aktuell 29.09.2026: EnvNode Mini Bausatz Rev 0.8</v>
      </c>
      <c r="M88" s="45" t="str">
        <f>IFERROR(IF(VLOOKUP($A88,Parts!$A$2:$M$191,12,FALSE())=0,"",VLOOKUP($A88,Parts!$A$2:$M$191,12,FALSE())),"")</f>
        <v>Passend zu Kabelstecker SP1310/P4-N (ENP-00085). 5 A / 200 V AC; Panel-Ausschnitt Ø13 mm. Vorgesehen für I2C/GPIO/Sensorik.</v>
      </c>
      <c r="N88" s="58"/>
      <c r="O88" s="59" t="s">
        <v>85</v>
      </c>
      <c r="S88" t="str">
        <f>IF(O88="drucken",COUNTIF($O$5:O88,"drucken"),"")</f>
        <v/>
      </c>
    </row>
    <row r="89" spans="1:19" ht="39.5" customHeight="1" x14ac:dyDescent="0.2">
      <c r="A89" t="s">
        <v>177</v>
      </c>
      <c r="B89" t="str">
        <f>IFERROR(IF(VLOOKUP($A89,Parts!$A$2:$M$191,2,FALSE())=0,"",VLOOKUP($A89,Parts!$A$2:$M$191,2,FALSE())),"")</f>
        <v>Steckverbinder</v>
      </c>
      <c r="C89" s="45" t="str">
        <f>IFERROR(IF(VLOOKUP($A89,Parts!$A$2:$M$191,3,FALSE())=0,"",VLOOKUP($A89,Parts!$A$2:$M$191,3,FALSE())),"")</f>
        <v>WEIPU SP13 Kabelstecker, 4-polig</v>
      </c>
      <c r="D89" s="45" t="str">
        <f>IFERROR(IF(VLOOKUP($A89,Parts!$A$2:$M$191,4,FALSE())=0,"",VLOOKUP($A89,Parts!$A$2:$M$191,4,FALSE())),"")</f>
        <v>4-polig, Stiftkontakte, IP68 gesteckt, Lötanschluss</v>
      </c>
      <c r="E89" s="45" t="str">
        <f>IFERROR(IF(VLOOKUP($A89,Parts!$A$2:$M$191,5,FALSE())=0,"",VLOOKUP($A89,Parts!$A$2:$M$191,5,FALSE())),"")</f>
        <v>WEIPU SP13 Kabelstecker, 4-polig</v>
      </c>
      <c r="F89" t="str">
        <f>IFERROR(IF(VLOOKUP($A89,Parts!$A$2:$M$191,6,FALSE())=0,"",VLOOKUP($A89,Parts!$A$2:$M$191,6,FALSE())),"")</f>
        <v>WEIPU</v>
      </c>
      <c r="G89" t="str">
        <f>IFERROR(IF(VLOOKUP($A89,Parts!$A$2:$M$191,7,FALSE())=0,"",VLOOKUP($A89,Parts!$A$2:$M$191,7,FALSE())),"")</f>
        <v>SP1310/P4I-N</v>
      </c>
      <c r="H89" s="56" t="str">
        <f>IFERROR(IF(_xlfn.XLOOKUP($A89&amp;"|Ja",Part_Suppliers!$L$2:$L$300,Part_Suppliers!$B$2:$B$300,"",0)=0,"",_xlfn.XLOOKUP($A89&amp;"|Ja",Part_Suppliers!$L$2:$L$300,Part_Suppliers!$B$2:$B$300,"",0)),"")</f>
        <v>TME</v>
      </c>
      <c r="I89" t="str">
        <f>IFERROR(IF(_xlfn.XLOOKUP($A89&amp;"|Ja",Part_Suppliers!$L$2:$L$300,Part_Suppliers!$C$2:$C$300,"",0)=0,"",_xlfn.XLOOKUP($A89&amp;"|Ja",Part_Suppliers!$L$2:$L$300,Part_Suppliers!$C$2:$C$300,"",0)),"")</f>
        <v>SP1310/P4</v>
      </c>
      <c r="J89" s="57">
        <v>0</v>
      </c>
      <c r="K89" s="57">
        <v>0</v>
      </c>
      <c r="L89" s="45" t="str">
        <f>IFERROR(IF(VLOOKUP($A89,Parts!$A$2:$M$191,8,FALSE())=0,"",VLOOKUP($A89,Parts!$A$2:$M$191,8,FALSE())),"")</f>
        <v>Gehäusemontage (offen); Aktuell 29.09.2026: EnvNode Mini Bausatz Rev 0.8</v>
      </c>
      <c r="M89" s="45" t="str">
        <f>IFERROR(IF(VLOOKUP($A89,Parts!$A$2:$M$191,12,FALSE())=0,"",VLOOKUP($A89,Parts!$A$2:$M$191,12,FALSE())),"")</f>
        <v>Bestellbare Variante für Kabeldurchmesser 4–6,5 mm; konkreten Kabeldurchmesser vor Kauf bestätigen.</v>
      </c>
      <c r="N89" s="58"/>
      <c r="O89" s="59" t="s">
        <v>85</v>
      </c>
      <c r="S89" t="str">
        <f>IF(O89="drucken",COUNTIF($O$5:O89,"drucken"),"")</f>
        <v/>
      </c>
    </row>
    <row r="90" spans="1:19" ht="39.5" customHeight="1" x14ac:dyDescent="0.2">
      <c r="A90" t="s">
        <v>178</v>
      </c>
      <c r="B90" t="str">
        <f>IFERROR(IF(VLOOKUP($A90,Parts!$A$2:$M$191,2,FALSE())=0,"",VLOOKUP($A90,Parts!$A$2:$M$191,2,FALSE())),"")</f>
        <v>Steckverbinder</v>
      </c>
      <c r="C90" s="45" t="str">
        <f>IFERROR(IF(VLOOKUP($A90,Parts!$A$2:$M$191,3,FALSE())=0,"",VLOOKUP($A90,Parts!$A$2:$M$191,3,FALSE())),"")</f>
        <v>WEIPU SP13 Gehäusestecker, 4-polig</v>
      </c>
      <c r="D90" s="45" t="str">
        <f>IFERROR(IF(VLOOKUP($A90,Parts!$A$2:$M$191,4,FALSE())=0,"",VLOOKUP($A90,Parts!$A$2:$M$191,4,FALSE())),"")</f>
        <v>4-polig, Stiftkontakte, IP68 gesteckt, Lötanschluss, Hinterwandmontage</v>
      </c>
      <c r="E90" s="45" t="str">
        <f>IFERROR(IF(VLOOKUP($A90,Parts!$A$2:$M$191,5,FALSE())=0,"",VLOOKUP($A90,Parts!$A$2:$M$191,5,FALSE())),"")</f>
        <v>WEIPU SP13 Gehäusestecker, 4-polig</v>
      </c>
      <c r="F90" t="str">
        <f>IFERROR(IF(VLOOKUP($A90,Parts!$A$2:$M$191,6,FALSE())=0,"",VLOOKUP($A90,Parts!$A$2:$M$191,6,FALSE())),"")</f>
        <v>WEIPU</v>
      </c>
      <c r="G90" t="str">
        <f>IFERROR(IF(VLOOKUP($A90,Parts!$A$2:$M$191,7,FALSE())=0,"",VLOOKUP($A90,Parts!$A$2:$M$191,7,FALSE())),"")</f>
        <v>SP1312/P4-N</v>
      </c>
      <c r="H90" s="56" t="str">
        <f>IFERROR(IF(_xlfn.XLOOKUP($A90&amp;"|Ja",Part_Suppliers!$L$2:$L$300,Part_Suppliers!$B$2:$B$300,"",0)=0,"",_xlfn.XLOOKUP($A90&amp;"|Ja",Part_Suppliers!$L$2:$L$300,Part_Suppliers!$B$2:$B$300,"",0)),"")</f>
        <v>TME</v>
      </c>
      <c r="I90" t="str">
        <f>IFERROR(IF(_xlfn.XLOOKUP($A90&amp;"|Ja",Part_Suppliers!$L$2:$L$300,Part_Suppliers!$C$2:$C$300,"",0)=0,"",_xlfn.XLOOKUP($A90&amp;"|Ja",Part_Suppliers!$L$2:$L$300,Part_Suppliers!$C$2:$C$300,"",0)),"")</f>
        <v>SP1312/P4</v>
      </c>
      <c r="J90" s="57">
        <v>0</v>
      </c>
      <c r="K90" s="57">
        <v>0</v>
      </c>
      <c r="L90" s="45" t="str">
        <f>IFERROR(IF(VLOOKUP($A90,Parts!$A$2:$M$191,8,FALSE())=0,"",VLOOKUP($A90,Parts!$A$2:$M$191,8,FALSE())),"")</f>
        <v>Gehäusemontage (offen)</v>
      </c>
      <c r="M90" s="45" t="str">
        <f>IFERROR(IF(VLOOKUP($A90,Parts!$A$2:$M$191,12,FALSE())=0,"",VLOOKUP($A90,Parts!$A$2:$M$191,12,FALSE())),"")</f>
        <v>Passend zu Kabelbuchse SP1310/S4-N (ENP-00087). 5 A / 200 V AC; Panel-Ausschnitt Ø13 mm. Vorgesehen für I2C/GPIO/Sensorik.</v>
      </c>
      <c r="N90" s="58"/>
      <c r="O90" s="59" t="s">
        <v>85</v>
      </c>
      <c r="S90" t="str">
        <f>IF(O90="drucken",COUNTIF($O$5:O90,"drucken"),"")</f>
        <v/>
      </c>
    </row>
    <row r="91" spans="1:19" ht="39.5" customHeight="1" x14ac:dyDescent="0.2">
      <c r="A91" t="s">
        <v>179</v>
      </c>
      <c r="B91" t="str">
        <f>IFERROR(IF(VLOOKUP($A91,Parts!$A$2:$M$191,2,FALSE())=0,"",VLOOKUP($A91,Parts!$A$2:$M$191,2,FALSE())),"")</f>
        <v>Steckverbinder</v>
      </c>
      <c r="C91" s="45" t="str">
        <f>IFERROR(IF(VLOOKUP($A91,Parts!$A$2:$M$191,3,FALSE())=0,"",VLOOKUP($A91,Parts!$A$2:$M$191,3,FALSE())),"")</f>
        <v>WEIPU SP13 Kabelbuchse, 4-polig</v>
      </c>
      <c r="D91" s="45" t="str">
        <f>IFERROR(IF(VLOOKUP($A91,Parts!$A$2:$M$191,4,FALSE())=0,"",VLOOKUP($A91,Parts!$A$2:$M$191,4,FALSE())),"")</f>
        <v>4-polig, Buchsenkontakte, IP68 gesteckt, Lötanschluss</v>
      </c>
      <c r="E91" s="45" t="str">
        <f>IFERROR(IF(VLOOKUP($A91,Parts!$A$2:$M$191,5,FALSE())=0,"",VLOOKUP($A91,Parts!$A$2:$M$191,5,FALSE())),"")</f>
        <v>WEIPU SP13 Kabelbuchse, 4-polig</v>
      </c>
      <c r="F91" t="str">
        <f>IFERROR(IF(VLOOKUP($A91,Parts!$A$2:$M$191,6,FALSE())=0,"",VLOOKUP($A91,Parts!$A$2:$M$191,6,FALSE())),"")</f>
        <v>WEIPU</v>
      </c>
      <c r="G91" t="str">
        <f>IFERROR(IF(VLOOKUP($A91,Parts!$A$2:$M$191,7,FALSE())=0,"",VLOOKUP($A91,Parts!$A$2:$M$191,7,FALSE())),"")</f>
        <v>SP1310/S4I-N</v>
      </c>
      <c r="H91" s="56" t="str">
        <f>IFERROR(IF(_xlfn.XLOOKUP($A91&amp;"|Ja",Part_Suppliers!$L$2:$L$300,Part_Suppliers!$B$2:$B$300,"",0)=0,"",_xlfn.XLOOKUP($A91&amp;"|Ja",Part_Suppliers!$L$2:$L$300,Part_Suppliers!$B$2:$B$300,"",0)),"")</f>
        <v>TME</v>
      </c>
      <c r="I91" t="str">
        <f>IFERROR(IF(_xlfn.XLOOKUP($A91&amp;"|Ja",Part_Suppliers!$L$2:$L$300,Part_Suppliers!$C$2:$C$300,"",0)=0,"",_xlfn.XLOOKUP($A91&amp;"|Ja",Part_Suppliers!$L$2:$L$300,Part_Suppliers!$C$2:$C$300,"",0)),"")</f>
        <v>SP1310/S4</v>
      </c>
      <c r="J91" s="57">
        <v>0</v>
      </c>
      <c r="K91" s="57">
        <v>0</v>
      </c>
      <c r="L91" s="45" t="str">
        <f>IFERROR(IF(VLOOKUP($A91,Parts!$A$2:$M$191,8,FALSE())=0,"",VLOOKUP($A91,Parts!$A$2:$M$191,8,FALSE())),"")</f>
        <v>Gehäusemontage (offen)</v>
      </c>
      <c r="M91" s="45" t="str">
        <f>IFERROR(IF(VLOOKUP($A91,Parts!$A$2:$M$191,12,FALSE())=0,"",VLOOKUP($A91,Parts!$A$2:$M$191,12,FALSE())),"")</f>
        <v>Bestellbare Variante für Kabeldurchmesser 4–6,5 mm; konkreten Kabeldurchmesser vor Kauf bestätigen.</v>
      </c>
      <c r="N91" s="58"/>
      <c r="O91" s="59" t="s">
        <v>85</v>
      </c>
      <c r="S91" t="str">
        <f>IF(O91="drucken",COUNTIF($O$5:O91,"drucken"),"")</f>
        <v/>
      </c>
    </row>
    <row r="92" spans="1:19" ht="39.5" customHeight="1" x14ac:dyDescent="0.2">
      <c r="A92" t="s">
        <v>180</v>
      </c>
      <c r="B92" t="str">
        <f>IFERROR(IF(VLOOKUP($A92,Parts!$A$2:$M$191,2,FALSE())=0,"",VLOOKUP($A92,Parts!$A$2:$M$191,2,FALSE())),"")</f>
        <v>Steckverbinder</v>
      </c>
      <c r="C92" s="45" t="str">
        <f>IFERROR(IF(VLOOKUP($A92,Parts!$A$2:$M$191,3,FALSE())=0,"",VLOOKUP($A92,Parts!$A$2:$M$191,3,FALSE())),"")</f>
        <v>DC-Einbaubuchse 5,5/2,1 mm – EnvNode 5-V-Versorgung</v>
      </c>
      <c r="D92" s="45" t="str">
        <f>IFERROR(IF(VLOOKUP($A92,Parts!$A$2:$M$191,4,FALSE())=0,"",VLOOKUP($A92,Parts!$A$2:$M$191,4,FALSE())),"")</f>
        <v>5,5 × 2,1 mm, 2-polig, 20 V DC / 10 A, Lötanschluss</v>
      </c>
      <c r="E92" s="45" t="str">
        <f>IFERROR(IF(VLOOKUP($A92,Parts!$A$2:$M$191,5,FALSE())=0,"",VLOOKUP($A92,Parts!$A$2:$M$191,5,FALSE())),"")</f>
        <v/>
      </c>
      <c r="F92" t="str">
        <f>IFERROR(IF(VLOOKUP($A92,Parts!$A$2:$M$191,6,FALSE())=0,"",VLOOKUP($A92,Parts!$A$2:$M$191,6,FALSE())),"")</f>
        <v>Delock</v>
      </c>
      <c r="G92" t="str">
        <f>IFERROR(IF(VLOOKUP($A92,Parts!$A$2:$M$191,7,FALSE())=0,"",VLOOKUP($A92,Parts!$A$2:$M$191,7,FALSE())),"")</f>
        <v>90174</v>
      </c>
      <c r="H92" s="56" t="str">
        <f>IFERROR(IF(_xlfn.XLOOKUP($A92&amp;"|Ja",Part_Suppliers!$L$2:$L$300,Part_Suppliers!$B$2:$B$300,"",0)=0,"",_xlfn.XLOOKUP($A92&amp;"|Ja",Part_Suppliers!$L$2:$L$300,Part_Suppliers!$B$2:$B$300,"",0)),"")</f>
        <v>Reichelt</v>
      </c>
      <c r="I92" t="str">
        <f>IFERROR(IF(_xlfn.XLOOKUP($A92&amp;"|Ja",Part_Suppliers!$L$2:$L$300,Part_Suppliers!$C$2:$C$300,"",0)=0,"",_xlfn.XLOOKUP($A92&amp;"|Ja",Part_Suppliers!$L$2:$L$300,Part_Suppliers!$C$2:$C$300,"",0)),"")</f>
        <v>DELOCK 90174</v>
      </c>
      <c r="J92" s="57">
        <v>1</v>
      </c>
      <c r="K92" s="57">
        <v>0</v>
      </c>
      <c r="L92" s="45" t="str">
        <f>IFERROR(IF(VLOOKUP($A92,Parts!$A$2:$M$191,8,FALSE())=0,"",VLOOKUP($A92,Parts!$A$2:$M$191,8,FALSE())),"")</f>
        <v>Gehäusemontage (offen)</v>
      </c>
      <c r="M92" s="45" t="str">
        <f>IFERROR(IF(VLOOKUP($A92,Parts!$A$2:$M$191,12,FALSE())=0,"",VLOOKUP($A92,Parts!$A$2:$M$191,12,FALSE())),"")</f>
        <v>Für 5-V-Versorgung in trockener Umgebung. Passend für DC-Stecker 5,5/2,1 mm mit 9,5 oder 12 mm Stiftlänge. Polarität im Kit verbindlich festlegen, empfohlen: Plus am Innenkontakt.</v>
      </c>
      <c r="N92" s="58"/>
      <c r="O92" s="59" t="s">
        <v>181</v>
      </c>
      <c r="S92">
        <f>IF(O92="drucken",COUNTIF($O$5:O92,"drucken"),"")</f>
        <v>2</v>
      </c>
    </row>
    <row r="93" spans="1:19" ht="39.5" customHeight="1" x14ac:dyDescent="0.2">
      <c r="A93" t="s">
        <v>182</v>
      </c>
      <c r="B93" t="str">
        <f>IFERROR(IF(VLOOKUP($A93,Parts!$A$2:$M$191,2,FALSE())=0,"",VLOOKUP($A93,Parts!$A$2:$M$191,2,FALSE())),"")</f>
        <v>Steckverbinder</v>
      </c>
      <c r="C93" s="45" t="str">
        <f>IFERROR(IF(VLOOKUP($A93,Parts!$A$2:$M$191,3,FALSE())=0,"",VLOOKUP($A93,Parts!$A$2:$M$191,3,FALSE())),"")</f>
        <v>USB-C-Buchse, 16-polig, USB 2.0, Top-Mount</v>
      </c>
      <c r="D93" s="45" t="str">
        <f>IFERROR(IF(VLOOKUP($A93,Parts!$A$2:$M$191,4,FALSE())=0,"",VLOOKUP($A93,Parts!$A$2:$M$191,4,FALSE())),"")</f>
        <v>USB Type-C Receptacle, 16 Signalpins (+ 8 Dummy), 5 A, 48 V DC, SMD/TH, horizontal</v>
      </c>
      <c r="E93" s="45" t="str">
        <f>IFERROR(IF(VLOOKUP($A93,Parts!$A$2:$M$191,5,FALSE())=0,"",VLOOKUP($A93,Parts!$A$2:$M$191,5,FALSE())),"")</f>
        <v>Connector_USB:USB_C_Receptacle_GCT_USB4105-xx-A_16P_TopMnt_Horizontal</v>
      </c>
      <c r="F93" t="str">
        <f>IFERROR(IF(VLOOKUP($A93,Parts!$A$2:$M$191,6,FALSE())=0,"",VLOOKUP($A93,Parts!$A$2:$M$191,6,FALSE())),"")</f>
        <v>GCT</v>
      </c>
      <c r="G93" t="str">
        <f>IFERROR(IF(VLOOKUP($A93,Parts!$A$2:$M$191,7,FALSE())=0,"",VLOOKUP($A93,Parts!$A$2:$M$191,7,FALSE())),"")</f>
        <v>USB4105-GF-A</v>
      </c>
      <c r="H93" s="56" t="str">
        <f>IFERROR(IF(_xlfn.XLOOKUP($A93&amp;"|Ja",Part_Suppliers!$L$2:$L$300,Part_Suppliers!$B$2:$B$300,"",0)=0,"",_xlfn.XLOOKUP($A93&amp;"|Ja",Part_Suppliers!$L$2:$L$300,Part_Suppliers!$B$2:$B$300,"",0)),"")</f>
        <v>DigiKey</v>
      </c>
      <c r="I93" t="str">
        <f>IFERROR(IF(_xlfn.XLOOKUP($A93&amp;"|Ja",Part_Suppliers!$L$2:$L$300,Part_Suppliers!$C$2:$C$300,"",0)=0,"",_xlfn.XLOOKUP($A93&amp;"|Ja",Part_Suppliers!$L$2:$L$300,Part_Suppliers!$C$2:$C$300,"",0)),"")</f>
        <v>2073-USB4105-GF-ACT-ND</v>
      </c>
      <c r="J93" s="57">
        <v>6</v>
      </c>
      <c r="K93" s="57">
        <v>0</v>
      </c>
      <c r="L93" s="45" t="str">
        <f>IFERROR(IF(VLOOKUP($A93,Parts!$A$2:$M$191,8,FALSE())=0,"",VLOOKUP($A93,Parts!$A$2:$M$191,8,FALSE())),"")</f>
        <v>EnvNode Rev 0.2</v>
      </c>
      <c r="M93" s="45" t="str">
        <f>IFERROR(IF(VLOOKUP($A93,Parts!$A$2:$M$191,12,FALSE())=0,"",VLOOKUP($A93,Parts!$A$2:$M$191,12,FALSE())),"")</f>
        <v>Power-only mit Symbol Connector:USB_C_Receptacle_USB2.0_16P. Robuste Top-Mount-Ausführung mit vier durchkontaktierten Shield-/Haltezungen. D+/D− und SBU1/SBU2 NC; Shield an GND; CC1 und CC2 jeweils separat über 5,1 kΩ nach GND.</v>
      </c>
      <c r="N93" s="58"/>
      <c r="O93" s="59" t="s">
        <v>85</v>
      </c>
      <c r="S93" t="str">
        <f>IF(O93="drucken",COUNTIF($O$5:O93,"drucken"),"")</f>
        <v/>
      </c>
    </row>
    <row r="94" spans="1:19" ht="39.5" customHeight="1" x14ac:dyDescent="0.2">
      <c r="A94" t="s">
        <v>183</v>
      </c>
      <c r="B94" t="str">
        <f>IFERROR(IF(VLOOKUP($A94,Parts!$A$2:$M$191,2,FALSE())=0,"",VLOOKUP($A94,Parts!$A$2:$M$191,2,FALSE())),"")</f>
        <v>Widerstand</v>
      </c>
      <c r="C94" s="45" t="str">
        <f>IFERROR(IF(VLOOKUP($A94,Parts!$A$2:$M$191,3,FALSE())=0,"",VLOOKUP($A94,Parts!$A$2:$M$191,3,FALSE())),"")</f>
        <v>SMD-Widerstand 5,1 kOhm, 5 %, 1206</v>
      </c>
      <c r="D94" s="45" t="str">
        <f>IFERROR(IF(VLOOKUP($A94,Parts!$A$2:$M$191,4,FALSE())=0,"",VLOOKUP($A94,Parts!$A$2:$M$191,4,FALSE())),"")</f>
        <v>5,1 kΩ, 5 %, 250 mW</v>
      </c>
      <c r="E94" s="45" t="str">
        <f>IFERROR(IF(VLOOKUP($A94,Parts!$A$2:$M$191,5,FALSE())=0,"",VLOOKUP($A94,Parts!$A$2:$M$191,5,FALSE())),"")</f>
        <v>Resistor_SMD:R_1206_3216Metric_Pad1.30x1.75mm_HandSolder</v>
      </c>
      <c r="F94" t="str">
        <f>IFERROR(IF(VLOOKUP($A94,Parts!$A$2:$M$191,6,FALSE())=0,"",VLOOKUP($A94,Parts!$A$2:$M$191,6,FALSE())),"")</f>
        <v>Yageo</v>
      </c>
      <c r="G94" t="str">
        <f>IFERROR(IF(VLOOKUP($A94,Parts!$A$2:$M$191,7,FALSE())=0,"",VLOOKUP($A94,Parts!$A$2:$M$191,7,FALSE())),"")</f>
        <v>RC1206JR-075K1L</v>
      </c>
      <c r="H94" s="56" t="str">
        <f>IFERROR(IF(_xlfn.XLOOKUP($A94&amp;"|Ja",Part_Suppliers!$L$2:$L$300,Part_Suppliers!$B$2:$B$300,"",0)=0,"",_xlfn.XLOOKUP($A94&amp;"|Ja",Part_Suppliers!$L$2:$L$300,Part_Suppliers!$B$2:$B$300,"",0)),"")</f>
        <v>Reichelt</v>
      </c>
      <c r="I94" t="str">
        <f>IFERROR(IF(_xlfn.XLOOKUP($A94&amp;"|Ja",Part_Suppliers!$L$2:$L$300,Part_Suppliers!$C$2:$C$300,"",0)=0,"",_xlfn.XLOOKUP($A94&amp;"|Ja",Part_Suppliers!$L$2:$L$300,Part_Suppliers!$C$2:$C$300,"",0)),"")</f>
        <v>SMD 1/4W 5,1K</v>
      </c>
      <c r="J94" s="57">
        <v>0</v>
      </c>
      <c r="K94" s="57">
        <v>20</v>
      </c>
      <c r="L94" s="45" t="str">
        <f>IFERROR(IF(VLOOKUP($A94,Parts!$A$2:$M$191,8,FALSE())=0,"",VLOOKUP($A94,Parts!$A$2:$M$191,8,FALSE())),"")</f>
        <v>EnvNode Rev 0.2</v>
      </c>
      <c r="M94" s="45" t="str">
        <f>IFERROR(IF(VLOOKUP($A94,Parts!$A$2:$M$191,12,FALSE())=0,"",VLOOKUP($A94,Parts!$A$2:$M$191,12,FALSE())),"")&amp;" | Verbrauch Auftrag 22.09.2026: 4. Gebucht 27.09.2026. Negativer Bestand: Wareneingang/Artikelzuordnung klären."</f>
        <v>Zwei Stück als getrennte USB-C-Rd-Widerstände: je einer von CC1 bzw. CC2 nach GND; CC1 und CC2 nicht miteinander verbinden. Die Reichelt-Ausführung mit 5 % Toleranz ist für diese Funktion geeignet. | Verbrauch Auftrag 22.09.2026: 4. Gebucht 27.09.2026. Negativer Bestand: Wareneingang/Artikelzuordnung klären.</v>
      </c>
      <c r="N94" s="58"/>
      <c r="O94" s="59" t="s">
        <v>85</v>
      </c>
      <c r="S94" t="str">
        <f>IF(O94="drucken",COUNTIF($O$5:O94,"drucken"),"")</f>
        <v/>
      </c>
    </row>
    <row r="95" spans="1:19" ht="39.5" customHeight="1" x14ac:dyDescent="0.2">
      <c r="A95" t="s">
        <v>184</v>
      </c>
      <c r="B95" t="str">
        <f>IFERROR(IF(VLOOKUP($A95,Parts!$A$2:$M$191,2,FALSE())=0,"",VLOOKUP($A95,Parts!$A$2:$M$191,2,FALSE())),"")</f>
        <v>Steckverbinder</v>
      </c>
      <c r="C95" s="45" t="str">
        <f>IFERROR(IF(VLOOKUP($A95,Parts!$A$2:$M$191,3,FALSE())=0,"",VLOOKUP($A95,Parts!$A$2:$M$191,3,FALSE())),"")</f>
        <v>Präzisions-Buchsenleiste 1x8, 2,54 mm, gerade</v>
      </c>
      <c r="D95" s="45" t="str">
        <f>IFERROR(IF(VLOOKUP($A95,Parts!$A$2:$M$191,4,FALSE())=0,"",VLOOKUP($A95,Parts!$A$2:$M$191,4,FALSE())),"")</f>
        <v>1x8, 2,54 mm, THT, gerade, Präzisionskontakte, 3 A / 150 V</v>
      </c>
      <c r="E95" s="45" t="str">
        <f>IFERROR(IF(VLOOKUP($A95,Parts!$A$2:$M$191,5,FALSE())=0,"",VLOOKUP($A95,Parts!$A$2:$M$191,5,FALSE())),"")</f>
        <v>Connector_PinSocket_2.54mm:PinSocket_1x08_P2.54mm_Vertical</v>
      </c>
      <c r="F95" t="str">
        <f>IFERROR(IF(VLOOKUP($A95,Parts!$A$2:$M$191,6,FALSE())=0,"",VLOOKUP($A95,Parts!$A$2:$M$191,6,FALSE())),"")</f>
        <v>Binder MPE</v>
      </c>
      <c r="G95" t="str">
        <f>IFERROR(IF(VLOOKUP($A95,Parts!$A$2:$M$191,7,FALSE())=0,"",VLOOKUP($A95,Parts!$A$2:$M$191,7,FALSE())),"")</f>
        <v>115-1-008-1-0-MTF-XS0</v>
      </c>
      <c r="H95" s="56" t="str">
        <f>IFERROR(IF(_xlfn.XLOOKUP($A95&amp;"|Ja",Part_Suppliers!$L$2:$L$300,Part_Suppliers!$B$2:$B$300,"",0)=0,"",_xlfn.XLOOKUP($A95&amp;"|Ja",Part_Suppliers!$L$2:$L$300,Part_Suppliers!$B$2:$B$300,"",0)),"")</f>
        <v>Reichelt</v>
      </c>
      <c r="I95" t="str">
        <f>IFERROR(IF(_xlfn.XLOOKUP($A95&amp;"|Ja",Part_Suppliers!$L$2:$L$300,Part_Suppliers!$C$2:$C$300,"",0)=0,"",_xlfn.XLOOKUP($A95&amp;"|Ja",Part_Suppliers!$L$2:$L$300,Part_Suppliers!$C$2:$C$300,"",0)),"")</f>
        <v>MPE 115-1-008</v>
      </c>
      <c r="J95" s="57">
        <v>4</v>
      </c>
      <c r="K95" s="57">
        <v>0</v>
      </c>
      <c r="L95" s="45" t="str">
        <f>IFERROR(IF(VLOOKUP($A95,Parts!$A$2:$M$191,8,FALSE())=0,"",VLOOKUP($A95,Parts!$A$2:$M$191,8,FALSE())),"")</f>
        <v>Bestand/Werkstatt</v>
      </c>
      <c r="M95" s="45" t="str">
        <f>IFERROR(IF(VLOOKUP($A95,Parts!$A$2:$M$191,12,FALSE())=0,"",VLOOKUP($A95,Parts!$A$2:$M$191,12,FALSE())),"")</f>
        <v>Gerade THT-Präzisionsbuchsenleiste mit gedrehten Kontakten; Höhe 7 mm, UL 94V-0, Temperaturbereich −55 bis +125 °C. Derzeit keinem Kit oder KiCad-BOM zugeordnet.</v>
      </c>
      <c r="N95" s="58"/>
      <c r="O95" s="59" t="s">
        <v>85</v>
      </c>
      <c r="S95" t="str">
        <f>IF(O95="drucken",COUNTIF($O$5:O95,"drucken"),"")</f>
        <v/>
      </c>
    </row>
    <row r="96" spans="1:19" ht="39.5" customHeight="1" x14ac:dyDescent="0.2">
      <c r="A96" t="s">
        <v>185</v>
      </c>
      <c r="B96" t="str">
        <f>IFERROR(IF(VLOOKUP($A96,Parts!$A$2:$M$191,2,FALSE())=0,"",VLOOKUP($A96,Parts!$A$2:$M$191,2,FALSE())),"")</f>
        <v>MOSFET</v>
      </c>
      <c r="C96" s="45" t="str">
        <f>IFERROR(IF(VLOOKUP($A96,Parts!$A$2:$M$191,3,FALSE())=0,"",VLOOKUP($A96,Parts!$A$2:$M$191,3,FALSE())),"")</f>
        <v>Dual-MOSFET N-/P-Kanal, SO-8</v>
      </c>
      <c r="D96" s="45" t="str">
        <f>IFERROR(IF(VLOOKUP($A96,Parts!$A$2:$M$191,4,FALSE())=0,"",VLOOKUP($A96,Parts!$A$2:$M$191,4,FALSE())),"")</f>
        <v>N-/P-Kanal, ±30 V, 1,4 W</v>
      </c>
      <c r="E96" s="45" t="str">
        <f>IFERROR(IF(VLOOKUP($A96,Parts!$A$2:$M$191,5,FALSE())=0,"",VLOOKUP($A96,Parts!$A$2:$M$191,5,FALSE())),"")</f>
        <v>Package_SO:SOIC-8_3.9x4.9mm_P1.27mm</v>
      </c>
      <c r="F96" t="str">
        <f>IFERROR(IF(VLOOKUP($A96,Parts!$A$2:$M$191,6,FALSE())=0,"",VLOOKUP($A96,Parts!$A$2:$M$191,6,FALSE())),"")</f>
        <v>Infineon</v>
      </c>
      <c r="G96" t="str">
        <f>IFERROR(IF(VLOOKUP($A96,Parts!$A$2:$M$191,7,FALSE())=0,"",VLOOKUP($A96,Parts!$A$2:$M$191,7,FALSE())),"")</f>
        <v>IRF7309PBF</v>
      </c>
      <c r="H96" s="56" t="str">
        <f>IFERROR(IF(_xlfn.XLOOKUP($A96&amp;"|Ja",Part_Suppliers!$L$2:$L$300,Part_Suppliers!$B$2:$B$300,"",0)=0,"",_xlfn.XLOOKUP($A96&amp;"|Ja",Part_Suppliers!$L$2:$L$300,Part_Suppliers!$B$2:$B$300,"",0)),"")</f>
        <v>Reichelt</v>
      </c>
      <c r="I96" t="str">
        <f>IFERROR(IF(_xlfn.XLOOKUP($A96&amp;"|Ja",Part_Suppliers!$L$2:$L$300,Part_Suppliers!$C$2:$C$300,"",0)=0,"",_xlfn.XLOOKUP($A96&amp;"|Ja",Part_Suppliers!$L$2:$L$300,Part_Suppliers!$C$2:$C$300,"",0)),"")</f>
        <v>IRF 7309</v>
      </c>
      <c r="J96" s="57">
        <v>16</v>
      </c>
      <c r="K96" s="57">
        <v>0</v>
      </c>
      <c r="L96" s="45" t="str">
        <f>IFERROR(IF(VLOOKUP($A96,Parts!$A$2:$M$191,8,FALSE())=0,"",VLOOKUP($A96,Parts!$A$2:$M$191,8,FALSE())),"")</f>
        <v>Bestand/Werkstatt</v>
      </c>
      <c r="M96" s="45" t="str">
        <f>IFERROR(IF(VLOOKUP($A96,Parts!$A$2:$M$191,12,FALSE())=0,"",VLOOKUP($A96,Parts!$A$2:$M$191,12,FALSE())),"")</f>
        <v>Komplementäres N-/P-Kanal-MOSFET-Paar im SO-8-Gehäuse; derzeit keinem Kit oder KiCad-BOM zugeordnet.</v>
      </c>
      <c r="N96" s="58"/>
      <c r="O96" s="59" t="s">
        <v>85</v>
      </c>
      <c r="S96" t="str">
        <f>IF(O96="drucken",COUNTIF($O$5:O96,"drucken"),"")</f>
        <v/>
      </c>
    </row>
    <row r="97" spans="1:19" ht="39.5" customHeight="1" x14ac:dyDescent="0.2">
      <c r="A97" t="s">
        <v>186</v>
      </c>
      <c r="B97" t="str">
        <f>IFERROR(IF(VLOOKUP($A97,Parts!$A$2:$M$191,2,FALSE())=0,"",VLOOKUP($A97,Parts!$A$2:$M$191,2,FALSE())),"")</f>
        <v>Widerstand</v>
      </c>
      <c r="C97" s="45" t="str">
        <f>IFERROR(IF(VLOOKUP($A97,Parts!$A$2:$M$191,3,FALSE())=0,"",VLOOKUP($A97,Parts!$A$2:$M$191,3,FALSE())),"")</f>
        <v>SMD-Widerstand 100 kOhm, 5 %, 1206</v>
      </c>
      <c r="D97" s="45" t="str">
        <f>IFERROR(IF(VLOOKUP($A97,Parts!$A$2:$M$191,4,FALSE())=0,"",VLOOKUP($A97,Parts!$A$2:$M$191,4,FALSE())),"")</f>
        <v>100 kΩ, 5 %, 250 mW, 200 V, ±100 ppm/K</v>
      </c>
      <c r="E97" s="45" t="str">
        <f>IFERROR(IF(VLOOKUP($A97,Parts!$A$2:$M$191,5,FALSE())=0,"",VLOOKUP($A97,Parts!$A$2:$M$191,5,FALSE())),"")</f>
        <v>Resistor_SMD:R_1206_3216Metric_Pad1.30x1.75mm_HandSolder</v>
      </c>
      <c r="F97" t="str">
        <f>IFERROR(IF(VLOOKUP($A97,Parts!$A$2:$M$191,6,FALSE())=0,"",VLOOKUP($A97,Parts!$A$2:$M$191,6,FALSE())),"")</f>
        <v>Yageo</v>
      </c>
      <c r="G97" t="str">
        <f>IFERROR(IF(VLOOKUP($A97,Parts!$A$2:$M$191,7,FALSE())=0,"",VLOOKUP($A97,Parts!$A$2:$M$191,7,FALSE())),"")</f>
        <v>RC1206JR-07100KL</v>
      </c>
      <c r="H97" s="56" t="str">
        <f>IFERROR(IF(_xlfn.XLOOKUP($A97&amp;"|Ja",Part_Suppliers!$L$2:$L$300,Part_Suppliers!$B$2:$B$300,"",0)=0,"",_xlfn.XLOOKUP($A97&amp;"|Ja",Part_Suppliers!$L$2:$L$300,Part_Suppliers!$B$2:$B$300,"",0)),"")</f>
        <v>Reichelt</v>
      </c>
      <c r="I97" t="str">
        <f>IFERROR(IF(_xlfn.XLOOKUP($A97&amp;"|Ja",Part_Suppliers!$L$2:$L$300,Part_Suppliers!$C$2:$C$300,"",0)=0,"",_xlfn.XLOOKUP($A97&amp;"|Ja",Part_Suppliers!$L$2:$L$300,Part_Suppliers!$C$2:$C$300,"",0)),"")</f>
        <v>SMD 1/4W 100K</v>
      </c>
      <c r="J97" s="57">
        <v>16</v>
      </c>
      <c r="K97" s="57">
        <v>0</v>
      </c>
      <c r="L97" s="45" t="str">
        <f>IFERROR(IF(VLOOKUP($A97,Parts!$A$2:$M$191,8,FALSE())=0,"",VLOOKUP($A97,Parts!$A$2:$M$191,8,FALSE())),"")</f>
        <v>Bestand/Werkstatt</v>
      </c>
      <c r="M97" s="45" t="str">
        <f>IFERROR(IF(VLOOKUP($A97,Parts!$A$2:$M$191,12,FALSE())=0,"",VLOOKUP($A97,Parts!$A$2:$M$191,12,FALSE())),"")</f>
        <v>Nicht mit ENP-00016 zusammenführen: Dieser Artikel hat 5 % Toleranz; ENP-00016 hat 0,1 %. Derzeit keinem Kit oder KiCad-BOM zugeordnet.</v>
      </c>
      <c r="N97" s="58"/>
      <c r="O97" s="59" t="s">
        <v>85</v>
      </c>
      <c r="S97" t="str">
        <f>IF(O97="drucken",COUNTIF($O$5:O97,"drucken"),"")</f>
        <v/>
      </c>
    </row>
    <row r="98" spans="1:19" ht="39.5" customHeight="1" x14ac:dyDescent="0.2">
      <c r="A98" t="s">
        <v>187</v>
      </c>
      <c r="B98" t="str">
        <f>IFERROR(IF(VLOOKUP($A98,Parts!$A$2:$M$191,2,FALSE())=0,"",VLOOKUP($A98,Parts!$A$2:$M$191,2,FALSE())),"")</f>
        <v>Widerstand</v>
      </c>
      <c r="C98" s="45" t="str">
        <f>IFERROR(IF(VLOOKUP($A98,Parts!$A$2:$M$191,3,FALSE())=0,"",VLOOKUP($A98,Parts!$A$2:$M$191,3,FALSE())),"")</f>
        <v>SMD-Widerstand 10 kOhm, 5 %, 1206</v>
      </c>
      <c r="D98" s="45" t="str">
        <f>IFERROR(IF(VLOOKUP($A98,Parts!$A$2:$M$191,4,FALSE())=0,"",VLOOKUP($A98,Parts!$A$2:$M$191,4,FALSE())),"")</f>
        <v>10 kΩ, 5 %, 250 mW, 200 V, ±100 ppm/K</v>
      </c>
      <c r="E98" s="45" t="str">
        <f>IFERROR(IF(VLOOKUP($A98,Parts!$A$2:$M$191,5,FALSE())=0,"",VLOOKUP($A98,Parts!$A$2:$M$191,5,FALSE())),"")</f>
        <v>Resistor_SMD:R_1206_3216Metric_Pad1.30x1.75mm_HandSolder</v>
      </c>
      <c r="F98" t="str">
        <f>IFERROR(IF(VLOOKUP($A98,Parts!$A$2:$M$191,6,FALSE())=0,"",VLOOKUP($A98,Parts!$A$2:$M$191,6,FALSE())),"")</f>
        <v>Yageo</v>
      </c>
      <c r="G98" t="str">
        <f>IFERROR(IF(VLOOKUP($A98,Parts!$A$2:$M$191,7,FALSE())=0,"",VLOOKUP($A98,Parts!$A$2:$M$191,7,FALSE())),"")</f>
        <v>RC1206JR-0710KL</v>
      </c>
      <c r="H98" s="56" t="str">
        <f>IFERROR(IF(_xlfn.XLOOKUP($A98&amp;"|Ja",Part_Suppliers!$L$2:$L$300,Part_Suppliers!$B$2:$B$300,"",0)=0,"",_xlfn.XLOOKUP($A98&amp;"|Ja",Part_Suppliers!$L$2:$L$300,Part_Suppliers!$B$2:$B$300,"",0)),"")</f>
        <v>Reichelt</v>
      </c>
      <c r="I98" t="str">
        <f>IFERROR(IF(_xlfn.XLOOKUP($A98&amp;"|Ja",Part_Suppliers!$L$2:$L$300,Part_Suppliers!$C$2:$C$300,"",0)=0,"",_xlfn.XLOOKUP($A98&amp;"|Ja",Part_Suppliers!$L$2:$L$300,Part_Suppliers!$C$2:$C$300,"",0)),"")</f>
        <v>SMD 1/4W 10K</v>
      </c>
      <c r="J98" s="57">
        <v>32</v>
      </c>
      <c r="K98" s="57">
        <v>0</v>
      </c>
      <c r="L98" s="45" t="str">
        <f>IFERROR(IF(VLOOKUP($A98,Parts!$A$2:$M$191,8,FALSE())=0,"",VLOOKUP($A98,Parts!$A$2:$M$191,8,FALSE())),"")</f>
        <v>Bestand/Werkstatt</v>
      </c>
      <c r="M98" s="45" t="str">
        <f>IFERROR(IF(VLOOKUP($A98,Parts!$A$2:$M$191,12,FALSE())=0,"",VLOOKUP($A98,Parts!$A$2:$M$191,12,FALSE())),"")</f>
        <v>Nicht mit ENP-00018 zusammenführen: Dieser Artikel hat 5 % Toleranz; ENP-00018 hat 0,1 %. Derzeit keinem Kit oder KiCad-BOM zugeordnet.</v>
      </c>
      <c r="N98" s="58"/>
      <c r="O98" s="59" t="s">
        <v>85</v>
      </c>
      <c r="S98" t="str">
        <f>IF(O98="drucken",COUNTIF($O$5:O98,"drucken"),"")</f>
        <v/>
      </c>
    </row>
    <row r="99" spans="1:19" ht="39.5" customHeight="1" x14ac:dyDescent="0.2">
      <c r="A99" t="s">
        <v>188</v>
      </c>
      <c r="B99" t="str">
        <f>IFERROR(IF(VLOOKUP($A99,Parts!$A$2:$M$191,2,FALSE())=0,"",VLOOKUP($A99,Parts!$A$2:$M$191,2,FALSE())),"")</f>
        <v>IC</v>
      </c>
      <c r="C99" s="45" t="str">
        <f>IFERROR(IF(VLOOKUP($A99,Parts!$A$2:$M$191,3,FALSE())=0,"",VLOOKUP($A99,Parts!$A$2:$M$191,3,FALSE())),"")</f>
        <v>Hex-Inverter mit Schmitt-Trigger, SO-14</v>
      </c>
      <c r="D99" s="45" t="str">
        <f>IFERROR(IF(VLOOKUP($A99,Parts!$A$2:$M$191,4,FALSE())=0,"",VLOOKUP($A99,Parts!$A$2:$M$191,4,FALSE())),"")</f>
        <v>4000B, 6-fach, 3–15 V, SO-14</v>
      </c>
      <c r="E99" s="45" t="str">
        <f>IFERROR(IF(VLOOKUP($A99,Parts!$A$2:$M$191,5,FALSE())=0,"",VLOOKUP($A99,Parts!$A$2:$M$191,5,FALSE())),"")</f>
        <v>Package_SO:SOIC-14_3.9x8.7mm_P1.27mm</v>
      </c>
      <c r="F99" t="str">
        <f>IFERROR(IF(VLOOKUP($A99,Parts!$A$2:$M$191,6,FALSE())=0,"",VLOOKUP($A99,Parts!$A$2:$M$191,6,FALSE())),"")</f>
        <v>FREI</v>
      </c>
      <c r="G99" t="str">
        <f>IFERROR(IF(VLOOKUP($A99,Parts!$A$2:$M$191,7,FALSE())=0,"",VLOOKUP($A99,Parts!$A$2:$M$191,7,FALSE())),"")</f>
        <v/>
      </c>
      <c r="H99" s="56" t="str">
        <f>IFERROR(IF(_xlfn.XLOOKUP($A99&amp;"|Ja",Part_Suppliers!$L$2:$L$300,Part_Suppliers!$B$2:$B$300,"",0)=0,"",_xlfn.XLOOKUP($A99&amp;"|Ja",Part_Suppliers!$L$2:$L$300,Part_Suppliers!$B$2:$B$300,"",0)),"")</f>
        <v>Reichelt</v>
      </c>
      <c r="I99" t="str">
        <f>IFERROR(IF(_xlfn.XLOOKUP($A99&amp;"|Ja",Part_Suppliers!$L$2:$L$300,Part_Suppliers!$C$2:$C$300,"",0)=0,"",_xlfn.XLOOKUP($A99&amp;"|Ja",Part_Suppliers!$L$2:$L$300,Part_Suppliers!$C$2:$C$300,"",0)),"")</f>
        <v>SMD 40106</v>
      </c>
      <c r="J99" s="57">
        <v>2</v>
      </c>
      <c r="K99" s="57">
        <v>0</v>
      </c>
      <c r="L99" s="45" t="str">
        <f>IFERROR(IF(VLOOKUP($A99,Parts!$A$2:$M$191,8,FALSE())=0,"",VLOOKUP($A99,Parts!$A$2:$M$191,8,FALSE())),"")</f>
        <v>Bestand/Werkstatt</v>
      </c>
      <c r="M99" s="45" t="str">
        <f>IFERROR(IF(VLOOKUP($A99,Parts!$A$2:$M$191,12,FALSE())=0,"",VLOOKUP($A99,Parts!$A$2:$M$191,12,FALSE())),"")</f>
        <v>Reichelt nennt keinen konkreten Hersteller und keine MPN; funktional als HEF40106/HCF40106/CD40106 beschrieben. Vor BOM-Zuordnung die tatsächliche Gehäusebeschriftung prüfen.</v>
      </c>
      <c r="N99" s="58"/>
      <c r="O99" s="59" t="s">
        <v>85</v>
      </c>
      <c r="S99" t="str">
        <f>IF(O99="drucken",COUNTIF($O$5:O99,"drucken"),"")</f>
        <v/>
      </c>
    </row>
    <row r="100" spans="1:19" ht="39.5" customHeight="1" x14ac:dyDescent="0.2">
      <c r="A100" t="s">
        <v>189</v>
      </c>
      <c r="B100" t="str">
        <f>IFERROR(IF(VLOOKUP($A100,Parts!$A$2:$M$191,2,FALSE())=0,"",VLOOKUP($A100,Parts!$A$2:$M$191,2,FALSE())),"")</f>
        <v>Kondensator</v>
      </c>
      <c r="C100" s="45" t="str">
        <f>IFERROR(IF(VLOOKUP($A100,Parts!$A$2:$M$191,3,FALSE())=0,"",VLOOKUP($A100,Parts!$A$2:$M$191,3,FALSE())),"")</f>
        <v>Elektrolytkondensator 220 µF SMD, Low ESR</v>
      </c>
      <c r="D100" s="45" t="str">
        <f>IFERROR(IF(VLOOKUP($A100,Parts!$A$2:$M$191,4,FALSE())=0,"",VLOOKUP($A100,Parts!$A$2:$M$191,4,FALSE())),"")</f>
        <v>220 µF, ±20 %, 16 V, 105 °C, 2000 h, ESR 160 mΩ</v>
      </c>
      <c r="E100" s="45" t="str">
        <f>IFERROR(IF(VLOOKUP($A100,Parts!$A$2:$M$191,5,FALSE())=0,"",VLOOKUP($A100,Parts!$A$2:$M$191,5,FALSE())),"")</f>
        <v>Capacitor_SMD:CP_Elec_6.3x7.7</v>
      </c>
      <c r="F100" t="str">
        <f>IFERROR(IF(VLOOKUP($A100,Parts!$A$2:$M$191,6,FALSE())=0,"",VLOOKUP($A100,Parts!$A$2:$M$191,6,FALSE())),"")</f>
        <v>Panasonic</v>
      </c>
      <c r="G100" t="str">
        <f>IFERROR(IF(VLOOKUP($A100,Parts!$A$2:$M$191,7,FALSE())=0,"",VLOOKUP($A100,Parts!$A$2:$M$191,7,FALSE())),"")</f>
        <v>EEEFPC221XAP</v>
      </c>
      <c r="H100" s="56" t="str">
        <f>IFERROR(IF(_xlfn.XLOOKUP($A100&amp;"|Ja",Part_Suppliers!$L$2:$L$300,Part_Suppliers!$B$2:$B$300,"",0)=0,"",_xlfn.XLOOKUP($A100&amp;"|Ja",Part_Suppliers!$L$2:$L$300,Part_Suppliers!$B$2:$B$300,"",0)),"")</f>
        <v>Reichelt</v>
      </c>
      <c r="I100" t="str">
        <f>IFERROR(IF(_xlfn.XLOOKUP($A100&amp;"|Ja",Part_Suppliers!$L$2:$L$300,Part_Suppliers!$C$2:$C$300,"",0)=0,"",_xlfn.XLOOKUP($A100&amp;"|Ja",Part_Suppliers!$L$2:$L$300,Part_Suppliers!$C$2:$C$300,"",0)),"")</f>
        <v>VF 220/16 P-D8</v>
      </c>
      <c r="J100" s="57">
        <v>1</v>
      </c>
      <c r="K100" s="57">
        <v>0</v>
      </c>
      <c r="L100" s="45" t="str">
        <f>IFERROR(IF(VLOOKUP($A100,Parts!$A$2:$M$191,8,FALSE())=0,"",VLOOKUP($A100,Parts!$A$2:$M$191,8,FALSE())),"")</f>
        <v>Bestand/Werkstatt</v>
      </c>
      <c r="M100" s="45" t="str">
        <f>IFERROR(IF(VLOOKUP($A100,Parts!$A$2:$M$191,12,FALSE())=0,"",VLOOKUP($A100,Parts!$A$2:$M$191,12,FALSE())),"")</f>
        <v>Panasonic Serie V-FP; Ø 6,3 × 7,7 mm, Ripple-Strom 600 mA. Polarität beachten; derzeit keinem Kit oder KiCad-BOM zugeordnet.</v>
      </c>
      <c r="N100" s="58"/>
      <c r="O100" s="59" t="s">
        <v>85</v>
      </c>
      <c r="S100" t="str">
        <f>IF(O100="drucken",COUNTIF($O$5:O100,"drucken"),"")</f>
        <v/>
      </c>
    </row>
    <row r="101" spans="1:19" ht="39.5" customHeight="1" x14ac:dyDescent="0.2">
      <c r="A101" t="s">
        <v>190</v>
      </c>
      <c r="B101" t="str">
        <f>IFERROR(IF(VLOOKUP($A101,Parts!$A$2:$M$191,2,FALSE())=0,"",VLOOKUP($A101,Parts!$A$2:$M$191,2,FALSE())),"")</f>
        <v>Kondensator</v>
      </c>
      <c r="C101" s="45" t="str">
        <f>IFERROR(IF(VLOOKUP($A101,Parts!$A$2:$M$191,3,FALSE())=0,"",VLOOKUP($A101,Parts!$A$2:$M$191,3,FALSE())),"")</f>
        <v>Elektrolytkondensator 470 µF SMD, Low ESR</v>
      </c>
      <c r="D101" s="45" t="str">
        <f>IFERROR(IF(VLOOKUP($A101,Parts!$A$2:$M$191,4,FALSE())=0,"",VLOOKUP($A101,Parts!$A$2:$M$191,4,FALSE())),"")</f>
        <v>470 µF, ±20 %, 16 V, 105 °C, 5000 h, ESR 160 mΩ</v>
      </c>
      <c r="E101" s="45" t="str">
        <f>IFERROR(IF(VLOOKUP($A101,Parts!$A$2:$M$191,5,FALSE())=0,"",VLOOKUP($A101,Parts!$A$2:$M$191,5,FALSE())),"")</f>
        <v>Capacitor_SMD:CP_Elec_8x10.2</v>
      </c>
      <c r="F101" t="str">
        <f>IFERROR(IF(VLOOKUP($A101,Parts!$A$2:$M$191,6,FALSE())=0,"",VLOOKUP($A101,Parts!$A$2:$M$191,6,FALSE())),"")</f>
        <v>Europe Chemi-Con</v>
      </c>
      <c r="G101" t="str">
        <f>IFERROR(IF(VLOOKUP($A101,Parts!$A$2:$M$191,7,FALSE())=0,"",VLOOKUP($A101,Parts!$A$2:$M$191,7,FALSE())),"")</f>
        <v>EMZL160ARA471MHA0G</v>
      </c>
      <c r="H101" s="56" t="str">
        <f>IFERROR(IF(_xlfn.XLOOKUP($A101&amp;"|Ja",Part_Suppliers!$L$2:$L$300,Part_Suppliers!$B$2:$B$300,"",0)=0,"",_xlfn.XLOOKUP($A101&amp;"|Ja",Part_Suppliers!$L$2:$L$300,Part_Suppliers!$B$2:$B$300,"",0)),"")</f>
        <v>Reichelt</v>
      </c>
      <c r="I101" t="str">
        <f>IFERROR(IF(_xlfn.XLOOKUP($A101&amp;"|Ja",Part_Suppliers!$L$2:$L$300,Part_Suppliers!$C$2:$C$300,"",0)=0,"",_xlfn.XLOOKUP($A101&amp;"|Ja",Part_Suppliers!$L$2:$L$300,Part_Suppliers!$C$2:$C$300,"",0)),"")</f>
        <v>ECC MZL160ARA471</v>
      </c>
      <c r="J101" s="57">
        <v>1</v>
      </c>
      <c r="K101" s="57">
        <v>0</v>
      </c>
      <c r="L101" s="45" t="str">
        <f>IFERROR(IF(VLOOKUP($A101,Parts!$A$2:$M$191,8,FALSE())=0,"",VLOOKUP($A101,Parts!$A$2:$M$191,8,FALSE())),"")</f>
        <v>Bestand/Werkstatt</v>
      </c>
      <c r="M101" s="45" t="str">
        <f>IFERROR(IF(VLOOKUP($A101,Parts!$A$2:$M$191,12,FALSE())=0,"",VLOOKUP($A101,Parts!$A$2:$M$191,12,FALSE())),"")</f>
        <v>Europe Chemi-Con Serie MZL; Ø 8 × 10 mm, Ripple-Strom 600 mA. Polarität beachten; derzeit keinem Kit oder KiCad-BOM zugeordnet.</v>
      </c>
      <c r="N101" s="58"/>
      <c r="O101" s="59" t="s">
        <v>85</v>
      </c>
      <c r="S101" t="str">
        <f>IF(O101="drucken",COUNTIF($O$5:O101,"drucken"),"")</f>
        <v/>
      </c>
    </row>
    <row r="102" spans="1:19" ht="39.5" customHeight="1" x14ac:dyDescent="0.2">
      <c r="A102" t="s">
        <v>191</v>
      </c>
      <c r="B102" t="str">
        <f>IFERROR(IF(VLOOKUP($A102,Parts!$A$2:$M$191,2,FALSE())=0,"",VLOOKUP($A102,Parts!$A$2:$M$191,2,FALSE())),"")</f>
        <v>Steckverbinder</v>
      </c>
      <c r="C102" s="45" t="str">
        <f>IFERROR(IF(VLOOKUP($A102,Parts!$A$2:$M$191,3,FALSE())=0,"",VLOOKUP($A102,Parts!$A$2:$M$191,3,FALSE())),"")</f>
        <v>JST-XH Stiftleiste 1x2, abgewinkelt</v>
      </c>
      <c r="D102" s="45" t="str">
        <f>IFERROR(IF(VLOOKUP($A102,Parts!$A$2:$M$191,4,FALSE())=0,"",VLOOKUP($A102,Parts!$A$2:$M$191,4,FALSE())),"")</f>
        <v>1x2, 2,50 mm, THT, 90°, 250 V / 3 A</v>
      </c>
      <c r="E102" s="45" t="str">
        <f>IFERROR(IF(VLOOKUP($A102,Parts!$A$2:$M$191,5,FALSE())=0,"",VLOOKUP($A102,Parts!$A$2:$M$191,5,FALSE())),"")</f>
        <v>Connector_JST:JST_XH_S2B-XH-A-1_1x02_P2.50mm_Horizontal</v>
      </c>
      <c r="F102" t="str">
        <f>IFERROR(IF(VLOOKUP($A102,Parts!$A$2:$M$191,6,FALSE())=0,"",VLOOKUP($A102,Parts!$A$2:$M$191,6,FALSE())),"")</f>
        <v>JST</v>
      </c>
      <c r="G102" t="str">
        <f>IFERROR(IF(VLOOKUP($A102,Parts!$A$2:$M$191,7,FALSE())=0,"",VLOOKUP($A102,Parts!$A$2:$M$191,7,FALSE())),"")</f>
        <v>S2B-XH-A</v>
      </c>
      <c r="H102" s="56" t="str">
        <f>IFERROR(IF(_xlfn.XLOOKUP($A102&amp;"|Ja",Part_Suppliers!$L$2:$L$300,Part_Suppliers!$B$2:$B$300,"",0)=0,"",_xlfn.XLOOKUP($A102&amp;"|Ja",Part_Suppliers!$L$2:$L$300,Part_Suppliers!$B$2:$B$300,"",0)),"")</f>
        <v>Reichelt</v>
      </c>
      <c r="I102" t="str">
        <f>IFERROR(IF(_xlfn.XLOOKUP($A102&amp;"|Ja",Part_Suppliers!$L$2:$L$300,Part_Suppliers!$C$2:$C$300,"",0)=0,"",_xlfn.XLOOKUP($A102&amp;"|Ja",Part_Suppliers!$L$2:$L$300,Part_Suppliers!$C$2:$C$300,"",0)),"")</f>
        <v>JST XH2P ST90</v>
      </c>
      <c r="J102" s="57">
        <v>4</v>
      </c>
      <c r="K102" s="57">
        <v>0</v>
      </c>
      <c r="L102" s="45" t="str">
        <f>IFERROR(IF(VLOOKUP($A102,Parts!$A$2:$M$191,8,FALSE())=0,"",VLOOKUP($A102,Parts!$A$2:$M$191,8,FALSE())),"")</f>
        <v>Bestand/Werkstatt</v>
      </c>
      <c r="M102" s="45" t="str">
        <f>IFERROR(IF(VLOOKUP($A102,Parts!$A$2:$M$191,12,FALSE())=0,"",VLOOKUP($A102,Parts!$A$2:$M$191,12,FALSE())),"")</f>
        <v>Abgewinkelte Print-Stiftleiste der JST-XH-Serie; Rastermaß 2,50 mm, nicht 2,54 mm. Derzeit keinem Kit oder KiCad-BOM zugeordnet.</v>
      </c>
      <c r="N102" s="58"/>
      <c r="O102" s="59" t="s">
        <v>85</v>
      </c>
      <c r="S102" t="str">
        <f>IF(O102="drucken",COUNTIF($O$5:O102,"drucken"),"")</f>
        <v/>
      </c>
    </row>
    <row r="103" spans="1:19" ht="39.5" customHeight="1" x14ac:dyDescent="0.2">
      <c r="A103" t="s">
        <v>192</v>
      </c>
      <c r="B103" t="str">
        <f>IFERROR(IF(VLOOKUP($A103,Parts!$A$2:$M$191,2,FALSE())=0,"",VLOOKUP($A103,Parts!$A$2:$M$191,2,FALSE())),"")</f>
        <v>Widerstand</v>
      </c>
      <c r="C103" s="45" t="str">
        <f>IFERROR(IF(VLOOKUP($A103,Parts!$A$2:$M$191,3,FALSE())=0,"",VLOOKUP($A103,Parts!$A$2:$M$191,3,FALSE())),"")</f>
        <v>SMD-Widerstand 1 kOhm, 1 %, 1206</v>
      </c>
      <c r="D103" s="45" t="str">
        <f>IFERROR(IF(VLOOKUP($A103,Parts!$A$2:$M$191,4,FALSE())=0,"",VLOOKUP($A103,Parts!$A$2:$M$191,4,FALSE())),"")</f>
        <v>1 kΩ, 1 %, 250 mW, 200 V, ±100 ppm/K</v>
      </c>
      <c r="E103" s="45" t="str">
        <f>IFERROR(IF(VLOOKUP($A103,Parts!$A$2:$M$191,5,FALSE())=0,"",VLOOKUP($A103,Parts!$A$2:$M$191,5,FALSE())),"")</f>
        <v>Resistor_SMD:R_1206_3216Metric_Pad1.30x1.75mm_HandSolder</v>
      </c>
      <c r="F103" t="str">
        <f>IFERROR(IF(VLOOKUP($A103,Parts!$A$2:$M$191,6,FALSE())=0,"",VLOOKUP($A103,Parts!$A$2:$M$191,6,FALSE())),"")</f>
        <v>Walsin</v>
      </c>
      <c r="G103" t="str">
        <f>IFERROR(IF(VLOOKUP($A103,Parts!$A$2:$M$191,7,FALSE())=0,"",VLOOKUP($A103,Parts!$A$2:$M$191,7,FALSE())),"")</f>
        <v>WR12X1001FTL</v>
      </c>
      <c r="H103" s="56" t="str">
        <f>IFERROR(IF(_xlfn.XLOOKUP($A103&amp;"|Ja",Part_Suppliers!$L$2:$L$300,Part_Suppliers!$B$2:$B$300,"",0)=0,"",_xlfn.XLOOKUP($A103&amp;"|Ja",Part_Suppliers!$L$2:$L$300,Part_Suppliers!$B$2:$B$300,"",0)),"")</f>
        <v>Reichelt</v>
      </c>
      <c r="I103" t="str">
        <f>IFERROR(IF(_xlfn.XLOOKUP($A103&amp;"|Ja",Part_Suppliers!$L$2:$L$300,Part_Suppliers!$C$2:$C$300,"",0)=0,"",_xlfn.XLOOKUP($A103&amp;"|Ja",Part_Suppliers!$L$2:$L$300,Part_Suppliers!$C$2:$C$300,"",0)),"")</f>
        <v>WAL WR12X1001FTL</v>
      </c>
      <c r="J103" s="57">
        <v>9</v>
      </c>
      <c r="K103" s="57">
        <v>0</v>
      </c>
      <c r="L103" s="45" t="str">
        <f>IFERROR(IF(VLOOKUP($A103,Parts!$A$2:$M$191,8,FALSE())=0,"",VLOOKUP($A103,Parts!$A$2:$M$191,8,FALSE())),"")</f>
        <v>Bestand/Werkstatt</v>
      </c>
      <c r="M103" s="45" t="str">
        <f>IFERROR(IF(VLOOKUP($A103,Parts!$A$2:$M$191,12,FALSE())=0,"",VLOOKUP($A103,Parts!$A$2:$M$191,12,FALSE())),"")</f>
        <v>Nicht mit ENP-00036 zusammenführen: gleicher Nennwert und gleiche Toleranz, aber anderer Hersteller und andere MPN. Derzeit keinem Kit oder KiCad-BOM zugeordnet.</v>
      </c>
      <c r="N103" s="58"/>
      <c r="O103" s="59" t="s">
        <v>85</v>
      </c>
      <c r="S103" t="str">
        <f>IF(O103="drucken",COUNTIF($O$5:O103,"drucken"),"")</f>
        <v/>
      </c>
    </row>
    <row r="104" spans="1:19" ht="39.5" customHeight="1" x14ac:dyDescent="0.2">
      <c r="A104" t="s">
        <v>193</v>
      </c>
      <c r="B104" t="str">
        <f>IFERROR(IF(VLOOKUP($A104,Parts!$A$2:$M$191,2,FALSE())=0,"",VLOOKUP($A104,Parts!$A$2:$M$191,2,FALSE())),"")</f>
        <v>LED</v>
      </c>
      <c r="C104" s="45" t="str">
        <f>IFERROR(IF(VLOOKUP($A104,Parts!$A$2:$M$191,3,FALSE())=0,"",VLOOKUP($A104,Parts!$A$2:$M$191,3,FALSE())),"")</f>
        <v>LED SMD 1206, rot</v>
      </c>
      <c r="D104" s="45" t="str">
        <f>IFERROR(IF(VLOOKUP($A104,Parts!$A$2:$M$191,4,FALSE())=0,"",VLOOKUP($A104,Parts!$A$2:$M$191,4,FALSE())),"")</f>
        <v>Rot, 624 nm, 40 mcd, 160°, Vf max. 1,7 V, IF max. 20 mA</v>
      </c>
      <c r="E104" s="45" t="str">
        <f>IFERROR(IF(VLOOKUP($A104,Parts!$A$2:$M$191,5,FALSE())=0,"",VLOOKUP($A104,Parts!$A$2:$M$191,5,FALSE())),"")</f>
        <v>LED_SMD:LED_1206_3216Metric_Pad1.42x1.75mm_HandSolder</v>
      </c>
      <c r="F104" t="str">
        <f>IFERROR(IF(VLOOKUP($A104,Parts!$A$2:$M$191,6,FALSE())=0,"",VLOOKUP($A104,Parts!$A$2:$M$191,6,FALSE())),"")</f>
        <v>Everlight</v>
      </c>
      <c r="G104" t="str">
        <f>IFERROR(IF(VLOOKUP($A104,Parts!$A$2:$M$191,7,FALSE())=0,"",VLOOKUP($A104,Parts!$A$2:$M$191,7,FALSE())),"")</f>
        <v>15-21SURD/S530-A3/TR8</v>
      </c>
      <c r="H104" s="56" t="str">
        <f>IFERROR(IF(_xlfn.XLOOKUP($A104&amp;"|Ja",Part_Suppliers!$L$2:$L$300,Part_Suppliers!$B$2:$B$300,"",0)=0,"",_xlfn.XLOOKUP($A104&amp;"|Ja",Part_Suppliers!$L$2:$L$300,Part_Suppliers!$B$2:$B$300,"",0)),"")</f>
        <v>Reichelt</v>
      </c>
      <c r="I104" t="str">
        <f>IFERROR(IF(_xlfn.XLOOKUP($A104&amp;"|Ja",Part_Suppliers!$L$2:$L$300,Part_Suppliers!$C$2:$C$300,"",0)=0,"",_xlfn.XLOOKUP($A104&amp;"|Ja",Part_Suppliers!$L$2:$L$300,Part_Suppliers!$C$2:$C$300,"",0)),"")</f>
        <v>EVL 15-21SURD</v>
      </c>
      <c r="J104" s="57">
        <v>8</v>
      </c>
      <c r="K104" s="57">
        <v>0</v>
      </c>
      <c r="L104" s="45" t="str">
        <f>IFERROR(IF(VLOOKUP($A104,Parts!$A$2:$M$191,8,FALSE())=0,"",VLOOKUP($A104,Parts!$A$2:$M$191,8,FALSE())),"")</f>
        <v>Bestand/Werkstatt</v>
      </c>
      <c r="M104" s="45" t="str">
        <f>IFERROR(IF(VLOOKUP($A104,Parts!$A$2:$M$191,12,FALSE())=0,"",VLOOKUP($A104,Parts!$A$2:$M$191,12,FALSE())),"")</f>
        <v>Nicht mit ENP-00064 zusammenführen: andere MPN, Lichtstärke, Wellenlänge und Abstrahlwinkel. Polarität beachten; derzeit keinem Kit oder KiCad-BOM zugeordnet.</v>
      </c>
      <c r="N104" s="58"/>
      <c r="O104" s="59" t="s">
        <v>85</v>
      </c>
      <c r="S104" t="str">
        <f>IF(O104="drucken",COUNTIF($O$5:O104,"drucken"),"")</f>
        <v/>
      </c>
    </row>
    <row r="105" spans="1:19" ht="39.5" customHeight="1" x14ac:dyDescent="0.2">
      <c r="A105" t="s">
        <v>194</v>
      </c>
      <c r="B105" t="str">
        <f>IFERROR(IF(VLOOKUP($A105,Parts!$A$2:$M$191,2,FALSE())=0,"",VLOOKUP($A105,Parts!$A$2:$M$191,2,FALSE())),"")</f>
        <v>Steckbrücke</v>
      </c>
      <c r="C105" s="45" t="str">
        <f>IFERROR(IF(VLOOKUP($A105,Parts!$A$2:$M$191,3,FALSE())=0,"",VLOOKUP($A105,Parts!$A$2:$M$191,3,FALSE())),"")</f>
        <v>Kurzschlussbrücke 2,54 mm, schwarz, mit Grifflasche</v>
      </c>
      <c r="D105" s="45" t="str">
        <f>IFERROR(IF(VLOOKUP($A105,Parts!$A$2:$M$191,4,FALSE())=0,"",VLOOKUP($A105,Parts!$A$2:$M$191,4,FALSE())),"")</f>
        <v>2-polig, Raster 2,54 mm, vergoldet, schwarz, mit Grifflasche</v>
      </c>
      <c r="E105" s="45" t="str">
        <f>IFERROR(IF(VLOOKUP($A105,Parts!$A$2:$M$191,5,FALSE())=0,"",VLOOKUP($A105,Parts!$A$2:$M$191,5,FALSE())),"")</f>
        <v/>
      </c>
      <c r="F105" t="str">
        <f>IFERROR(IF(VLOOKUP($A105,Parts!$A$2:$M$191,6,FALSE())=0,"",VLOOKUP($A105,Parts!$A$2:$M$191,6,FALSE())),"")</f>
        <v>FREI</v>
      </c>
      <c r="G105" t="str">
        <f>IFERROR(IF(VLOOKUP($A105,Parts!$A$2:$M$191,7,FALSE())=0,"",VLOOKUP($A105,Parts!$A$2:$M$191,7,FALSE())),"")</f>
        <v/>
      </c>
      <c r="H105" s="56" t="str">
        <f>IFERROR(IF(_xlfn.XLOOKUP($A105&amp;"|Ja",Part_Suppliers!$L$2:$L$300,Part_Suppliers!$B$2:$B$300,"",0)=0,"",_xlfn.XLOOKUP($A105&amp;"|Ja",Part_Suppliers!$L$2:$L$300,Part_Suppliers!$B$2:$B$300,"",0)),"")</f>
        <v>Reichelt</v>
      </c>
      <c r="I105" t="str">
        <f>IFERROR(IF(_xlfn.XLOOKUP($A105&amp;"|Ja",Part_Suppliers!$L$2:$L$300,Part_Suppliers!$C$2:$C$300,"",0)=0,"",_xlfn.XLOOKUP($A105&amp;"|Ja",Part_Suppliers!$L$2:$L$300,Part_Suppliers!$C$2:$C$300,"",0)),"")</f>
        <v>JUMPER 2,54GL SW</v>
      </c>
      <c r="J105" s="57">
        <v>9</v>
      </c>
      <c r="K105" s="57">
        <v>0</v>
      </c>
      <c r="L105" s="45" t="str">
        <f>IFERROR(IF(VLOOKUP($A105,Parts!$A$2:$M$191,8,FALSE())=0,"",VLOOKUP($A105,Parts!$A$2:$M$191,8,FALSE())),"")</f>
        <v>Bestand/Werkstatt</v>
      </c>
      <c r="M105" s="45" t="str">
        <f>IFERROR(IF(VLOOKUP($A105,Parts!$A$2:$M$191,12,FALSE())=0,"",VLOOKUP($A105,Parts!$A$2:$M$191,12,FALSE())),"")</f>
        <v>Reichelt nennt keinen konkreten Hersteller und keine MPN. Lose Steckbrücke für 2,54-mm-Stiftleisten; derzeit keinem Kit oder KiCad-BOM zugeordnet.</v>
      </c>
      <c r="N105" s="58"/>
      <c r="O105" s="59" t="s">
        <v>85</v>
      </c>
      <c r="S105" t="str">
        <f>IF(O105="drucken",COUNTIF($O$5:O105,"drucken"),"")</f>
        <v/>
      </c>
    </row>
    <row r="106" spans="1:19" ht="39.5" customHeight="1" x14ac:dyDescent="0.2">
      <c r="A106" t="s">
        <v>195</v>
      </c>
      <c r="B106" t="str">
        <f>IFERROR(IF(VLOOKUP($A106,Parts!$A$2:$M$191,2,FALSE())=0,"",VLOOKUP($A106,Parts!$A$2:$M$191,2,FALSE())),"")</f>
        <v>EEPROM</v>
      </c>
      <c r="C106" s="45" t="str">
        <f>IFERROR(IF(VLOOKUP($A106,Parts!$A$2:$M$191,3,FALSE())=0,"",VLOOKUP($A106,Parts!$A$2:$M$191,3,FALSE())),"")</f>
        <v>I²C-EEPROM 32 Kbit, SOIC-8</v>
      </c>
      <c r="D106" s="45" t="str">
        <f>IFERROR(IF(VLOOKUP($A106,Parts!$A$2:$M$191,4,FALSE())=0,"",VLOOKUP($A106,Parts!$A$2:$M$191,4,FALSE())),"")</f>
        <v>32 Kbit, I²C, 2,5–5,5 V</v>
      </c>
      <c r="E106" s="45" t="str">
        <f>IFERROR(IF(VLOOKUP($A106,Parts!$A$2:$M$191,5,FALSE())=0,"",VLOOKUP($A106,Parts!$A$2:$M$191,5,FALSE())),"")</f>
        <v>Package_SO:SOIC-8_3.9x4.9mm_P1.27mm</v>
      </c>
      <c r="F106" t="str">
        <f>IFERROR(IF(VLOOKUP($A106,Parts!$A$2:$M$191,6,FALSE())=0,"",VLOOKUP($A106,Parts!$A$2:$M$191,6,FALSE())),"")</f>
        <v>Microchip Technology</v>
      </c>
      <c r="G106" t="str">
        <f>IFERROR(IF(VLOOKUP($A106,Parts!$A$2:$M$191,7,FALSE())=0,"",VLOOKUP($A106,Parts!$A$2:$M$191,7,FALSE())),"")</f>
        <v>24LC32A-I/SN</v>
      </c>
      <c r="H106" s="56" t="str">
        <f>IFERROR(IF(_xlfn.XLOOKUP($A106&amp;"|Ja",Part_Suppliers!$L$2:$L$300,Part_Suppliers!$B$2:$B$300,"",0)=0,"",_xlfn.XLOOKUP($A106&amp;"|Ja",Part_Suppliers!$L$2:$L$300,Part_Suppliers!$B$2:$B$300,"",0)),"")</f>
        <v>Reichelt</v>
      </c>
      <c r="I106" t="str">
        <f>IFERROR(IF(_xlfn.XLOOKUP($A106&amp;"|Ja",Part_Suppliers!$L$2:$L$300,Part_Suppliers!$C$2:$C$300,"",0)=0,"",_xlfn.XLOOKUP($A106&amp;"|Ja",Part_Suppliers!$L$2:$L$300,Part_Suppliers!$C$2:$C$300,"",0)),"")</f>
        <v>24LC32A-I/SN</v>
      </c>
      <c r="J106" s="57">
        <v>6</v>
      </c>
      <c r="K106" s="57">
        <v>0</v>
      </c>
      <c r="L106" s="45" t="str">
        <f>IFERROR(IF(VLOOKUP($A106,Parts!$A$2:$M$191,8,FALSE())=0,"",VLOOKUP($A106,Parts!$A$2:$M$191,8,FALSE())),"")</f>
        <v>EnvNode Mini Rev 0.3; Empty FullSize/HalfSize SMD/THT Rev 0.3; DuoRelay Rev 0.3; AnalogHydroPressure Rev 0.3; ESP32 Core Dual Power Rev 0.3; AnalogHydroPressure Rev 0.4 (DNP); Aktuell 29.09.2026: EnvNode Mini Bausatz Rev 0.8; DuoRelay FullSize Bausatz Rev 0.3; EnvNode Weatherstation Bausatz Rev 0.2</v>
      </c>
      <c r="M106" s="45" t="str">
        <f>IFERROR(IF(VLOOKUP($A106,Parts!$A$2:$M$191,12,FALSE())=0,"",VLOOKUP($A106,Parts!$A$2:$M$191,12,FALSE())),"")&amp;" | Verbrauch Auftrag 22.09.2026: 4. Gebucht 27.09.2026."</f>
        <v>Neuer I²C-Konfigurations-EEPROM für Rev. 0.3; A0/A1/A2 und WP liegen auf GND, dadurch 7-Bit-Adresse 0x50. Nicht mit ENP-00024 zusammenführen: ENP-00024 ist der historische 2-Kbit-EUI-64-Typ im SOT-23-6. Reichelt-Artikel 24LC32A-I/SN im SOIC-8; Preis und Verfügbarkeit vor Bestellung prüfen. | Verbrauch Auftrag 22.09.2026: 4. Gebucht 27.09.2026.</v>
      </c>
      <c r="N106" s="58"/>
      <c r="O106" s="59" t="s">
        <v>181</v>
      </c>
      <c r="S106">
        <f>IF(O106="drucken",COUNTIF($O$5:O106,"drucken"),"")</f>
        <v>3</v>
      </c>
    </row>
    <row r="107" spans="1:19" ht="39.5" customHeight="1" x14ac:dyDescent="0.2">
      <c r="A107" t="s">
        <v>196</v>
      </c>
      <c r="B107" t="str">
        <f>IFERROR(IF(VLOOKUP($A107,Parts!$A$2:$M$191,2,FALSE())=0,"",VLOOKUP($A107,Parts!$A$2:$M$191,2,FALSE())),"")</f>
        <v>PCB</v>
      </c>
      <c r="C107" s="45" t="str">
        <f>IFERROR(IF(VLOOKUP($A107,Parts!$A$2:$M$191,3,FALSE())=0,"",VLOOKUP($A107,Parts!$A$2:$M$191,3,FALSE())),"")</f>
        <v>EnvNode Mini PCB Rev 0.3</v>
      </c>
      <c r="D107" s="45" t="str">
        <f>IFERROR(IF(VLOOKUP($A107,Parts!$A$2:$M$191,4,FALSE())=0,"",VLOOKUP($A107,Parts!$A$2:$M$191,4,FALSE())),"")</f>
        <v>Revision 0.3</v>
      </c>
      <c r="E107" s="45" t="str">
        <f>IFERROR(IF(VLOOKUP($A107,Parts!$A$2:$M$191,5,FALSE())=0,"",VLOOKUP($A107,Parts!$A$2:$M$191,5,FALSE())),"")</f>
        <v>PCB: MainBoards/EnvNode Mini/EnvNode Mini.kicad_pcb</v>
      </c>
      <c r="F107" t="str">
        <f>IFERROR(IF(VLOOKUP($A107,Parts!$A$2:$M$191,6,FALSE())=0,"",VLOOKUP($A107,Parts!$A$2:$M$191,6,FALSE())),"")</f>
        <v>JLCPCB</v>
      </c>
      <c r="G107" t="str">
        <f>IFERROR(IF(VLOOKUP($A107,Parts!$A$2:$M$191,7,FALSE())=0,"",VLOOKUP($A107,Parts!$A$2:$M$191,7,FALSE())),"")</f>
        <v>EnvNode Mini_Y29</v>
      </c>
      <c r="H107" s="56" t="str">
        <f>IFERROR(IF(_xlfn.XLOOKUP($A107&amp;"|Ja",Part_Suppliers!$L$2:$L$300,Part_Suppliers!$B$2:$B$300,"",0)=0,"",_xlfn.XLOOKUP($A107&amp;"|Ja",Part_Suppliers!$L$2:$L$300,Part_Suppliers!$B$2:$B$300,"",0)),"")</f>
        <v>JLCPCB</v>
      </c>
      <c r="I107" t="str">
        <f>IFERROR(IF(_xlfn.XLOOKUP($A107&amp;"|Ja",Part_Suppliers!$L$2:$L$300,Part_Suppliers!$C$2:$C$300,"",0)=0,"",_xlfn.XLOOKUP($A107&amp;"|Ja",Part_Suppliers!$L$2:$L$300,Part_Suppliers!$C$2:$C$300,"",0)),"")</f>
        <v>Y29-4808750A</v>
      </c>
      <c r="J107" s="57">
        <v>5</v>
      </c>
      <c r="K107" s="57">
        <v>0</v>
      </c>
      <c r="L107" s="45" t="str">
        <f>IFERROR(IF(VLOOKUP($A107,Parts!$A$2:$M$191,8,FALSE())=0,"",VLOOKUP($A107,Parts!$A$2:$M$191,8,FALSE())),"")</f>
        <v>EnvNode Mini Rev 0.3</v>
      </c>
      <c r="M107" s="45" t="str">
        <f>IFERROR(IF(VLOOKUP($A107,Parts!$A$2:$M$191,12,FALSE())=0,"",VLOOKUP($A107,Parts!$A$2:$M$191,12,FALSE())),"")&amp;" | Verbrauch Auftrag 22.09.2026: 2. Gebucht 27.09.2026. Negativer Bestand: Wareneingang/Artikelzuordnung klären."</f>
        <v>Unbestückte Leiterplatte; bei JLCPCB bestellt, Bestellmenge/VE 5. Der gespeicherte KiCad-PCB-Stand trägt Revision 0.3. | Verbrauch Auftrag 22.09.2026: 2. Gebucht 27.09.2026. Negativer Bestand: Wareneingang/Artikelzuordnung klären.</v>
      </c>
      <c r="N107" s="58"/>
      <c r="O107" s="59" t="s">
        <v>85</v>
      </c>
      <c r="S107" t="str">
        <f>IF(O107="drucken",COUNTIF($O$5:O107,"drucken"),"")</f>
        <v/>
      </c>
    </row>
    <row r="108" spans="1:19" ht="39.5" customHeight="1" x14ac:dyDescent="0.2">
      <c r="A108" t="s">
        <v>197</v>
      </c>
      <c r="B108" t="str">
        <f>IFERROR(IF(VLOOKUP($A108,Parts!$A$2:$M$191,2,FALSE())=0,"",VLOOKUP($A108,Parts!$A$2:$M$191,2,FALSE())),"")</f>
        <v>PCB</v>
      </c>
      <c r="C108" s="45" t="str">
        <f>IFERROR(IF(VLOOKUP($A108,Parts!$A$2:$M$191,3,FALSE())=0,"",VLOOKUP($A108,Parts!$A$2:$M$191,3,FALSE())),"")</f>
        <v>DuoRelay FullSize PCB Rev 0.3</v>
      </c>
      <c r="D108" s="45" t="str">
        <f>IFERROR(IF(VLOOKUP($A108,Parts!$A$2:$M$191,4,FALSE())=0,"",VLOOKUP($A108,Parts!$A$2:$M$191,4,FALSE())),"")</f>
        <v>Revision 0.3</v>
      </c>
      <c r="E108" s="45" t="str">
        <f>IFERROR(IF(VLOOKUP($A108,Parts!$A$2:$M$191,5,FALSE())=0,"",VLOOKUP($A108,Parts!$A$2:$M$191,5,FALSE())),"")</f>
        <v>PCB: Modules/FullSize/DuoRelay/DuoRelay.kicad_pcb</v>
      </c>
      <c r="F108" t="str">
        <f>IFERROR(IF(VLOOKUP($A108,Parts!$A$2:$M$191,6,FALSE())=0,"",VLOOKUP($A108,Parts!$A$2:$M$191,6,FALSE())),"")</f>
        <v>JLCPCB</v>
      </c>
      <c r="G108" t="str">
        <f>IFERROR(IF(VLOOKUP($A108,Parts!$A$2:$M$191,7,FALSE())=0,"",VLOOKUP($A108,Parts!$A$2:$M$191,7,FALSE())),"")</f>
        <v>EnvNode Mini_Y28</v>
      </c>
      <c r="H108" s="56" t="str">
        <f>IFERROR(IF(_xlfn.XLOOKUP($A108&amp;"|Ja",Part_Suppliers!$L$2:$L$300,Part_Suppliers!$B$2:$B$300,"",0)=0,"",_xlfn.XLOOKUP($A108&amp;"|Ja",Part_Suppliers!$L$2:$L$300,Part_Suppliers!$B$2:$B$300,"",0)),"")</f>
        <v>JLCPCB</v>
      </c>
      <c r="I108" t="str">
        <f>IFERROR(IF(_xlfn.XLOOKUP($A108&amp;"|Ja",Part_Suppliers!$L$2:$L$300,Part_Suppliers!$C$2:$C$300,"",0)=0,"",_xlfn.XLOOKUP($A108&amp;"|Ja",Part_Suppliers!$L$2:$L$300,Part_Suppliers!$C$2:$C$300,"",0)),"")</f>
        <v>Y28-4808750A</v>
      </c>
      <c r="J108" s="57">
        <v>4</v>
      </c>
      <c r="K108" s="57">
        <v>0</v>
      </c>
      <c r="L108" s="45" t="str">
        <f>IFERROR(IF(VLOOKUP($A108,Parts!$A$2:$M$191,8,FALSE())=0,"",VLOOKUP($A108,Parts!$A$2:$M$191,8,FALSE())),"")</f>
        <v>DuoRelay Rev 0.3; Aktuell 29.09.2026: DuoRelay FullSize Bausatz Rev 0.3</v>
      </c>
      <c r="M108" s="45" t="str">
        <f>IFERROR(IF(VLOOKUP($A108,Parts!$A$2:$M$191,12,FALSE())=0,"",VLOOKUP($A108,Parts!$A$2:$M$191,12,FALSE())),"")&amp;" | Verbrauch Auftrag 22.09.2026: 1. Gebucht 27.09.2026. Negativer Bestand: Wareneingang/Artikelzuordnung klären."</f>
        <v>Unbestückte Leiterplatte; bei JLCPCB bestellt, Bestellmenge/VE 5. Der gespeicherte KiCad-PCB-Stand trägt Revision 0.3. | Verbrauch Auftrag 22.09.2026: 1. Gebucht 27.09.2026. Negativer Bestand: Wareneingang/Artikelzuordnung klären.</v>
      </c>
      <c r="N108" s="58"/>
      <c r="O108" s="59" t="s">
        <v>85</v>
      </c>
      <c r="S108" t="str">
        <f>IF(O108="drucken",COUNTIF($O$5:O108,"drucken"),"")</f>
        <v/>
      </c>
    </row>
    <row r="109" spans="1:19" ht="39.5" customHeight="1" x14ac:dyDescent="0.2">
      <c r="A109" t="s">
        <v>198</v>
      </c>
      <c r="B109" t="str">
        <f>IFERROR(IF(VLOOKUP($A109,Parts!$A$2:$M$191,2,FALSE())=0,"",VLOOKUP($A109,Parts!$A$2:$M$191,2,FALSE())),"")</f>
        <v>PCB</v>
      </c>
      <c r="C109" s="45" t="str">
        <f>IFERROR(IF(VLOOKUP($A109,Parts!$A$2:$M$191,3,FALSE())=0,"",VLOOKUP($A109,Parts!$A$2:$M$191,3,FALSE())),"")</f>
        <v>AnalogHydroPressure FullSize PCB Rev 0.3</v>
      </c>
      <c r="D109" s="45" t="str">
        <f>IFERROR(IF(VLOOKUP($A109,Parts!$A$2:$M$191,4,FALSE())=0,"",VLOOKUP($A109,Parts!$A$2:$M$191,4,FALSE())),"")</f>
        <v>Revision 0.3</v>
      </c>
      <c r="E109" s="45" t="str">
        <f>IFERROR(IF(VLOOKUP($A109,Parts!$A$2:$M$191,5,FALSE())=0,"",VLOOKUP($A109,Parts!$A$2:$M$191,5,FALSE())),"")</f>
        <v>PCB: Modules/FullSize/AnalogHydroPressure/AnalogHydroPressure.kicad_pcb</v>
      </c>
      <c r="F109" t="str">
        <f>IFERROR(IF(VLOOKUP($A109,Parts!$A$2:$M$191,6,FALSE())=0,"",VLOOKUP($A109,Parts!$A$2:$M$191,6,FALSE())),"")</f>
        <v>JLCPCB</v>
      </c>
      <c r="G109" t="str">
        <f>IFERROR(IF(VLOOKUP($A109,Parts!$A$2:$M$191,7,FALSE())=0,"",VLOOKUP($A109,Parts!$A$2:$M$191,7,FALSE())),"")</f>
        <v>EnvNode Mini_Y30</v>
      </c>
      <c r="H109" s="56" t="str">
        <f>IFERROR(IF(_xlfn.XLOOKUP($A109&amp;"|Ja",Part_Suppliers!$L$2:$L$300,Part_Suppliers!$B$2:$B$300,"",0)=0,"",_xlfn.XLOOKUP($A109&amp;"|Ja",Part_Suppliers!$L$2:$L$300,Part_Suppliers!$B$2:$B$300,"",0)),"")</f>
        <v>JLCPCB</v>
      </c>
      <c r="I109" t="str">
        <f>IFERROR(IF(_xlfn.XLOOKUP($A109&amp;"|Ja",Part_Suppliers!$L$2:$L$300,Part_Suppliers!$C$2:$C$300,"",0)=0,"",_xlfn.XLOOKUP($A109&amp;"|Ja",Part_Suppliers!$L$2:$L$300,Part_Suppliers!$C$2:$C$300,"",0)),"")</f>
        <v>Y30-4808750A</v>
      </c>
      <c r="J109" s="57">
        <v>5</v>
      </c>
      <c r="K109" s="57">
        <v>0</v>
      </c>
      <c r="L109" s="45" t="str">
        <f>IFERROR(IF(VLOOKUP($A109,Parts!$A$2:$M$191,8,FALSE())=0,"",VLOOKUP($A109,Parts!$A$2:$M$191,8,FALSE())),"")</f>
        <v>AnalogHydroPressure Rev 0.3</v>
      </c>
      <c r="M109" s="45" t="str">
        <f>IFERROR(IF(VLOOKUP($A109,Parts!$A$2:$M$191,12,FALSE())=0,"",VLOOKUP($A109,Parts!$A$2:$M$191,12,FALSE())),"")</f>
        <v>Unbestückte Leiterplatte; bei JLCPCB bestellt, Bestellmenge/VE 5. Der gespeicherte KiCad-PCB-Stand trägt Revision 0.3.</v>
      </c>
      <c r="N109" s="58"/>
      <c r="O109" s="59" t="s">
        <v>85</v>
      </c>
      <c r="S109" t="str">
        <f>IF(O109="drucken",COUNTIF($O$5:O109,"drucken"),"")</f>
        <v/>
      </c>
    </row>
    <row r="110" spans="1:19" ht="39.5" customHeight="1" x14ac:dyDescent="0.2">
      <c r="A110" t="s">
        <v>199</v>
      </c>
      <c r="B110" t="str">
        <f>IFERROR(IF(VLOOKUP($A110,Parts!$A$2:$M$191,2,FALSE())=0,"",VLOOKUP($A110,Parts!$A$2:$M$191,2,FALSE())),"")</f>
        <v>Diode</v>
      </c>
      <c r="C110" s="45" t="str">
        <f>IFERROR(IF(VLOOKUP($A110,Parts!$A$2:$M$191,3,FALSE())=0,"",VLOOKUP($A110,Parts!$A$2:$M$191,3,FALSE())),"")</f>
        <v>Schottky-Diode B260S1F-7</v>
      </c>
      <c r="D110" s="45" t="str">
        <f>IFERROR(IF(VLOOKUP($A110,Parts!$A$2:$M$191,4,FALSE())=0,"",VLOOKUP($A110,Parts!$A$2:$M$191,4,FALSE())),"")</f>
        <v>60 V, 2 A, UF max. 0,55 V, IFSM 50 A</v>
      </c>
      <c r="E110" s="45" t="str">
        <f>IFERROR(IF(VLOOKUP($A110,Parts!$A$2:$M$191,5,FALSE())=0,"",VLOOKUP($A110,Parts!$A$2:$M$191,5,FALSE())),"")</f>
        <v>Diode_SMD:D_SOD-123F</v>
      </c>
      <c r="F110" t="str">
        <f>IFERROR(IF(VLOOKUP($A110,Parts!$A$2:$M$191,6,FALSE())=0,"",VLOOKUP($A110,Parts!$A$2:$M$191,6,FALSE())),"")</f>
        <v>Diodes Incorporated</v>
      </c>
      <c r="G110" t="str">
        <f>IFERROR(IF(VLOOKUP($A110,Parts!$A$2:$M$191,7,FALSE())=0,"",VLOOKUP($A110,Parts!$A$2:$M$191,7,FALSE())),"")</f>
        <v>B260S1F-7</v>
      </c>
      <c r="H110" s="56" t="str">
        <f>IFERROR(IF(_xlfn.XLOOKUP($A110&amp;"|Ja",Part_Suppliers!$L$2:$L$300,Part_Suppliers!$B$2:$B$300,"",0)=0,"",_xlfn.XLOOKUP($A110&amp;"|Ja",Part_Suppliers!$L$2:$L$300,Part_Suppliers!$B$2:$B$300,"",0)),"")</f>
        <v>Reichelt</v>
      </c>
      <c r="I110" t="str">
        <f>IFERROR(IF(_xlfn.XLOOKUP($A110&amp;"|Ja",Part_Suppliers!$L$2:$L$300,Part_Suppliers!$C$2:$C$300,"",0)=0,"",_xlfn.XLOOKUP($A110&amp;"|Ja",Part_Suppliers!$L$2:$L$300,Part_Suppliers!$C$2:$C$300,"",0)),"")</f>
        <v>B260S1F-7</v>
      </c>
      <c r="J110" s="57">
        <v>0</v>
      </c>
      <c r="K110" s="57">
        <v>8</v>
      </c>
      <c r="L110" s="45" t="str">
        <f>IFERROR(IF(VLOOKUP($A110,Parts!$A$2:$M$191,8,FALSE())=0,"",VLOOKUP($A110,Parts!$A$2:$M$191,8,FALSE())),"")</f>
        <v>AnalogHydroPressure Rev 0.4</v>
      </c>
      <c r="M110" s="45" t="str">
        <f>IFERROR(IF(VLOOKUP($A110,Parts!$A$2:$M$191,12,FALSE())=0,"",VLOOKUP($A110,Parts!$A$2:$M$191,12,FALSE())),"")</f>
        <v>Schottky-Gleichrichter im SOD-123F-Gehäuse für den 24-V-Boost-Ausgang.</v>
      </c>
      <c r="N110" s="58"/>
      <c r="O110" s="59" t="s">
        <v>85</v>
      </c>
      <c r="S110" t="str">
        <f>IF(O110="drucken",COUNTIF($O$5:O110,"drucken"),"")</f>
        <v/>
      </c>
    </row>
    <row r="111" spans="1:19" ht="39.5" customHeight="1" x14ac:dyDescent="0.2">
      <c r="A111" t="s">
        <v>200</v>
      </c>
      <c r="B111" t="str">
        <f>IFERROR(IF(VLOOKUP($A111,Parts!$A$2:$M$191,2,FALSE())=0,"",VLOOKUP($A111,Parts!$A$2:$M$191,2,FALSE())),"")</f>
        <v>PCB</v>
      </c>
      <c r="C111" s="45" t="str">
        <f>IFERROR(IF(VLOOKUP($A111,Parts!$A$2:$M$191,3,FALSE())=0,"",VLOOKUP($A111,Parts!$A$2:$M$191,3,FALSE())),"")</f>
        <v>AnalogHydroPressure FullSize PCB Rev 0.4</v>
      </c>
      <c r="D111" s="45" t="str">
        <f>IFERROR(IF(VLOOKUP($A111,Parts!$A$2:$M$191,4,FALSE())=0,"",VLOOKUP($A111,Parts!$A$2:$M$191,4,FALSE())),"")</f>
        <v>Revision 0.4</v>
      </c>
      <c r="E111" s="45" t="str">
        <f>IFERROR(IF(VLOOKUP($A111,Parts!$A$2:$M$191,5,FALSE())=0,"",VLOOKUP($A111,Parts!$A$2:$M$191,5,FALSE())),"")</f>
        <v>PCB: Modules/FullSize/AnalogHydroPressure/AnalogHydroPressure.kicad_pcb</v>
      </c>
      <c r="F111" t="str">
        <f>IFERROR(IF(VLOOKUP($A111,Parts!$A$2:$M$191,6,FALSE())=0,"",VLOOKUP($A111,Parts!$A$2:$M$191,6,FALSE())),"")</f>
        <v>JLCPCB</v>
      </c>
      <c r="G111" t="str">
        <f>IFERROR(IF(VLOOKUP($A111,Parts!$A$2:$M$191,7,FALSE())=0,"",VLOOKUP($A111,Parts!$A$2:$M$191,7,FALSE())),"")</f>
        <v>Y38-4808750A</v>
      </c>
      <c r="H111" s="56" t="str">
        <f>IFERROR(IF(_xlfn.XLOOKUP($A111&amp;"|Ja",Part_Suppliers!$L$2:$L$300,Part_Suppliers!$B$2:$B$300,"",0)=0,"",_xlfn.XLOOKUP($A111&amp;"|Ja",Part_Suppliers!$L$2:$L$300,Part_Suppliers!$B$2:$B$300,"",0)),"")</f>
        <v>JLCPCB</v>
      </c>
      <c r="I111" t="str">
        <f>IFERROR(IF(_xlfn.XLOOKUP($A111&amp;"|Ja",Part_Suppliers!$L$2:$L$300,Part_Suppliers!$C$2:$C$300,"",0)=0,"",_xlfn.XLOOKUP($A111&amp;"|Ja",Part_Suppliers!$L$2:$L$300,Part_Suppliers!$C$2:$C$300,"",0)),"")</f>
        <v>Y38-4808750A</v>
      </c>
      <c r="J111" s="57">
        <v>0</v>
      </c>
      <c r="K111" s="57">
        <v>0</v>
      </c>
      <c r="L111" s="45" t="str">
        <f>IFERROR(IF(VLOOKUP($A111,Parts!$A$2:$M$191,8,FALSE())=0,"",VLOOKUP($A111,Parts!$A$2:$M$191,8,FALSE())),"")</f>
        <v>AnalogHydroPressure Rev 0.4</v>
      </c>
      <c r="M111" s="45" t="str">
        <f>IFERROR(IF(VLOOKUP($A111,Parts!$A$2:$M$191,12,FALSE())=0,"",VLOOKUP($A111,Parts!$A$2:$M$191,12,FALSE())),"")</f>
        <v>Aktueller Rev.-0.4-PCB-Stand mit SOD-123F an D3, Lötjumpern und optionaler DNP-Teststiftleiste J2.  Auftragsnummer laut Nutzer erfasst; Wareneingang/Bestellmenge noch abgleichen.</v>
      </c>
      <c r="N111" s="58"/>
      <c r="O111" s="59" t="s">
        <v>85</v>
      </c>
      <c r="S111" t="str">
        <f>IF(O111="drucken",COUNTIF($O$5:O111,"drucken"),"")</f>
        <v/>
      </c>
    </row>
    <row r="112" spans="1:19" ht="39.5" customHeight="1" x14ac:dyDescent="0.2">
      <c r="A112" t="s">
        <v>201</v>
      </c>
      <c r="B112" t="str">
        <f>IFERROR(IF(VLOOKUP($A112,Parts!$A$2:$M$191,2,FALSE())=0,"",VLOOKUP($A112,Parts!$A$2:$M$191,2,FALSE())),"")</f>
        <v>Steckverbinder</v>
      </c>
      <c r="C112" s="45" t="str">
        <f>IFERROR(IF(VLOOKUP($A112,Parts!$A$2:$M$191,3,FALSE())=0,"",VLOOKUP($A112,Parts!$A$2:$M$191,3,FALSE())),"")</f>
        <v>Stiftleiste 1x4, 2,54 mm, vertikal</v>
      </c>
      <c r="D112" s="45" t="str">
        <f>IFERROR(IF(VLOOKUP($A112,Parts!$A$2:$M$191,4,FALSE())=0,"",VLOOKUP($A112,Parts!$A$2:$M$191,4,FALSE())),"")</f>
        <v>1x4, 2,54 mm, THT, vertikal, vergoldet</v>
      </c>
      <c r="E112" s="45" t="str">
        <f>IFERROR(IF(VLOOKUP($A112,Parts!$A$2:$M$191,5,FALSE())=0,"",VLOOKUP($A112,Parts!$A$2:$M$191,5,FALSE())),"")</f>
        <v>Connector_PinHeader_2.54mm:PinHeader_1x04_P2.54mm_Vertical</v>
      </c>
      <c r="F112" t="str">
        <f>IFERROR(IF(VLOOKUP($A112,Parts!$A$2:$M$191,6,FALSE())=0,"",VLOOKUP($A112,Parts!$A$2:$M$191,6,FALSE())),"")</f>
        <v>ECON Connect</v>
      </c>
      <c r="G112" t="str">
        <f>IFERROR(IF(VLOOKUP($A112,Parts!$A$2:$M$191,7,FALSE())=0,"",VLOOKUP($A112,Parts!$A$2:$M$191,7,FALSE())),"")</f>
        <v>SL4G1</v>
      </c>
      <c r="H112" s="56" t="str">
        <f>IFERROR(IF(_xlfn.XLOOKUP($A112&amp;"|Ja",Part_Suppliers!$L$2:$L$300,Part_Suppliers!$B$2:$B$300,"",0)=0,"",_xlfn.XLOOKUP($A112&amp;"|Ja",Part_Suppliers!$L$2:$L$300,Part_Suppliers!$B$2:$B$300,"",0)),"")</f>
        <v>Reichelt</v>
      </c>
      <c r="I112" t="str">
        <f>IFERROR(IF(_xlfn.XLOOKUP($A112&amp;"|Ja",Part_Suppliers!$L$2:$L$300,Part_Suppliers!$C$2:$C$300,"",0)=0,"",_xlfn.XLOOKUP($A112&amp;"|Ja",Part_Suppliers!$L$2:$L$300,Part_Suppliers!$C$2:$C$300,"",0)),"")</f>
        <v>ECON SL4G1</v>
      </c>
      <c r="J112" s="57">
        <v>0</v>
      </c>
      <c r="K112" s="57">
        <v>0</v>
      </c>
      <c r="L112" s="45" t="str">
        <f>IFERROR(IF(VLOOKUP($A112,Parts!$A$2:$M$191,8,FALSE())=0,"",VLOOKUP($A112,Parts!$A$2:$M$191,8,FALSE())),"")</f>
        <v>AnalogHydroPressure Rev 0.4 (DNP); RainDetectorController Rev 0.3; Aktuell 29.09.2026: RainDetectorController Rev 0.3</v>
      </c>
      <c r="M112" s="45" t="str">
        <f>IFERROR(IF(VLOOKUP($A112,Parts!$A$2:$M$191,12,FALSE())=0,"",VLOOKUP($A112,Parts!$A$2:$M$191,12,FALSE())),"")</f>
        <v>Optionale Messstiftleiste für GND, 24V, LOOP_RETURN und AIN0; laut KiCad DNP und für den Betrieb nicht erforderlich.</v>
      </c>
      <c r="N112" s="58"/>
      <c r="O112" s="59" t="s">
        <v>85</v>
      </c>
      <c r="S112" t="str">
        <f>IF(O112="drucken",COUNTIF($O$5:O112,"drucken"),"")</f>
        <v/>
      </c>
    </row>
    <row r="113" spans="1:19" ht="39.5" customHeight="1" x14ac:dyDescent="0.2">
      <c r="A113" t="s">
        <v>202</v>
      </c>
      <c r="B113" t="str">
        <f>IFERROR(IF(VLOOKUP($A113,Parts!$A$2:$M$191,2,FALSE())=0,"",VLOOKUP($A113,Parts!$A$2:$M$191,2,FALSE())),"")</f>
        <v>Steckverbinder</v>
      </c>
      <c r="C113" s="45" t="str">
        <f>IFERROR(IF(VLOOKUP($A113,Parts!$A$2:$M$191,3,FALSE())=0,"",VLOOKUP($A113,Parts!$A$2:$M$191,3,FALSE())),"")</f>
        <v>Buchsenleiste 2x7, 2,54 mm, vertikal</v>
      </c>
      <c r="D113" s="45" t="str">
        <f>IFERROR(IF(VLOOKUP($A113,Parts!$A$2:$M$191,4,FALSE())=0,"",VLOOKUP($A113,Parts!$A$2:$M$191,4,FALSE())),"")</f>
        <v>2x7, 2,54 mm, THT, vertikal, vergoldet, Bauhöhe 8,4 mm</v>
      </c>
      <c r="E113" s="45" t="str">
        <f>IFERROR(IF(VLOOKUP($A113,Parts!$A$2:$M$191,5,FALSE())=0,"",VLOOKUP($A113,Parts!$A$2:$M$191,5,FALSE())),"")</f>
        <v>Connector_PinSocket_2.54mm:PinSocket_2x07_P2.54mm_Vertical</v>
      </c>
      <c r="F113" t="str">
        <f>IFERROR(IF(VLOOKUP($A113,Parts!$A$2:$M$191,6,FALSE())=0,"",VLOOKUP($A113,Parts!$A$2:$M$191,6,FALSE())),"")</f>
        <v>Würth Elektronik</v>
      </c>
      <c r="G113" t="str">
        <f>IFERROR(IF(VLOOKUP($A113,Parts!$A$2:$M$191,7,FALSE())=0,"",VLOOKUP($A113,Parts!$A$2:$M$191,7,FALSE())),"")</f>
        <v>61301421821</v>
      </c>
      <c r="H113" s="56" t="str">
        <f>IFERROR(IF(_xlfn.XLOOKUP($A113&amp;"|Ja",Part_Suppliers!$L$2:$L$300,Part_Suppliers!$B$2:$B$300,"",0)=0,"",_xlfn.XLOOKUP($A113&amp;"|Ja",Part_Suppliers!$L$2:$L$300,Part_Suppliers!$B$2:$B$300,"",0)),"")</f>
        <v>DigiKey</v>
      </c>
      <c r="I113" t="str">
        <f>IFERROR(IF(_xlfn.XLOOKUP($A113&amp;"|Ja",Part_Suppliers!$L$2:$L$300,Part_Suppliers!$C$2:$C$300,"",0)=0,"",_xlfn.XLOOKUP($A113&amp;"|Ja",Part_Suppliers!$L$2:$L$300,Part_Suppliers!$C$2:$C$300,"",0)),"")</f>
        <v>732-61301421821-ND</v>
      </c>
      <c r="J113" s="57">
        <v>2</v>
      </c>
      <c r="K113" s="57">
        <v>0</v>
      </c>
      <c r="L113" s="45" t="str">
        <f>IFERROR(IF(VLOOKUP($A113,Parts!$A$2:$M$191,8,FALSE())=0,"",VLOOKUP($A113,Parts!$A$2:$M$191,8,FALSE())),"")</f>
        <v>Bestand/Werkstatt</v>
      </c>
      <c r="M113" s="45" t="str">
        <f>IFERROR(IF(VLOOKUP($A113,Parts!$A$2:$M$191,12,FALSE())=0,"",VLOOKUP($A113,Parts!$A$2:$M$191,12,FALSE())),"")</f>
        <v>Gelieferte Würth-WR-PHD-Ausführung. Elektrisch und footprint-kompatibel zu ENP-00054; abweichende Bauhöhe 8,4 statt 8,5 mm.</v>
      </c>
      <c r="N113" s="58"/>
      <c r="O113" s="59" t="s">
        <v>85</v>
      </c>
      <c r="S113" t="str">
        <f>IF(O113="drucken",COUNTIF($O$5:O113,"drucken"),"")</f>
        <v/>
      </c>
    </row>
    <row r="114" spans="1:19" ht="39.5" customHeight="1" x14ac:dyDescent="0.2">
      <c r="A114" t="s">
        <v>203</v>
      </c>
      <c r="B114" t="str">
        <f>IFERROR(IF(VLOOKUP($A114,Parts!$A$2:$M$191,2,FALSE())=0,"",VLOOKUP($A114,Parts!$A$2:$M$191,2,FALSE())),"")</f>
        <v>Widerstand</v>
      </c>
      <c r="C114" s="45" t="str">
        <f>IFERROR(IF(VLOOKUP($A114,Parts!$A$2:$M$191,3,FALSE())=0,"",VLOOKUP($A114,Parts!$A$2:$M$191,3,FALSE())),"")</f>
        <v>SMD-Widerstand 5,1 kOhm, 1 %, 1206</v>
      </c>
      <c r="D114" s="45" t="str">
        <f>IFERROR(IF(VLOOKUP($A114,Parts!$A$2:$M$191,4,FALSE())=0,"",VLOOKUP($A114,Parts!$A$2:$M$191,4,FALSE())),"")</f>
        <v>5,1 kΩ, 1 %, 250 mW</v>
      </c>
      <c r="E114" s="45" t="str">
        <f>IFERROR(IF(VLOOKUP($A114,Parts!$A$2:$M$191,5,FALSE())=0,"",VLOOKUP($A114,Parts!$A$2:$M$191,5,FALSE())),"")</f>
        <v>Resistor_SMD:R_1206_3216Metric_Pad1.30x1.75mm_HandSolder</v>
      </c>
      <c r="F114" t="str">
        <f>IFERROR(IF(VLOOKUP($A114,Parts!$A$2:$M$191,6,FALSE())=0,"",VLOOKUP($A114,Parts!$A$2:$M$191,6,FALSE())),"")</f>
        <v>Vishay Dale</v>
      </c>
      <c r="G114" t="str">
        <f>IFERROR(IF(VLOOKUP($A114,Parts!$A$2:$M$191,7,FALSE())=0,"",VLOOKUP($A114,Parts!$A$2:$M$191,7,FALSE())),"")</f>
        <v>CRCW12065K10FKEA</v>
      </c>
      <c r="H114" s="56" t="str">
        <f>IFERROR(IF(_xlfn.XLOOKUP($A114&amp;"|Ja",Part_Suppliers!$L$2:$L$300,Part_Suppliers!$B$2:$B$300,"",0)=0,"",_xlfn.XLOOKUP($A114&amp;"|Ja",Part_Suppliers!$L$2:$L$300,Part_Suppliers!$B$2:$B$300,"",0)),"")</f>
        <v>DigiKey</v>
      </c>
      <c r="I114" t="str">
        <f>IFERROR(IF(_xlfn.XLOOKUP($A114&amp;"|Ja",Part_Suppliers!$L$2:$L$300,Part_Suppliers!$C$2:$C$300,"",0)=0,"",_xlfn.XLOOKUP($A114&amp;"|Ja",Part_Suppliers!$L$2:$L$300,Part_Suppliers!$C$2:$C$300,"",0)),"")</f>
        <v>541-5.10KFCT-ND</v>
      </c>
      <c r="J114" s="57">
        <v>2</v>
      </c>
      <c r="K114" s="57">
        <v>0</v>
      </c>
      <c r="L114" s="45" t="str">
        <f>IFERROR(IF(VLOOKUP($A114,Parts!$A$2:$M$191,8,FALSE())=0,"",VLOOKUP($A114,Parts!$A$2:$M$191,8,FALSE())),"")</f>
        <v>Bestand/Werkstatt; ORing Power Rev 0.1; Aktuell 29.09.2026: ORing Power Modul Rev 0.1</v>
      </c>
      <c r="M114" s="45" t="str">
        <f>IFERROR(IF(VLOOKUP($A114,Parts!$A$2:$M$191,12,FALSE())=0,"",VLOOKUP($A114,Parts!$A$2:$M$191,12,FALSE())),"")</f>
        <v>Gelieferte 1-%-Ausführung. Elektrisch und footprint-kompatibel zu ENP-00090; engere Toleranz als die dort geführte 5-%-Variante.</v>
      </c>
      <c r="N114" s="58"/>
      <c r="O114" s="59" t="s">
        <v>85</v>
      </c>
      <c r="S114" t="str">
        <f>IF(O114="drucken",COUNTIF($O$5:O114,"drucken"),"")</f>
        <v/>
      </c>
    </row>
    <row r="115" spans="1:19" ht="39.5" customHeight="1" x14ac:dyDescent="0.2">
      <c r="A115" t="s">
        <v>204</v>
      </c>
      <c r="B115" t="str">
        <f>IFERROR(IF(VLOOKUP($A115,Parts!$A$2:$M$191,2,FALSE())=0,"",VLOOKUP($A115,Parts!$A$2:$M$191,2,FALSE())),"")</f>
        <v>Steckverbinder</v>
      </c>
      <c r="C115" s="45" t="str">
        <f>IFERROR(IF(VLOOKUP($A115,Parts!$A$2:$M$191,3,FALSE())=0,"",VLOOKUP($A115,Parts!$A$2:$M$191,3,FALSE())),"")</f>
        <v>SMD-Stiftleiste 2x10, Zuschnitt auf 2x2</v>
      </c>
      <c r="D115" s="45" t="str">
        <f>IFERROR(IF(VLOOKUP($A115,Parts!$A$2:$M$191,4,FALSE())=0,"",VLOOKUP($A115,Parts!$A$2:$M$191,4,FALSE())),"")</f>
        <v>2x10, RM 2,54 mm, SMD, gerade</v>
      </c>
      <c r="E115" s="45" t="str">
        <f>IFERROR(IF(VLOOKUP($A115,Parts!$A$2:$M$191,5,FALSE())=0,"",VLOOKUP($A115,Parts!$A$2:$M$191,5,FALSE())),"")</f>
        <v>Connector_PinHeader_2.54mm:PinHeader_2x02_P2.54mm_Vertical_SMD</v>
      </c>
      <c r="F115" t="str">
        <f>IFERROR(IF(VLOOKUP($A115,Parts!$A$2:$M$191,6,FALSE())=0,"",VLOOKUP($A115,Parts!$A$2:$M$191,6,FALSE())),"")</f>
        <v>FREI</v>
      </c>
      <c r="G115" t="str">
        <f>IFERROR(IF(VLOOKUP($A115,Parts!$A$2:$M$191,7,FALSE())=0,"",VLOOKUP($A115,Parts!$A$2:$M$191,7,FALSE())),"")</f>
        <v/>
      </c>
      <c r="H115" s="56" t="str">
        <f>IFERROR(IF(_xlfn.XLOOKUP($A115&amp;"|Ja",Part_Suppliers!$L$2:$L$300,Part_Suppliers!$B$2:$B$300,"",0)=0,"",_xlfn.XLOOKUP($A115&amp;"|Ja",Part_Suppliers!$L$2:$L$300,Part_Suppliers!$B$2:$B$300,"",0)),"")</f>
        <v>Reichelt</v>
      </c>
      <c r="I115" t="str">
        <f>IFERROR(IF(_xlfn.XLOOKUP($A115&amp;"|Ja",Part_Suppliers!$L$2:$L$300,Part_Suppliers!$C$2:$C$300,"",0)=0,"",_xlfn.XLOOKUP($A115&amp;"|Ja",Part_Suppliers!$L$2:$L$300,Part_Suppliers!$C$2:$C$300,"",0)),"")</f>
        <v>SL 2X10G SMD2,54</v>
      </c>
      <c r="J115" s="57">
        <v>0</v>
      </c>
      <c r="K115" s="57">
        <v>4</v>
      </c>
      <c r="L115" s="45" t="str">
        <f>IFERROR(IF(VLOOKUP($A115,Parts!$A$2:$M$191,8,FALSE())=0,"",VLOOKUP($A115,Parts!$A$2:$M$191,8,FALSE())),"")</f>
        <v>RainDetectorHead Rev 0.1; Aktuell 29.09.2026: RainDetectorHead Rev 0.1</v>
      </c>
      <c r="M115" s="45" t="str">
        <f>IFERROR(IF(VLOOKUP($A115,Parts!$A$2:$M$191,12,FALSE())=0,"",VLOOKUP($A115,Parts!$A$2:$M$191,12,FALSE())),"")</f>
        <v>Kauf-/Lagereinheit: ganze 2x10-Leiste SL 2X10G SMD2,54. Pro Head 1 Leiste für zwei 2x2-Zuschnitte; Rest nicht angerechnet. Teilbarkeit, Padmaße und Steckhöhe am Muster prüfen. Ersetzt den bisherigen Harwin-Eintrag ohne Bestand.</v>
      </c>
      <c r="N115" s="58"/>
      <c r="O115" s="59" t="s">
        <v>85</v>
      </c>
      <c r="S115" t="str">
        <f>IF(O115="drucken",COUNTIF($O$5:O115,"drucken"),"")</f>
        <v/>
      </c>
    </row>
    <row r="116" spans="1:19" ht="39.5" customHeight="1" x14ac:dyDescent="0.2">
      <c r="A116" t="s">
        <v>205</v>
      </c>
      <c r="B116" t="str">
        <f>IFERROR(IF(VLOOKUP($A116,Parts!$A$2:$M$191,2,FALSE())=0,"",VLOOKUP($A116,Parts!$A$2:$M$191,2,FALSE())),"")</f>
        <v>Widerstand</v>
      </c>
      <c r="C116" s="45" t="str">
        <f>IFERROR(IF(VLOOKUP($A116,Parts!$A$2:$M$191,3,FALSE())=0,"",VLOOKUP($A116,Parts!$A$2:$M$191,3,FALSE())),"")</f>
        <v>SMD-Heizwiderstand 15 Ohm, 1 %, 1206</v>
      </c>
      <c r="D116" s="45" t="str">
        <f>IFERROR(IF(VLOOKUP($A116,Parts!$A$2:$M$191,4,FALSE())=0,"",VLOOKUP($A116,Parts!$A$2:$M$191,4,FALSE())),"")</f>
        <v>15 Ω, 1 %, 0,25 W bei 70 °C</v>
      </c>
      <c r="E116" s="45" t="str">
        <f>IFERROR(IF(VLOOKUP($A116,Parts!$A$2:$M$191,5,FALSE())=0,"",VLOOKUP($A116,Parts!$A$2:$M$191,5,FALSE())),"")</f>
        <v>Resistor_SMD:R_1206_3216Metric_Pad1.30x1.75mm_HandSolder</v>
      </c>
      <c r="F116" t="str">
        <f>IFERROR(IF(VLOOKUP($A116,Parts!$A$2:$M$191,6,FALSE())=0,"",VLOOKUP($A116,Parts!$A$2:$M$191,6,FALSE())),"")</f>
        <v>YAGEO</v>
      </c>
      <c r="G116" t="str">
        <f>IFERROR(IF(VLOOKUP($A116,Parts!$A$2:$M$191,7,FALSE())=0,"",VLOOKUP($A116,Parts!$A$2:$M$191,7,FALSE())),"")</f>
        <v>RC1206FR-0715RL</v>
      </c>
      <c r="H116" s="56" t="str">
        <f>IFERROR(IF(_xlfn.XLOOKUP($A116&amp;"|Ja",Part_Suppliers!$L$2:$L$300,Part_Suppliers!$B$2:$B$300,"",0)=0,"",_xlfn.XLOOKUP($A116&amp;"|Ja",Part_Suppliers!$L$2:$L$300,Part_Suppliers!$B$2:$B$300,"",0)),"")</f>
        <v>DigiKey</v>
      </c>
      <c r="I116" t="str">
        <f>IFERROR(IF(_xlfn.XLOOKUP($A116&amp;"|Ja",Part_Suppliers!$L$2:$L$300,Part_Suppliers!$C$2:$C$300,"",0)=0,"",_xlfn.XLOOKUP($A116&amp;"|Ja",Part_Suppliers!$L$2:$L$300,Part_Suppliers!$C$2:$C$300,"",0)),"")</f>
        <v>311-15.0FRCT-ND</v>
      </c>
      <c r="J116" s="57">
        <v>0</v>
      </c>
      <c r="K116" s="57">
        <v>0</v>
      </c>
      <c r="L116" s="45" t="str">
        <f>IFERROR(IF(VLOOKUP($A116,Parts!$A$2:$M$191,8,FALSE())=0,"",VLOOKUP($A116,Parts!$A$2:$M$191,8,FALSE())),"")</f>
        <v>RainDetectorHead Rev 0.1</v>
      </c>
      <c r="M116" s="45" t="str">
        <f>IFERROR(IF(VLOOKUP($A116,Parts!$A$2:$M$191,12,FALSE())=0,"",VLOOKUP($A116,Parts!$A$2:$M$191,12,FALSE())),"")</f>
        <v>20 Stück pro Head (R1–R20). Fünf parallele Stränge mit je vier Widerständen: 12 Ω gesamt, bei 5 V 0,417 A und 2,083 W; je Widerstand 0,104 W. Nennleistung 0,25 W bis 70 °C; Temperatur/Derating im Heiztest prüfen. Gehäuse 3,1 x 1,6 mm passt zum 1206-Footprint.</v>
      </c>
      <c r="N116" s="58"/>
      <c r="O116" s="59" t="s">
        <v>85</v>
      </c>
      <c r="S116" t="str">
        <f>IF(O116="drucken",COUNTIF($O$5:O116,"drucken"),"")</f>
        <v/>
      </c>
    </row>
    <row r="117" spans="1:19" ht="39.5" customHeight="1" x14ac:dyDescent="0.2">
      <c r="A117" t="s">
        <v>206</v>
      </c>
      <c r="B117" t="str">
        <f>IFERROR(IF(VLOOKUP($A117,Parts!$A$2:$M$191,2,FALSE())=0,"",VLOOKUP($A117,Parts!$A$2:$M$191,2,FALSE())),"")</f>
        <v>PCB</v>
      </c>
      <c r="C117" s="45" t="str">
        <f>IFERROR(IF(VLOOKUP($A117,Parts!$A$2:$M$191,3,FALSE())=0,"",VLOOKUP($A117,Parts!$A$2:$M$191,3,FALSE())),"")</f>
        <v>RainDetectorHead PCB Rev 0.1</v>
      </c>
      <c r="D117" s="45" t="str">
        <f>IFERROR(IF(VLOOKUP($A117,Parts!$A$2:$M$191,4,FALSE())=0,"",VLOOKUP($A117,Parts!$A$2:$M$191,4,FALSE())),"")</f>
        <v>Revision 0.1, 62,12 x 44,12 mm</v>
      </c>
      <c r="E117" s="45" t="str">
        <f>IFERROR(IF(VLOOKUP($A117,Parts!$A$2:$M$191,5,FALSE())=0,"",VLOOKUP($A117,Parts!$A$2:$M$191,5,FALSE())),"")</f>
        <v>PCB: Sensors/RainDetectorHead/RainDetectorHead.kicad_pcb</v>
      </c>
      <c r="F117" t="str">
        <f>IFERROR(IF(VLOOKUP($A117,Parts!$A$2:$M$191,6,FALSE())=0,"",VLOOKUP($A117,Parts!$A$2:$M$191,6,FALSE())),"")</f>
        <v>JLCPCB</v>
      </c>
      <c r="G117" t="str">
        <f>IFERROR(IF(VLOOKUP($A117,Parts!$A$2:$M$191,7,FALSE())=0,"",VLOOKUP($A117,Parts!$A$2:$M$191,7,FALSE())),"")</f>
        <v>Y36-4808750A</v>
      </c>
      <c r="H117" s="56" t="str">
        <f>IFERROR(IF(_xlfn.XLOOKUP($A117&amp;"|Ja",Part_Suppliers!$L$2:$L$300,Part_Suppliers!$B$2:$B$300,"",0)=0,"",_xlfn.XLOOKUP($A117&amp;"|Ja",Part_Suppliers!$L$2:$L$300,Part_Suppliers!$B$2:$B$300,"",0)),"")</f>
        <v>JLCPCB</v>
      </c>
      <c r="I117" t="str">
        <f>IFERROR(IF(_xlfn.XLOOKUP($A117&amp;"|Ja",Part_Suppliers!$L$2:$L$300,Part_Suppliers!$C$2:$C$300,"",0)=0,"",_xlfn.XLOOKUP($A117&amp;"|Ja",Part_Suppliers!$L$2:$L$300,Part_Suppliers!$C$2:$C$300,"",0)),"")</f>
        <v>Y36-4808750A</v>
      </c>
      <c r="J117" s="57">
        <v>0</v>
      </c>
      <c r="K117" s="57">
        <v>0</v>
      </c>
      <c r="L117" s="45" t="str">
        <f>IFERROR(IF(VLOOKUP($A117,Parts!$A$2:$M$191,8,FALSE())=0,"",VLOOKUP($A117,Parts!$A$2:$M$191,8,FALSE())),"")</f>
        <v>RainDetectorHead Rev 0.1; Aktuell 29.09.2026: RainDetectorHead Rev 0.1</v>
      </c>
      <c r="M117" s="45" t="str">
        <f>IFERROR(IF(VLOOKUP($A117,Parts!$A$2:$M$191,12,FALSE())=0,"",VLOOKUP($A117,Parts!$A$2:$M$191,12,FALSE())),"")</f>
        <v>1 unbestückte Platine pro Head. Eigener Artikel. 2 Lagen, 1,6 mm, 35 µm Kupfer. Sensorelektroden vollständig unter Lötstopp; 0,10 mm Kupferspalt. Via-Verschluss gemäß Fertigungsdaten mit Hersteller klären.  C1 ist Kupferstruktur, kein Kaufteil. Auftragsnummer laut Nutzer erfasst; Wareneingang/Bestellmenge noch abgleichen.</v>
      </c>
      <c r="N117" s="58"/>
      <c r="O117" s="59" t="s">
        <v>85</v>
      </c>
      <c r="S117" t="str">
        <f>IF(O117="drucken",COUNTIF($O$5:O117,"drucken"),"")</f>
        <v/>
      </c>
    </row>
    <row r="118" spans="1:19" ht="39.5" customHeight="1" x14ac:dyDescent="0.2">
      <c r="A118" t="s">
        <v>207</v>
      </c>
      <c r="B118" t="str">
        <f>IFERROR(IF(VLOOKUP($A118,Parts!$A$2:$M$191,2,FALSE())=0,"",VLOOKUP($A118,Parts!$A$2:$M$191,2,FALSE())),"")</f>
        <v>PCB</v>
      </c>
      <c r="C118" s="45" t="str">
        <f>IFERROR(IF(VLOOKUP($A118,Parts!$A$2:$M$191,3,FALSE())=0,"",VLOOKUP($A118,Parts!$A$2:$M$191,3,FALSE())),"")</f>
        <v>RainDetectorController PCB Rev 0.3</v>
      </c>
      <c r="D118" s="45" t="str">
        <f>IFERROR(IF(VLOOKUP($A118,Parts!$A$2:$M$191,4,FALSE())=0,"",VLOOKUP($A118,Parts!$A$2:$M$191,4,FALSE())),"")</f>
        <v>Revision 0.3, 62,12 x 44,12 mm</v>
      </c>
      <c r="E118" s="45" t="str">
        <f>IFERROR(IF(VLOOKUP($A118,Parts!$A$2:$M$191,5,FALSE())=0,"",VLOOKUP($A118,Parts!$A$2:$M$191,5,FALSE())),"")</f>
        <v>PCB: Sensors/RainDetectorController/RainDetectorController.kicad_pcb</v>
      </c>
      <c r="F118" t="str">
        <f>IFERROR(IF(VLOOKUP($A118,Parts!$A$2:$M$191,6,FALSE())=0,"",VLOOKUP($A118,Parts!$A$2:$M$191,6,FALSE())),"")</f>
        <v>JLCPCB</v>
      </c>
      <c r="G118" t="str">
        <f>IFERROR(IF(VLOOKUP($A118,Parts!$A$2:$M$191,7,FALSE())=0,"",VLOOKUP($A118,Parts!$A$2:$M$191,7,FALSE())),"")</f>
        <v>Y37-4808750A</v>
      </c>
      <c r="H118" s="56" t="str">
        <f>IFERROR(IF(_xlfn.XLOOKUP($A118&amp;"|Ja",Part_Suppliers!$L$2:$L$300,Part_Suppliers!$B$2:$B$300,"",0)=0,"",_xlfn.XLOOKUP($A118&amp;"|Ja",Part_Suppliers!$L$2:$L$300,Part_Suppliers!$B$2:$B$300,"",0)),"")</f>
        <v>JLCPCB</v>
      </c>
      <c r="I118" t="str">
        <f>IFERROR(IF(_xlfn.XLOOKUP($A118&amp;"|Ja",Part_Suppliers!$L$2:$L$300,Part_Suppliers!$C$2:$C$300,"",0)=0,"",_xlfn.XLOOKUP($A118&amp;"|Ja",Part_Suppliers!$L$2:$L$300,Part_Suppliers!$C$2:$C$300,"",0)),"")</f>
        <v>Y37-4808750A</v>
      </c>
      <c r="J118" s="57">
        <v>0</v>
      </c>
      <c r="K118" s="57">
        <v>0</v>
      </c>
      <c r="L118" s="45" t="str">
        <f>IFERROR(IF(VLOOKUP($A118,Parts!$A$2:$M$191,8,FALSE())=0,"",VLOOKUP($A118,Parts!$A$2:$M$191,8,FALSE())),"")</f>
        <v>RainDetectorController Rev 0.3; Aktuell 29.09.2026: RainDetectorController Rev 0.3</v>
      </c>
      <c r="M118" s="45" t="str">
        <f>IFERROR(IF(VLOOKUP($A118,Parts!$A$2:$M$191,12,FALSE())=0,"",VLOOKUP($A118,Parts!$A$2:$M$191,12,FALSE())),"")</f>
        <v>1 unbestückte Platine pro Controller. Eigener Artikel, getrennt vom Head bestellbar.  Ersetzt nicht den alten Stall.biz-Adapterartikel ENP-00053. Auftragsnummer laut Nutzer erfasst; Wareneingang/Bestellmenge noch abgleichen.</v>
      </c>
      <c r="N118" s="58"/>
      <c r="O118" s="59" t="s">
        <v>85</v>
      </c>
      <c r="S118" t="str">
        <f>IF(O118="drucken",COUNTIF($O$5:O118,"drucken"),"")</f>
        <v/>
      </c>
    </row>
    <row r="119" spans="1:19" ht="39.5" customHeight="1" x14ac:dyDescent="0.2">
      <c r="A119" t="s">
        <v>208</v>
      </c>
      <c r="B119" t="str">
        <f>IFERROR(IF(VLOOKUP($A119,Parts!$A$2:$M$191,2,FALSE())=0,"",VLOOKUP($A119,Parts!$A$2:$M$191,2,FALSE())),"")</f>
        <v>Widerstand</v>
      </c>
      <c r="C119" s="45" t="str">
        <f>IFERROR(IF(VLOOKUP($A119,Parts!$A$2:$M$191,3,FALSE())=0,"",VLOOKUP($A119,Parts!$A$2:$M$191,3,FALSE())),"")</f>
        <v>SMD-Heizwiderstand 15 Ohm, 1 %, 1206</v>
      </c>
      <c r="D119" s="45" t="str">
        <f>IFERROR(IF(VLOOKUP($A119,Parts!$A$2:$M$191,4,FALSE())=0,"",VLOOKUP($A119,Parts!$A$2:$M$191,4,FALSE())),"")</f>
        <v>15 Ω, 1 %, 250 mW</v>
      </c>
      <c r="E119" s="45" t="str">
        <f>IFERROR(IF(VLOOKUP($A119,Parts!$A$2:$M$191,5,FALSE())=0,"",VLOOKUP($A119,Parts!$A$2:$M$191,5,FALSE())),"")</f>
        <v>Resistor_SMD:R_1206_3216Metric_Pad1.30x1.75mm_HandSolder</v>
      </c>
      <c r="F119" t="str">
        <f>IFERROR(IF(VLOOKUP($A119,Parts!$A$2:$M$191,6,FALSE())=0,"",VLOOKUP($A119,Parts!$A$2:$M$191,6,FALSE())),"")</f>
        <v>Walsin</v>
      </c>
      <c r="G119" t="str">
        <f>IFERROR(IF(VLOOKUP($A119,Parts!$A$2:$M$191,7,FALSE())=0,"",VLOOKUP($A119,Parts!$A$2:$M$191,7,FALSE())),"")</f>
        <v>WR12X15R0FTL</v>
      </c>
      <c r="H119" s="56" t="str">
        <f>IFERROR(IF(_xlfn.XLOOKUP($A119&amp;"|Ja",Part_Suppliers!$L$2:$L$300,Part_Suppliers!$B$2:$B$300,"",0)=0,"",_xlfn.XLOOKUP($A119&amp;"|Ja",Part_Suppliers!$L$2:$L$300,Part_Suppliers!$B$2:$B$300,"",0)),"")</f>
        <v>Reichelt</v>
      </c>
      <c r="I119" t="str">
        <f>IFERROR(IF(_xlfn.XLOOKUP($A119&amp;"|Ja",Part_Suppliers!$L$2:$L$300,Part_Suppliers!$C$2:$C$300,"",0)=0,"",_xlfn.XLOOKUP($A119&amp;"|Ja",Part_Suppliers!$L$2:$L$300,Part_Suppliers!$C$2:$C$300,"",0)),"")</f>
        <v>WAL WR12X15R0FTL</v>
      </c>
      <c r="J119" s="57">
        <v>0</v>
      </c>
      <c r="K119" s="57">
        <v>320</v>
      </c>
      <c r="L119" s="45" t="str">
        <f>IFERROR(IF(VLOOKUP($A119,Parts!$A$2:$M$191,8,FALSE())=0,"",VLOOKUP($A119,Parts!$A$2:$M$191,8,FALSE())),"")</f>
        <v>RainDetectorHead Rev 0.1; Aktuell 29.09.2026: RainDetectorHead Rev 0.1</v>
      </c>
      <c r="M119" s="45" t="str">
        <f>IFERROR(IF(VLOOKUP($A119,Parts!$A$2:$M$191,12,FALSE())=0,"",VLOOKUP($A119,Parts!$A$2:$M$191,12,FALSE())),"")</f>
        <v>Reichelt-Ausführung für den Head; 20 Stück. Elektrische Nennwerte wie ENP-00112. 0,104 W je Widerstand bei 5 V; thermischen Aufbau praktisch testen.</v>
      </c>
      <c r="N119" s="58"/>
      <c r="O119" s="59" t="s">
        <v>85</v>
      </c>
      <c r="S119" t="str">
        <f>IF(O119="drucken",COUNTIF($O$5:O119,"drucken"),"")</f>
        <v/>
      </c>
    </row>
    <row r="120" spans="1:19" ht="39.5" customHeight="1" x14ac:dyDescent="0.2">
      <c r="A120" t="s">
        <v>209</v>
      </c>
      <c r="B120" t="str">
        <f>IFERROR(IF(VLOOKUP($A120,Parts!$A$2:$M$191,2,FALSE())=0,"",VLOOKUP($A120,Parts!$A$2:$M$191,2,FALSE())),"")</f>
        <v>Steckverbinder</v>
      </c>
      <c r="C120" s="45" t="str">
        <f>IFERROR(IF(VLOOKUP($A120,Parts!$A$2:$M$191,3,FALSE())=0,"",VLOOKUP($A120,Parts!$A$2:$M$191,3,FALSE())),"")</f>
        <v>Buchsenleiste 2x2, 2,54 mm, THT</v>
      </c>
      <c r="D120" s="45" t="str">
        <f>IFERROR(IF(VLOOKUP($A120,Parts!$A$2:$M$191,4,FALSE())=0,"",VLOOKUP($A120,Parts!$A$2:$M$191,4,FALSE())),"")</f>
        <v>2x2, RM 2,54 mm, THT, gerade</v>
      </c>
      <c r="E120" s="45" t="str">
        <f>IFERROR(IF(VLOOKUP($A120,Parts!$A$2:$M$191,5,FALSE())=0,"",VLOOKUP($A120,Parts!$A$2:$M$191,5,FALSE())),"")</f>
        <v>Connector_PinSocket_2.54mm:PinSocket_2x02_P2.54mm_Vertical</v>
      </c>
      <c r="F120" t="str">
        <f>IFERROR(IF(VLOOKUP($A120,Parts!$A$2:$M$191,6,FALSE())=0,"",VLOOKUP($A120,Parts!$A$2:$M$191,6,FALSE())),"")</f>
        <v>BKL</v>
      </c>
      <c r="G120" t="str">
        <f>IFERROR(IF(VLOOKUP($A120,Parts!$A$2:$M$191,7,FALSE())=0,"",VLOOKUP($A120,Parts!$A$2:$M$191,7,FALSE())),"")</f>
        <v>10120957</v>
      </c>
      <c r="H120" s="56" t="str">
        <f>IFERROR(IF(_xlfn.XLOOKUP($A120&amp;"|Ja",Part_Suppliers!$L$2:$L$300,Part_Suppliers!$B$2:$B$300,"",0)=0,"",_xlfn.XLOOKUP($A120&amp;"|Ja",Part_Suppliers!$L$2:$L$300,Part_Suppliers!$B$2:$B$300,"",0)),"")</f>
        <v>Reichelt</v>
      </c>
      <c r="I120" t="str">
        <f>IFERROR(IF(_xlfn.XLOOKUP($A120&amp;"|Ja",Part_Suppliers!$L$2:$L$300,Part_Suppliers!$C$2:$C$300,"",0)=0,"",_xlfn.XLOOKUP($A120&amp;"|Ja",Part_Suppliers!$L$2:$L$300,Part_Suppliers!$C$2:$C$300,"",0)),"")</f>
        <v>BKL 10120957</v>
      </c>
      <c r="J120" s="57">
        <v>0</v>
      </c>
      <c r="K120" s="57">
        <v>8</v>
      </c>
      <c r="L120" s="45" t="str">
        <f>IFERROR(IF(VLOOKUP($A120,Parts!$A$2:$M$191,8,FALSE())=0,"",VLOOKUP($A120,Parts!$A$2:$M$191,8,FALSE())),"")</f>
        <v>RainDetectorController Rev 0.3; Aktuell 29.09.2026: RainDetectorController Rev 0.3</v>
      </c>
      <c r="M120" s="45" t="str">
        <f>IFERROR(IF(VLOOKUP($A120,Parts!$A$2:$M$191,12,FALSE())=0,"",VLOOKUP($A120,Parts!$A$2:$M$191,12,FALSE())),"")</f>
        <v>2 Stück pro Controller. Gegenstück zu den 2x2-SMD-Zuschnitten am Head. Endgültigen Platinenabstand und Steckhöhe am Muster prüfen.</v>
      </c>
      <c r="N120" s="58"/>
      <c r="O120" s="59" t="s">
        <v>85</v>
      </c>
      <c r="S120" t="str">
        <f>IF(O120="drucken",COUNTIF($O$5:O120,"drucken"),"")</f>
        <v/>
      </c>
    </row>
    <row r="121" spans="1:19" ht="39.5" customHeight="1" x14ac:dyDescent="0.2">
      <c r="A121" t="s">
        <v>210</v>
      </c>
      <c r="B121" t="str">
        <f>IFERROR(IF(VLOOKUP($A121,Parts!$A$2:$M$191,2,FALSE())=0,"",VLOOKUP($A121,Parts!$A$2:$M$191,2,FALSE())),"")</f>
        <v>Steckverbinder</v>
      </c>
      <c r="C121" s="45" t="str">
        <f>IFERROR(IF(VLOOKUP($A121,Parts!$A$2:$M$191,3,FALSE())=0,"",VLOOKUP($A121,Parts!$A$2:$M$191,3,FALSE())),"")</f>
        <v>USB-C-Buchse, 6-polig, Power-only, Top-Mount</v>
      </c>
      <c r="D121" s="45" t="str">
        <f>IFERROR(IF(VLOOKUP($A121,Parts!$A$2:$M$191,4,FALSE())=0,"",VLOOKUP($A121,Parts!$A$2:$M$191,4,FALSE())),"")</f>
        <v>USB Type-C, 6 Kontakte, 5 V / 3 A, SMD/TH, horizontal</v>
      </c>
      <c r="E121" s="45" t="str">
        <f>IFERROR(IF(VLOOKUP($A121,Parts!$A$2:$M$191,5,FALSE())=0,"",VLOOKUP($A121,Parts!$A$2:$M$191,5,FALSE())),"")</f>
        <v>Connector_USB:USB_C_Receptacle_GCT_USB4125-xx-x-0190_6P_TopMnt_Horizontal</v>
      </c>
      <c r="F121" t="str">
        <f>IFERROR(IF(VLOOKUP($A121,Parts!$A$2:$M$191,6,FALSE())=0,"",VLOOKUP($A121,Parts!$A$2:$M$191,6,FALSE())),"")</f>
        <v>GCT</v>
      </c>
      <c r="G121" t="str">
        <f>IFERROR(IF(VLOOKUP($A121,Parts!$A$2:$M$191,7,FALSE())=0,"",VLOOKUP($A121,Parts!$A$2:$M$191,7,FALSE())),"")</f>
        <v>USB4125-GF-A-0190</v>
      </c>
      <c r="H121" s="56" t="str">
        <f>IFERROR(IF(_xlfn.XLOOKUP($A121&amp;"|Ja",Part_Suppliers!$L$2:$L$300,Part_Suppliers!$B$2:$B$300,"",0)=0,"",_xlfn.XLOOKUP($A121&amp;"|Ja",Part_Suppliers!$L$2:$L$300,Part_Suppliers!$B$2:$B$300,"",0)),"")</f>
        <v>eBay</v>
      </c>
      <c r="I121" t="str">
        <f>IFERROR(IF(_xlfn.XLOOKUP($A121&amp;"|Ja",Part_Suppliers!$L$2:$L$300,Part_Suppliers!$C$2:$C$300,"",0)=0,"",_xlfn.XLOOKUP($A121&amp;"|Ja",Part_Suppliers!$L$2:$L$300,Part_Suppliers!$C$2:$C$300,"",0)),"")</f>
        <v>640-USB4125-GF-A-190</v>
      </c>
      <c r="J121" s="57">
        <v>0</v>
      </c>
      <c r="K121" s="57">
        <v>5</v>
      </c>
      <c r="L121" s="45" t="str">
        <f>IFERROR(IF(VLOOKUP($A121,Parts!$A$2:$M$191,8,FALSE())=0,"",VLOOKUP($A121,Parts!$A$2:$M$191,8,FALSE())),"")</f>
        <v>ORing Power Rev 0.1; Aktuell 29.09.2026: ORing Power Modul Rev 0.1</v>
      </c>
      <c r="M121" s="45" t="str">
        <f>IFERROR(IF(VLOOKUP($A121,Parts!$A$2:$M$191,12,FALSE())=0,"",VLOOKUP($A121,Parts!$A$2:$M$191,12,FALSE())),"")</f>
        <v>Power-only-Buchse. CC1 und CC2 jeweils separat über 5,1 kΩ nach GND. Keine USB-Datenleitungen und keine USB-PD-Aushandlung. Exakte Variante mit 1,90-mm-Befestigungszapfen verwenden.</v>
      </c>
      <c r="N121" s="58"/>
      <c r="O121" s="59"/>
      <c r="S121" t="str">
        <f>IF(O121="drucken",COUNTIF($O$5:O121,"drucken"),"")</f>
        <v/>
      </c>
    </row>
    <row r="122" spans="1:19" ht="39.5" customHeight="1" x14ac:dyDescent="0.2">
      <c r="A122" t="s">
        <v>211</v>
      </c>
      <c r="B122" t="str">
        <f>IFERROR(IF(VLOOKUP($A122,Parts!$A$2:$M$191,2,FALSE())=0,"",VLOOKUP($A122,Parts!$A$2:$M$191,2,FALSE())),"")</f>
        <v>PCB</v>
      </c>
      <c r="C122" s="45" t="str">
        <f>IFERROR(IF(VLOOKUP($A122,Parts!$A$2:$M$191,3,FALSE())=0,"",VLOOKUP($A122,Parts!$A$2:$M$191,3,FALSE())),"")</f>
        <v>ORing Power Modul PCB Rev 0.1</v>
      </c>
      <c r="D122" s="45" t="str">
        <f>IFERROR(IF(VLOOKUP($A122,Parts!$A$2:$M$191,4,FALSE())=0,"",VLOOKUP($A122,Parts!$A$2:$M$191,4,FALSE())),"")</f>
        <v>Revision 0.1, 39 x 15 mm</v>
      </c>
      <c r="E122" s="45" t="str">
        <f>IFERROR(IF(VLOOKUP($A122,Parts!$A$2:$M$191,5,FALSE())=0,"",VLOOKUP($A122,Parts!$A$2:$M$191,5,FALSE())),"")</f>
        <v>PCB: DesignBlocks/ORing Power/ORing Power.kicad_pcb</v>
      </c>
      <c r="F122" t="str">
        <f>IFERROR(IF(VLOOKUP($A122,Parts!$A$2:$M$191,6,FALSE())=0,"",VLOOKUP($A122,Parts!$A$2:$M$191,6,FALSE())),"")</f>
        <v>JLCPCB</v>
      </c>
      <c r="G122" t="str">
        <f>IFERROR(IF(VLOOKUP($A122,Parts!$A$2:$M$191,7,FALSE())=0,"",VLOOKUP($A122,Parts!$A$2:$M$191,7,FALSE())),"")</f>
        <v>Y33-4808750A</v>
      </c>
      <c r="H122" s="56" t="str">
        <f>IFERROR(IF(_xlfn.XLOOKUP($A122&amp;"|Ja",Part_Suppliers!$L$2:$L$300,Part_Suppliers!$B$2:$B$300,"",0)=0,"",_xlfn.XLOOKUP($A122&amp;"|Ja",Part_Suppliers!$L$2:$L$300,Part_Suppliers!$B$2:$B$300,"",0)),"")</f>
        <v>JLCPCB</v>
      </c>
      <c r="I122" t="str">
        <f>IFERROR(IF(_xlfn.XLOOKUP($A122&amp;"|Ja",Part_Suppliers!$L$2:$L$300,Part_Suppliers!$C$2:$C$300,"",0)=0,"",_xlfn.XLOOKUP($A122&amp;"|Ja",Part_Suppliers!$L$2:$L$300,Part_Suppliers!$C$2:$C$300,"",0)),"")</f>
        <v>Y33-4808750A</v>
      </c>
      <c r="J122" s="57">
        <v>0</v>
      </c>
      <c r="K122" s="57">
        <v>0</v>
      </c>
      <c r="L122" s="45" t="str">
        <f>IFERROR(IF(VLOOKUP($A122,Parts!$A$2:$M$191,8,FALSE())=0,"",VLOOKUP($A122,Parts!$A$2:$M$191,8,FALSE())),"")</f>
        <v>ORing Power Rev 0.1; Aktuell 29.09.2026: ORing Power Modul Rev 0.1</v>
      </c>
      <c r="M122" s="45" t="str">
        <f>IFERROR(IF(VLOOKUP($A122,Parts!$A$2:$M$191,12,FALSE())=0,"",VLOOKUP($A122,Parts!$A$2:$M$191,12,FALSE())),"")</f>
        <v>Unbestückte castellated Leiterplatte.  Vor Serienfreigabe mechanischen Sitz, Lötbarkeit und elektrische Inbetriebnahme prüfen. Auftragsnummer laut Nutzer erfasst; Wareneingang/Bestellmenge noch abgleichen.</v>
      </c>
      <c r="N122" s="58"/>
      <c r="O122" s="59"/>
      <c r="S122" t="str">
        <f>IF(O122="drucken",COUNTIF($O$5:O122,"drucken"),"")</f>
        <v/>
      </c>
    </row>
    <row r="123" spans="1:19" ht="39.5" customHeight="1" x14ac:dyDescent="0.2">
      <c r="A123" t="s">
        <v>212</v>
      </c>
      <c r="B123" t="str">
        <f>IFERROR(IF(VLOOKUP($A123,Parts!$A$2:$M$191,2,FALSE())=0,"",VLOOKUP($A123,Parts!$A$2:$M$191,2,FALSE())),"")</f>
        <v>Steckverbinder</v>
      </c>
      <c r="C123" s="45" t="str">
        <f>IFERROR(IF(VLOOKUP($A123,Parts!$A$2:$M$191,3,FALSE())=0,"",VLOOKUP($A123,Parts!$A$2:$M$191,3,FALSE())),"")</f>
        <v>JST-PH Stiftleiste, 2-polig, vertikal, SMD</v>
      </c>
      <c r="D123" s="45" t="str">
        <f>IFERROR(IF(VLOOKUP($A123,Parts!$A$2:$M$191,4,FALSE())=0,"",VLOOKUP($A123,Parts!$A$2:$M$191,4,FALSE())),"")</f>
        <v>JST-PH, 2-polig, 2,00 mm, SMD</v>
      </c>
      <c r="E123" s="45" t="str">
        <f>IFERROR(IF(VLOOKUP($A123,Parts!$A$2:$M$191,5,FALSE())=0,"",VLOOKUP($A123,Parts!$A$2:$M$191,5,FALSE())),"")</f>
        <v>Connector_JST:JST_PH_B2B-PH-SM4-TB_1x02-1MP_P2.00mm_Vertical</v>
      </c>
      <c r="F123" t="str">
        <f>IFERROR(IF(VLOOKUP($A123,Parts!$A$2:$M$191,6,FALSE())=0,"",VLOOKUP($A123,Parts!$A$2:$M$191,6,FALSE())),"")</f>
        <v>JST</v>
      </c>
      <c r="G123" t="str">
        <f>IFERROR(IF(VLOOKUP($A123,Parts!$A$2:$M$191,7,FALSE())=0,"",VLOOKUP($A123,Parts!$A$2:$M$191,7,FALSE())),"")</f>
        <v>B2B-PH-SM4-TBT</v>
      </c>
      <c r="H123" s="56" t="str">
        <f>IFERROR(IF(_xlfn.XLOOKUP($A123&amp;"|Ja",Part_Suppliers!$L$2:$L$300,Part_Suppliers!$B$2:$B$300,"",0)=0,"",_xlfn.XLOOKUP($A123&amp;"|Ja",Part_Suppliers!$L$2:$L$300,Part_Suppliers!$B$2:$B$300,"",0)),"")</f>
        <v>DigiKey</v>
      </c>
      <c r="I123" t="str">
        <f>IFERROR(IF(_xlfn.XLOOKUP($A123&amp;"|Ja",Part_Suppliers!$L$2:$L$300,Part_Suppliers!$C$2:$C$300,"",0)=0,"",_xlfn.XLOOKUP($A123&amp;"|Ja",Part_Suppliers!$L$2:$L$300,Part_Suppliers!$C$2:$C$300,"",0)),"")</f>
        <v>455-B2B-PH-SM4-TBTCT-ND</v>
      </c>
      <c r="J123" s="57">
        <v>9</v>
      </c>
      <c r="K123" s="57">
        <v>0</v>
      </c>
      <c r="L123" s="45" t="str">
        <f>IFERROR(IF(VLOOKUP($A123,Parts!$A$2:$M$191,8,FALSE())=0,"",VLOOKUP($A123,Parts!$A$2:$M$191,8,FALSE())),"")</f>
        <v>ORing Power Rev 0.1; Aktuell 29.09.2026: ORing Power Modul Rev 0.1</v>
      </c>
      <c r="M123" s="45" t="str">
        <f>IFERROR(IF(VLOOKUP($A123,Parts!$A$2:$M$191,12,FALSE())=0,"",VLOOKUP($A123,Parts!$A$2:$M$191,12,FALSE())),"")</f>
        <v>Reichelt: B2B-PH-SM4-TBT (Ansaughilfe), JST PH2P SM4. KiCad-Footprint heißt B2B-PH-SM4-TB. Hersteller: https://jst.de/produkt/3424/692450-00</v>
      </c>
      <c r="N123" s="58"/>
      <c r="O123" s="59" t="s">
        <v>85</v>
      </c>
      <c r="S123" t="str">
        <f>IF(O123="drucken",COUNTIF($O$5:O123,"drucken"),"")</f>
        <v/>
      </c>
    </row>
    <row r="124" spans="1:19" ht="39.5" customHeight="1" x14ac:dyDescent="0.2">
      <c r="A124" t="s">
        <v>213</v>
      </c>
      <c r="B124" t="str">
        <f>IFERROR(IF(VLOOKUP($A124,Parts!$A$2:$M$191,2,FALSE())=0,"",VLOOKUP($A124,Parts!$A$2:$M$191,2,FALSE())),"")</f>
        <v>PCB</v>
      </c>
      <c r="C124" s="45" t="str">
        <f>IFERROR(IF(VLOOKUP($A124,Parts!$A$2:$M$191,3,FALSE())=0,"",VLOOKUP($A124,Parts!$A$2:$M$191,3,FALSE())),"")</f>
        <v>EnvNode Mini PCB Rev 0.6</v>
      </c>
      <c r="D124" s="45" t="str">
        <f>IFERROR(IF(VLOOKUP($A124,Parts!$A$2:$M$191,4,FALSE())=0,"",VLOOKUP($A124,Parts!$A$2:$M$191,4,FALSE())),"")</f>
        <v>Revision 0.6</v>
      </c>
      <c r="E124" s="45" t="str">
        <f>IFERROR(IF(VLOOKUP($A124,Parts!$A$2:$M$191,5,FALSE())=0,"",VLOOKUP($A124,Parts!$A$2:$M$191,5,FALSE())),"")</f>
        <v>PCB: MainBoards/EnvNode Mini/EnvNode Mini.kicad_pcb</v>
      </c>
      <c r="F124" t="str">
        <f>IFERROR(IF(VLOOKUP($A124,Parts!$A$2:$M$191,6,FALSE())=0,"",VLOOKUP($A124,Parts!$A$2:$M$191,6,FALSE())),"")</f>
        <v>JLCPCB</v>
      </c>
      <c r="G124" t="str">
        <f>IFERROR(IF(VLOOKUP($A124,Parts!$A$2:$M$191,7,FALSE())=0,"",VLOOKUP($A124,Parts!$A$2:$M$191,7,FALSE())),"")</f>
        <v>Y35-4808750A</v>
      </c>
      <c r="H124" s="56" t="str">
        <f>IFERROR(IF(_xlfn.XLOOKUP($A124&amp;"|Ja",Part_Suppliers!$L$2:$L$300,Part_Suppliers!$B$2:$B$300,"",0)=0,"",_xlfn.XLOOKUP($A124&amp;"|Ja",Part_Suppliers!$L$2:$L$300,Part_Suppliers!$B$2:$B$300,"",0)),"")</f>
        <v>JLCPCB</v>
      </c>
      <c r="I124" t="str">
        <f>IFERROR(IF(_xlfn.XLOOKUP($A124&amp;"|Ja",Part_Suppliers!$L$2:$L$300,Part_Suppliers!$C$2:$C$300,"",0)=0,"",_xlfn.XLOOKUP($A124&amp;"|Ja",Part_Suppliers!$L$2:$L$300,Part_Suppliers!$C$2:$C$300,"",0)),"")</f>
        <v>Y35-4808750A</v>
      </c>
      <c r="J124" s="57"/>
      <c r="K124" s="57"/>
      <c r="L124" s="45" t="str">
        <f>IFERROR(IF(VLOOKUP($A124,Parts!$A$2:$M$191,8,FALSE())=0,"",VLOOKUP($A124,Parts!$A$2:$M$191,8,FALSE())),"")</f>
        <v>EnvNode Mini Rev 0.6</v>
      </c>
      <c r="M124" s="45" t="str">
        <f>IFERROR(IF(VLOOKUP($A124,Parts!$A$2:$M$191,12,FALSE())=0,"",VLOOKUP($A124,Parts!$A$2:$M$191,12,FALSE())),"")</f>
        <v>Unbestückte Leiterplatte; bei JLCPCB bestellt, Bestellmenge/VE 5. Der gespeicherte KiCad-PCB-Stand trägt Revision 0.6.</v>
      </c>
      <c r="N124" s="58"/>
      <c r="O124" s="59" t="s">
        <v>85</v>
      </c>
      <c r="S124" t="str">
        <f>IF(O124="drucken",COUNTIF($O$5:O124,"drucken"),"")</f>
        <v/>
      </c>
    </row>
    <row r="125" spans="1:19" ht="39.5" customHeight="1" x14ac:dyDescent="0.2">
      <c r="A125" t="s">
        <v>214</v>
      </c>
      <c r="B125" t="str">
        <f>IFERROR(IF(VLOOKUP($A125,Parts!$A$2:$M$191,2,FALSE())=0,"",VLOOKUP($A125,Parts!$A$2:$M$191,2,FALSE())),"")</f>
        <v>PCB</v>
      </c>
      <c r="C125" s="45" t="str">
        <f>IFERROR(IF(VLOOKUP($A125,Parts!$A$2:$M$191,3,FALSE())=0,"",VLOOKUP($A125,Parts!$A$2:$M$191,3,FALSE())),"")</f>
        <v>EnvNode Weatherstation Rev 0.1</v>
      </c>
      <c r="D125" s="45" t="str">
        <f>IFERROR(IF(VLOOKUP($A125,Parts!$A$2:$M$191,4,FALSE())=0,"",VLOOKUP($A125,Parts!$A$2:$M$191,4,FALSE())),"")</f>
        <v>Revision 0.1</v>
      </c>
      <c r="E125" s="45" t="str">
        <f>IFERROR(IF(VLOOKUP($A125,Parts!$A$2:$M$191,5,FALSE())=0,"",VLOOKUP($A125,Parts!$A$2:$M$191,5,FALSE())),"")</f>
        <v>PCB: MainBoards/Weatherstation/Weatherstation.kicad_pcb</v>
      </c>
      <c r="F125" t="str">
        <f>IFERROR(IF(VLOOKUP($A125,Parts!$A$2:$M$191,6,FALSE())=0,"",VLOOKUP($A125,Parts!$A$2:$M$191,6,FALSE())),"")</f>
        <v>JLCPCB</v>
      </c>
      <c r="G125" t="str">
        <f>IFERROR(IF(VLOOKUP($A125,Parts!$A$2:$M$191,7,FALSE())=0,"",VLOOKUP($A125,Parts!$A$2:$M$191,7,FALSE())),"")</f>
        <v/>
      </c>
      <c r="H125" s="56" t="str">
        <f>IFERROR(IF(_xlfn.XLOOKUP($A125&amp;"|Ja",Part_Suppliers!$L$2:$L$300,Part_Suppliers!$B$2:$B$300,"",0)=0,"",_xlfn.XLOOKUP($A125&amp;"|Ja",Part_Suppliers!$L$2:$L$300,Part_Suppliers!$B$2:$B$300,"",0)),"")</f>
        <v>JLCPCB</v>
      </c>
      <c r="I125" t="str">
        <f>IFERROR(IF(_xlfn.XLOOKUP($A125&amp;"|Ja",Part_Suppliers!$L$2:$L$300,Part_Suppliers!$C$2:$C$300,"",0)=0,"",_xlfn.XLOOKUP($A125&amp;"|Ja",Part_Suppliers!$L$2:$L$300,Part_Suppliers!$C$2:$C$300,"",0)),"")</f>
        <v/>
      </c>
      <c r="J125" s="57"/>
      <c r="K125" s="57"/>
      <c r="L125" s="45" t="str">
        <f>IFERROR(IF(VLOOKUP($A125,Parts!$A$2:$M$191,8,FALSE())=0,"",VLOOKUP($A125,Parts!$A$2:$M$191,8,FALSE())),"")</f>
        <v>EnvNode Weatherstation Rev 0.1</v>
      </c>
      <c r="M125" s="45" t="str">
        <f>IFERROR(IF(VLOOKUP($A125,Parts!$A$2:$M$191,12,FALSE())=0,"",VLOOKUP($A125,Parts!$A$2:$M$191,12,FALSE())),"")</f>
        <v>Bestelltes Rev.-0.1-Los. Kopierte Mini-MPN Y35-4808750A entfernt; tatsächliche JLCPCB-Auftragsnummer offen. Nicht für Rev. 0.2 anrechnen.</v>
      </c>
      <c r="N125" s="58"/>
      <c r="O125" s="59" t="s">
        <v>85</v>
      </c>
      <c r="S125" t="str">
        <f>IF(O125="drucken",COUNTIF($O$5:O125,"drucken"),"")</f>
        <v/>
      </c>
    </row>
    <row r="126" spans="1:19" ht="39.5" customHeight="1" x14ac:dyDescent="0.2">
      <c r="A126" t="s">
        <v>215</v>
      </c>
      <c r="B126" t="str">
        <f>IFERROR(IF(VLOOKUP($A126,Parts!$A$2:$M$191,2,FALSE())=0,"",VLOOKUP($A126,Parts!$A$2:$M$191,2,FALSE())),"")</f>
        <v>Steckverbinder</v>
      </c>
      <c r="C126" s="45" t="str">
        <f>IFERROR(IF(VLOOKUP($A126,Parts!$A$2:$M$191,3,FALSE())=0,"",VLOOKUP($A126,Parts!$A$2:$M$191,3,FALSE())),"")</f>
        <v>JST-SH Stiftleiste, 4-polig, vertikal</v>
      </c>
      <c r="D126" s="45" t="str">
        <f>IFERROR(IF(VLOOKUP($A126,Parts!$A$2:$M$191,4,FALSE())=0,"",VLOOKUP($A126,Parts!$A$2:$M$191,4,FALSE())),"")</f>
        <v>4-polig, 1,00 mm, SMD, Top-Entry</v>
      </c>
      <c r="E126" s="45" t="str">
        <f>IFERROR(IF(VLOOKUP($A126,Parts!$A$2:$M$191,5,FALSE())=0,"",VLOOKUP($A126,Parts!$A$2:$M$191,5,FALSE())),"")</f>
        <v>Connector_JST:JST_SH_BM04B-SRSS-TB_1x04-1MP_P1.00mm_Vertical</v>
      </c>
      <c r="F126" t="str">
        <f>IFERROR(IF(VLOOKUP($A126,Parts!$A$2:$M$191,6,FALSE())=0,"",VLOOKUP($A126,Parts!$A$2:$M$191,6,FALSE())),"")</f>
        <v>JST</v>
      </c>
      <c r="G126" t="str">
        <f>IFERROR(IF(VLOOKUP($A126,Parts!$A$2:$M$191,7,FALSE())=0,"",VLOOKUP($A126,Parts!$A$2:$M$191,7,FALSE())),"")</f>
        <v>BM04B-SRSS-TB</v>
      </c>
      <c r="H126" s="56" t="str">
        <f>IFERROR(IF(_xlfn.XLOOKUP($A126&amp;"|Ja",Part_Suppliers!$L$2:$L$300,Part_Suppliers!$B$2:$B$300,"",0)=0,"",_xlfn.XLOOKUP($A126&amp;"|Ja",Part_Suppliers!$L$2:$L$300,Part_Suppliers!$B$2:$B$300,"",0)),"")</f>
        <v>DigiKey</v>
      </c>
      <c r="I126" t="str">
        <f>IFERROR(IF(_xlfn.XLOOKUP($A126&amp;"|Ja",Part_Suppliers!$L$2:$L$300,Part_Suppliers!$C$2:$C$300,"",0)=0,"",_xlfn.XLOOKUP($A126&amp;"|Ja",Part_Suppliers!$L$2:$L$300,Part_Suppliers!$C$2:$C$300,"",0)),"")</f>
        <v>455-BM04B-SRSS-TBCT-ND</v>
      </c>
      <c r="J126" s="57">
        <v>0</v>
      </c>
      <c r="K126" s="57">
        <v>0</v>
      </c>
      <c r="L126" s="45" t="str">
        <f>IFERROR(IF(VLOOKUP($A126,Parts!$A$2:$M$191,8,FALSE())=0,"",VLOOKUP($A126,Parts!$A$2:$M$191,8,FALSE())),"")</f>
        <v>EnvNode Mini Rev 0.6; Weatherstation Rev 0.1; Aktuell 29.09.2026: EnvNode Mini Bausatz Rev 0.8; EnvNode Weatherstation Bausatz Rev 0.2</v>
      </c>
      <c r="M126" s="45" t="str">
        <f>IFERROR(IF(VLOOKUP($A126,Parts!$A$2:$M$191,12,FALSE())=0,"",VLOOKUP($A126,Parts!$A$2:$M$191,12,FALSE())),"")</f>
        <v>4 Stück pro Mini, 8 pro Weatherstation. Vertikal; horizontaler ENP-00026 ist kein Ersatz.</v>
      </c>
      <c r="N126" s="58"/>
      <c r="O126" s="59" t="s">
        <v>85</v>
      </c>
      <c r="S126" t="str">
        <f>IF(O126="drucken",COUNTIF($O$5:O126,"drucken"),"")</f>
        <v/>
      </c>
    </row>
    <row r="127" spans="1:19" ht="39.5" customHeight="1" x14ac:dyDescent="0.2">
      <c r="A127" t="s">
        <v>1011</v>
      </c>
      <c r="B127" t="str">
        <f>IFERROR(IF(VLOOKUP($A127,Parts!$A$2:$M$191,2,FALSE())=0,"",VLOOKUP($A127,Parts!$A$2:$M$191,2,FALSE())),"")</f>
        <v>PCB</v>
      </c>
      <c r="C127" s="45" t="str">
        <f>IFERROR(IF(VLOOKUP($A127,Parts!$A$2:$M$191,3,FALSE())=0,"",VLOOKUP($A127,Parts!$A$2:$M$191,3,FALSE())),"")</f>
        <v>EnvNode Mini PCB Rev 0.8</v>
      </c>
      <c r="D127" s="45" t="str">
        <f>IFERROR(IF(VLOOKUP($A127,Parts!$A$2:$M$191,4,FALSE())=0,"",VLOOKUP($A127,Parts!$A$2:$M$191,4,FALSE())),"")</f>
        <v>Revision 0.8</v>
      </c>
      <c r="E127" s="45" t="str">
        <f>IFERROR(IF(VLOOKUP($A127,Parts!$A$2:$M$191,5,FALSE())=0,"",VLOOKUP($A127,Parts!$A$2:$M$191,5,FALSE())),"")</f>
        <v>PCB: MainBoards/EnvNode Mini/EnvNode Mini.kicad_pcb</v>
      </c>
      <c r="F127" t="str">
        <f>IFERROR(IF(VLOOKUP($A127,Parts!$A$2:$M$191,6,FALSE())=0,"",VLOOKUP($A127,Parts!$A$2:$M$191,6,FALSE())),"")</f>
        <v>JLCPCB</v>
      </c>
      <c r="G127" t="str">
        <f>IFERROR(IF(VLOOKUP($A127,Parts!$A$2:$M$191,7,FALSE())=0,"",VLOOKUP($A127,Parts!$A$2:$M$191,7,FALSE())),"")</f>
        <v/>
      </c>
      <c r="H127" s="56" t="str">
        <f>IFERROR(IF(_xlfn.XLOOKUP($A127&amp;"|Ja",Part_Suppliers!$L$2:$L$300,Part_Suppliers!$B$2:$B$300,"",0)=0,"",_xlfn.XLOOKUP($A127&amp;"|Ja",Part_Suppliers!$L$2:$L$300,Part_Suppliers!$B$2:$B$300,"",0)),"")</f>
        <v>JLCPCB</v>
      </c>
      <c r="I127" t="str">
        <f>IFERROR(IF(_xlfn.XLOOKUP($A127&amp;"|Ja",Part_Suppliers!$L$2:$L$300,Part_Suppliers!$C$2:$C$300,"",0)=0,"",_xlfn.XLOOKUP($A127&amp;"|Ja",Part_Suppliers!$L$2:$L$300,Part_Suppliers!$C$2:$C$300,"",0)),"")</f>
        <v/>
      </c>
      <c r="J127" s="57">
        <v>0</v>
      </c>
      <c r="K127" s="57">
        <v>0</v>
      </c>
      <c r="L127" s="45" t="str">
        <f>IFERROR(IF(VLOOKUP($A127,Parts!$A$2:$M$191,8,FALSE())=0,"",VLOOKUP($A127,Parts!$A$2:$M$191,8,FALSE())),"")</f>
        <v>EnvNode Mini Rev 0.8; Aktuell 29.09.2026: EnvNode Mini Bausatz Rev 0.8</v>
      </c>
      <c r="M127" s="45" t="str">
        <f>IFERROR(IF(VLOOKUP($A127,Parts!$A$2:$M$191,12,FALSE())=0,"",VLOOKUP($A127,Parts!$A$2:$M$191,12,FALSE())),"")</f>
        <v>Neue Revision mit ADC1/ADC2. Nicht mit bestellten Rev.-0.6-PCBs verrechnen. Preis und Fertigungsauftrag offen.</v>
      </c>
      <c r="N127" s="58"/>
      <c r="O127" s="59" t="s">
        <v>85</v>
      </c>
      <c r="S127" t="str">
        <f>IF(O127="drucken",COUNTIF($O$5:O127,"drucken"),"")</f>
        <v/>
      </c>
    </row>
    <row r="128" spans="1:19" ht="39.5" customHeight="1" x14ac:dyDescent="0.2">
      <c r="A128" t="s">
        <v>1018</v>
      </c>
      <c r="B128" t="str">
        <f>IFERROR(IF(VLOOKUP($A128,Parts!$A$2:$M$191,2,FALSE())=0,"",VLOOKUP($A128,Parts!$A$2:$M$191,2,FALSE())),"")</f>
        <v>PCB</v>
      </c>
      <c r="C128" s="45" t="str">
        <f>IFERROR(IF(VLOOKUP($A128,Parts!$A$2:$M$191,3,FALSE())=0,"",VLOOKUP($A128,Parts!$A$2:$M$191,3,FALSE())),"")</f>
        <v>EnvNode Weatherstation PCB Rev 0.2</v>
      </c>
      <c r="D128" s="45" t="str">
        <f>IFERROR(IF(VLOOKUP($A128,Parts!$A$2:$M$191,4,FALSE())=0,"",VLOOKUP($A128,Parts!$A$2:$M$191,4,FALSE())),"")</f>
        <v>Revision 0.2</v>
      </c>
      <c r="E128" s="45" t="str">
        <f>IFERROR(IF(VLOOKUP($A128,Parts!$A$2:$M$191,5,FALSE())=0,"",VLOOKUP($A128,Parts!$A$2:$M$191,5,FALSE())),"")</f>
        <v>PCB: MainBoards/Weatherstation/Weatherstation.kicad_pcb</v>
      </c>
      <c r="F128" t="str">
        <f>IFERROR(IF(VLOOKUP($A128,Parts!$A$2:$M$191,6,FALSE())=0,"",VLOOKUP($A128,Parts!$A$2:$M$191,6,FALSE())),"")</f>
        <v>JLCPCB</v>
      </c>
      <c r="G128" t="str">
        <f>IFERROR(IF(VLOOKUP($A128,Parts!$A$2:$M$191,7,FALSE())=0,"",VLOOKUP($A128,Parts!$A$2:$M$191,7,FALSE())),"")</f>
        <v/>
      </c>
      <c r="H128" s="56" t="str">
        <f>IFERROR(IF(_xlfn.XLOOKUP($A128&amp;"|Ja",Part_Suppliers!$L$2:$L$300,Part_Suppliers!$B$2:$B$300,"",0)=0,"",_xlfn.XLOOKUP($A128&amp;"|Ja",Part_Suppliers!$L$2:$L$300,Part_Suppliers!$B$2:$B$300,"",0)),"")</f>
        <v>JLCPCB</v>
      </c>
      <c r="I128" t="str">
        <f>IFERROR(IF(_xlfn.XLOOKUP($A128&amp;"|Ja",Part_Suppliers!$L$2:$L$300,Part_Suppliers!$C$2:$C$300,"",0)=0,"",_xlfn.XLOOKUP($A128&amp;"|Ja",Part_Suppliers!$L$2:$L$300,Part_Suppliers!$C$2:$C$300,"",0)),"")</f>
        <v/>
      </c>
      <c r="J128" s="57">
        <v>0</v>
      </c>
      <c r="K128" s="57">
        <v>0</v>
      </c>
      <c r="L128" s="45" t="str">
        <f>IFERROR(IF(VLOOKUP($A128,Parts!$A$2:$M$191,8,FALSE())=0,"",VLOOKUP($A128,Parts!$A$2:$M$191,8,FALSE())),"")</f>
        <v>Weatherstation Rev 0.2; Aktuell 29.09.2026: EnvNode Weatherstation Bausatz Rev 0.2</v>
      </c>
      <c r="M128" s="45" t="str">
        <f>IFERROR(IF(VLOOKUP($A128,Parts!$A$2:$M$191,12,FALSE())=0,"",VLOOKUP($A128,Parts!$A$2:$M$191,12,FALSE())),"")</f>
        <v>I2C0-Slotbelegung korrigiert. Nicht mit bestellten Rev.-0.1-PCBs verrechnen. Preis und Fertigungsauftrag offen.</v>
      </c>
      <c r="N128" s="58"/>
      <c r="O128" s="59" t="s">
        <v>85</v>
      </c>
      <c r="S128" t="str">
        <f>IF(O128="drucken",COUNTIF($O$5:O128,"drucken"),"")</f>
        <v/>
      </c>
    </row>
    <row r="129" spans="1:19" ht="39.5" customHeight="1" x14ac:dyDescent="0.2">
      <c r="A129" t="s">
        <v>1024</v>
      </c>
      <c r="B129" t="str">
        <f>IFERROR(IF(VLOOKUP($A129,Parts!$A$2:$M$191,2,FALSE())=0,"",VLOOKUP($A129,Parts!$A$2:$M$191,2,FALSE())),"")</f>
        <v>Steckverbinder</v>
      </c>
      <c r="C129" s="45" t="str">
        <f>IFERROR(IF(VLOOKUP($A129,Parts!$A$2:$M$191,3,FALSE())=0,"",VLOOKUP($A129,Parts!$A$2:$M$191,3,FALSE())),"")</f>
        <v>Klinkeneinbaubuchse Lumberg 1503 09</v>
      </c>
      <c r="D129" s="45" t="str">
        <f>IFERROR(IF(VLOOKUP($A129,Parts!$A$2:$M$191,4,FALSE())=0,"",VLOOKUP($A129,Parts!$A$2:$M$191,4,FALSE())),"")</f>
        <v>3,5 mm, Stereo, THT, verschraubbar</v>
      </c>
      <c r="E129" s="45" t="str">
        <f>IFERROR(IF(VLOOKUP($A129,Parts!$A$2:$M$191,5,FALSE())=0,"",VLOOKUP($A129,Parts!$A$2:$M$191,5,FALSE())),"")</f>
        <v>EnvNode-Footprints:Jack_3.5mm_Lumberg_1503_09_Horizontal</v>
      </c>
      <c r="F129" t="str">
        <f>IFERROR(IF(VLOOKUP($A129,Parts!$A$2:$M$191,6,FALSE())=0,"",VLOOKUP($A129,Parts!$A$2:$M$191,6,FALSE())),"")</f>
        <v>Lumberg</v>
      </c>
      <c r="G129" t="str">
        <f>IFERROR(IF(VLOOKUP($A129,Parts!$A$2:$M$191,7,FALSE())=0,"",VLOOKUP($A129,Parts!$A$2:$M$191,7,FALSE())),"")</f>
        <v>1503 09</v>
      </c>
      <c r="H129" s="56" t="str">
        <f>IFERROR(IF(_xlfn.XLOOKUP($A129&amp;"|Ja",Part_Suppliers!$L$2:$L$300,Part_Suppliers!$B$2:$B$300,"",0)=0,"",_xlfn.XLOOKUP($A129&amp;"|Ja",Part_Suppliers!$L$2:$L$300,Part_Suppliers!$B$2:$B$300,"",0)),"")</f>
        <v>TME</v>
      </c>
      <c r="I129" t="str">
        <f>IFERROR(IF(_xlfn.XLOOKUP($A129&amp;"|Ja",Part_Suppliers!$L$2:$L$300,Part_Suppliers!$C$2:$C$300,"",0)=0,"",_xlfn.XLOOKUP($A129&amp;"|Ja",Part_Suppliers!$L$2:$L$300,Part_Suppliers!$C$2:$C$300,"",0)),"")</f>
        <v>1503-09</v>
      </c>
      <c r="J129" s="57">
        <v>0</v>
      </c>
      <c r="K129" s="57">
        <v>0</v>
      </c>
      <c r="L129" s="45" t="str">
        <f>IFERROR(IF(VLOOKUP($A129,Parts!$A$2:$M$191,8,FALSE())=0,"",VLOOKUP($A129,Parts!$A$2:$M$191,8,FALSE())),"")</f>
        <v>SCT013Head Rev 0.1; Aktuell 29.09.2026: SCT013Head Rev 0.1</v>
      </c>
      <c r="M129" s="45" t="str">
        <f>IFERROR(IF(VLOOKUP($A129,Parts!$A$2:$M$191,12,FALSE())=0,"",VLOOKUP($A129,Parts!$A$2:$M$191,12,FALSE())),"")</f>
        <v>Herstellerzeichnung: https://downloads.lumberg.com/datenblaetter/en/1503_09.pdf. Tip Pin 3, Sleeve Pin 1. Preis offen.</v>
      </c>
      <c r="N129" s="58"/>
      <c r="O129" s="59" t="s">
        <v>85</v>
      </c>
      <c r="S129" t="str">
        <f>IF(O129="drucken",COUNTIF($O$5:O129,"drucken"),"")</f>
        <v/>
      </c>
    </row>
    <row r="130" spans="1:19" ht="39.5" customHeight="1" x14ac:dyDescent="0.2">
      <c r="A130" t="s">
        <v>1033</v>
      </c>
      <c r="B130" t="str">
        <f>IFERROR(IF(VLOOKUP($A130,Parts!$A$2:$M$191,2,FALSE())=0,"",VLOOKUP($A130,Parts!$A$2:$M$191,2,FALSE())),"")</f>
        <v>PCB</v>
      </c>
      <c r="C130" s="45" t="str">
        <f>IFERROR(IF(VLOOKUP($A130,Parts!$A$2:$M$191,3,FALSE())=0,"",VLOOKUP($A130,Parts!$A$2:$M$191,3,FALSE())),"")</f>
        <v>SCT013Head PCB Rev 0.1</v>
      </c>
      <c r="D130" s="45" t="str">
        <f>IFERROR(IF(VLOOKUP($A130,Parts!$A$2:$M$191,4,FALSE())=0,"",VLOOKUP($A130,Parts!$A$2:$M$191,4,FALSE())),"")</f>
        <v>Revision 0.1</v>
      </c>
      <c r="E130" s="45" t="str">
        <f>IFERROR(IF(VLOOKUP($A130,Parts!$A$2:$M$191,5,FALSE())=0,"",VLOOKUP($A130,Parts!$A$2:$M$191,5,FALSE())),"")</f>
        <v>PCB: Sensors/SCT013Head/SCT013Head.kicad_pcb</v>
      </c>
      <c r="F130" t="str">
        <f>IFERROR(IF(VLOOKUP($A130,Parts!$A$2:$M$191,6,FALSE())=0,"",VLOOKUP($A130,Parts!$A$2:$M$191,6,FALSE())),"")</f>
        <v>JLCPCB</v>
      </c>
      <c r="G130" t="str">
        <f>IFERROR(IF(VLOOKUP($A130,Parts!$A$2:$M$191,7,FALSE())=0,"",VLOOKUP($A130,Parts!$A$2:$M$191,7,FALSE())),"")</f>
        <v/>
      </c>
      <c r="H130" s="56" t="str">
        <f>IFERROR(IF(_xlfn.XLOOKUP($A130&amp;"|Ja",Part_Suppliers!$L$2:$L$300,Part_Suppliers!$B$2:$B$300,"",0)=0,"",_xlfn.XLOOKUP($A130&amp;"|Ja",Part_Suppliers!$L$2:$L$300,Part_Suppliers!$B$2:$B$300,"",0)),"")</f>
        <v>JLCPCB</v>
      </c>
      <c r="I130" t="str">
        <f>IFERROR(IF(_xlfn.XLOOKUP($A130&amp;"|Ja",Part_Suppliers!$L$2:$L$300,Part_Suppliers!$C$2:$C$300,"",0)=0,"",_xlfn.XLOOKUP($A130&amp;"|Ja",Part_Suppliers!$L$2:$L$300,Part_Suppliers!$C$2:$C$300,"",0)),"")</f>
        <v/>
      </c>
      <c r="J130" s="57">
        <v>0</v>
      </c>
      <c r="K130" s="57">
        <v>0</v>
      </c>
      <c r="L130" s="45" t="str">
        <f>IFERROR(IF(VLOOKUP($A130,Parts!$A$2:$M$191,8,FALSE())=0,"",VLOOKUP($A130,Parts!$A$2:$M$191,8,FALSE())),"")</f>
        <v>SCT013Head Rev 0.1; Aktuell 29.09.2026: SCT013Head Rev 0.1</v>
      </c>
      <c r="M130" s="45" t="str">
        <f>IFERROR(IF(VLOOKUP($A130,Parts!$A$2:$M$191,12,FALSE())=0,"",VLOOKUP($A130,Parts!$A$2:$M$191,12,FALSE())),"")</f>
        <v>Entwurf. REVIEW.md vom 29.09.2026: VBIAS-Verbindung und ADC1-Schaltplan/Layout-Abgleich vor Fertigung offen. Direkt angelötetes Pigtail vom Nutzer bestätigt.</v>
      </c>
      <c r="N130" s="58"/>
      <c r="O130" s="59" t="s">
        <v>85</v>
      </c>
      <c r="S130" t="str">
        <f>IF(O130="drucken",COUNTIF($O$5:O130,"drucken"),"")</f>
        <v/>
      </c>
    </row>
    <row r="131" spans="1:19" ht="39.5" customHeight="1" x14ac:dyDescent="0.2">
      <c r="A131" t="s">
        <v>1039</v>
      </c>
      <c r="B131" t="str">
        <f>IFERROR(IF(VLOOKUP($A131,Parts!$A$2:$M$191,2,FALSE())=0,"",VLOOKUP($A131,Parts!$A$2:$M$191,2,FALSE())),"")</f>
        <v>Kabelsatz</v>
      </c>
      <c r="C131" s="45" t="str">
        <f>IFERROR(IF(VLOOKUP($A131,Parts!$A$2:$M$191,3,FALSE())=0,"",VLOOKUP($A131,Parts!$A$2:$M$191,3,FALSE())),"")</f>
        <v>SCT013Head ADC-Pigtail, direkt angelötet</v>
      </c>
      <c r="D131" s="45" t="str">
        <f>IFERROR(IF(VLOOKUP($A131,Parts!$A$2:$M$191,4,FALSE())=0,"",VLOOKUP($A131,Parts!$A$2:$M$191,4,FALSE())),"")</f>
        <v>JST-PH 4-polig zum Mainboard; Länge offen</v>
      </c>
      <c r="E131" s="45" t="str">
        <f>IFERROR(IF(VLOOKUP($A131,Parts!$A$2:$M$191,5,FALSE())=0,"",VLOOKUP($A131,Parts!$A$2:$M$191,5,FALSE())),"")</f>
        <v>Assembly: direkt an ADC1 gelötet</v>
      </c>
      <c r="F131" t="str">
        <f>IFERROR(IF(VLOOKUP($A131,Parts!$A$2:$M$191,6,FALSE())=0,"",VLOOKUP($A131,Parts!$A$2:$M$191,6,FALSE())),"")</f>
        <v/>
      </c>
      <c r="G131" t="str">
        <f>IFERROR(IF(VLOOKUP($A131,Parts!$A$2:$M$191,7,FALSE())=0,"",VLOOKUP($A131,Parts!$A$2:$M$191,7,FALSE())),"")</f>
        <v/>
      </c>
      <c r="H131" s="113" t="s">
        <v>225</v>
      </c>
      <c r="I131" t="str">
        <f>IFERROR(IF(_xlfn.XLOOKUP($A131&amp;"|Ja",Part_Suppliers!$L$2:$L$300,Part_Suppliers!$C$2:$C$300,"",0)=0,"",_xlfn.XLOOKUP($A131&amp;"|Ja",Part_Suppliers!$L$2:$L$300,Part_Suppliers!$C$2:$C$300,"",0)),"")</f>
        <v/>
      </c>
      <c r="J131" s="57">
        <v>8</v>
      </c>
      <c r="K131" s="57">
        <v>0</v>
      </c>
      <c r="L131" s="45" t="str">
        <f>IFERROR(IF(VLOOKUP($A131,Parts!$A$2:$M$191,8,FALSE())=0,"",VLOOKUP($A131,Parts!$A$2:$M$191,8,FALSE())),"")</f>
        <v>SCT013Head Rev 0.1; Aktuell 29.09.2026: SCT013Head Rev 0.1</v>
      </c>
      <c r="M131" s="45" t="str">
        <f>IFERROR(IF(VLOOKUP($A131,Parts!$A$2:$M$191,12,FALSE())=0,"",VLOOKUP($A131,Parts!$A$2:$M$191,12,FALSE())),"")</f>
        <v>Nutzerentscheidung 29.09.2026: keine Stift-/Buchsenleiste. Pin 1 GND, Pin 2 unbenutzt, Pin 3 ADC, Pin 4 3V3. Kabellänge und konkreten Kabelartikel ergänzen. Keine pauschale Umbuchung aus ENP-00001 (Set).</v>
      </c>
      <c r="N131" s="58"/>
      <c r="O131" s="114" t="s">
        <v>181</v>
      </c>
      <c r="S131">
        <f>IF(O131="drucken",COUNTIF($O$5:O131,"drucken"),"")</f>
        <v>4</v>
      </c>
    </row>
    <row r="132" spans="1:19" x14ac:dyDescent="0.15">
      <c r="S132" t="str">
        <f>IF(O132="drucken",COUNTIF($O$5:O132,"drucken"),"")</f>
        <v/>
      </c>
    </row>
    <row r="133" spans="1:19" x14ac:dyDescent="0.15">
      <c r="S133" t="str">
        <f>IF(O133="drucken",COUNTIF($O$5:O133,"drucken"),"")</f>
        <v/>
      </c>
    </row>
    <row r="134" spans="1:19" x14ac:dyDescent="0.15">
      <c r="S134" t="str">
        <f>IF(O134="drucken",COUNTIF($O$5:O134,"drucken"),"")</f>
        <v/>
      </c>
    </row>
    <row r="135" spans="1:19" x14ac:dyDescent="0.15">
      <c r="S135" t="str">
        <f>IF(O135="drucken",COUNTIF($O$5:O135,"drucken"),"")</f>
        <v/>
      </c>
    </row>
    <row r="136" spans="1:19" x14ac:dyDescent="0.15">
      <c r="S136" t="str">
        <f>IF(O136="drucken",COUNTIF($O$5:O136,"drucken"),"")</f>
        <v/>
      </c>
    </row>
    <row r="137" spans="1:19" x14ac:dyDescent="0.15">
      <c r="S137" t="str">
        <f>IF(O137="drucken",COUNTIF($O$5:O137,"drucken"),"")</f>
        <v/>
      </c>
    </row>
    <row r="138" spans="1:19" x14ac:dyDescent="0.15">
      <c r="S138" t="str">
        <f>IF(O138="drucken",COUNTIF($O$5:O138,"drucken"),"")</f>
        <v/>
      </c>
    </row>
    <row r="139" spans="1:19" x14ac:dyDescent="0.15">
      <c r="S139" t="str">
        <f>IF(O139="drucken",COUNTIF($O$5:O139,"drucken"),"")</f>
        <v/>
      </c>
    </row>
    <row r="140" spans="1:19" x14ac:dyDescent="0.15">
      <c r="S140" t="str">
        <f>IF(O140="drucken",COUNTIF($O$5:O140,"drucken"),"")</f>
        <v/>
      </c>
    </row>
    <row r="141" spans="1:19" x14ac:dyDescent="0.15">
      <c r="S141" t="str">
        <f>IF(O141="drucken",COUNTIF($O$5:O141,"drucken"),"")</f>
        <v/>
      </c>
    </row>
    <row r="142" spans="1:19" x14ac:dyDescent="0.15">
      <c r="S142" t="str">
        <f>IF(O142="drucken",COUNTIF($O$5:O142,"drucken"),"")</f>
        <v/>
      </c>
    </row>
    <row r="143" spans="1:19" x14ac:dyDescent="0.15">
      <c r="S143" t="str">
        <f>IF(O143="drucken",COUNTIF($O$5:O143,"drucken"),"")</f>
        <v/>
      </c>
    </row>
    <row r="144" spans="1:19" x14ac:dyDescent="0.15">
      <c r="S144" t="str">
        <f>IF(O144="drucken",COUNTIF($O$5:O144,"drucken"),"")</f>
        <v/>
      </c>
    </row>
    <row r="145" spans="19:19" x14ac:dyDescent="0.15">
      <c r="S145" t="str">
        <f>IF(O145="drucken",COUNTIF($O$5:O145,"drucken"),"")</f>
        <v/>
      </c>
    </row>
    <row r="146" spans="19:19" x14ac:dyDescent="0.15">
      <c r="S146" t="str">
        <f>IF(O146="drucken",COUNTIF($O$5:O146,"drucken"),"")</f>
        <v/>
      </c>
    </row>
    <row r="147" spans="19:19" x14ac:dyDescent="0.15">
      <c r="S147" t="str">
        <f>IF(O147="drucken",COUNTIF($O$5:O147,"drucken"),"")</f>
        <v/>
      </c>
    </row>
    <row r="148" spans="19:19" x14ac:dyDescent="0.15">
      <c r="S148" t="str">
        <f>IF(O148="drucken",COUNTIF($O$5:O148,"drucken"),"")</f>
        <v/>
      </c>
    </row>
    <row r="149" spans="19:19" x14ac:dyDescent="0.15">
      <c r="S149" t="str">
        <f>IF(O149="drucken",COUNTIF($O$5:O149,"drucken"),"")</f>
        <v/>
      </c>
    </row>
    <row r="150" spans="19:19" x14ac:dyDescent="0.15">
      <c r="S150" t="str">
        <f>IF(O150="drucken",COUNTIF($O$5:O150,"drucken"),"")</f>
        <v/>
      </c>
    </row>
    <row r="151" spans="19:19" x14ac:dyDescent="0.15">
      <c r="S151" t="str">
        <f>IF(O151="drucken",COUNTIF($O$5:O151,"drucken"),"")</f>
        <v/>
      </c>
    </row>
    <row r="152" spans="19:19" x14ac:dyDescent="0.15">
      <c r="S152" t="str">
        <f>IF(O152="drucken",COUNTIF($O$5:O152,"drucken"),"")</f>
        <v/>
      </c>
    </row>
    <row r="153" spans="19:19" x14ac:dyDescent="0.15">
      <c r="S153" t="str">
        <f>IF(O153="drucken",COUNTIF($O$5:O153,"drucken"),"")</f>
        <v/>
      </c>
    </row>
    <row r="154" spans="19:19" x14ac:dyDescent="0.15">
      <c r="S154" t="str">
        <f>IF(O154="drucken",COUNTIF($O$5:O154,"drucken"),"")</f>
        <v/>
      </c>
    </row>
    <row r="155" spans="19:19" x14ac:dyDescent="0.15">
      <c r="S155" t="str">
        <f>IF(O155="drucken",COUNTIF($O$5:O155,"drucken"),"")</f>
        <v/>
      </c>
    </row>
    <row r="156" spans="19:19" x14ac:dyDescent="0.15">
      <c r="S156" t="str">
        <f>IF(O156="drucken",COUNTIF($O$5:O156,"drucken"),"")</f>
        <v/>
      </c>
    </row>
    <row r="157" spans="19:19" x14ac:dyDescent="0.15">
      <c r="S157" t="str">
        <f>IF(O157="drucken",COUNTIF($O$5:O157,"drucken"),"")</f>
        <v/>
      </c>
    </row>
    <row r="158" spans="19:19" x14ac:dyDescent="0.15">
      <c r="S158" t="str">
        <f>IF(O158="drucken",COUNTIF($O$5:O158,"drucken"),"")</f>
        <v/>
      </c>
    </row>
    <row r="159" spans="19:19" x14ac:dyDescent="0.15">
      <c r="S159" t="str">
        <f>IF(O159="drucken",COUNTIF($O$5:O159,"drucken"),"")</f>
        <v/>
      </c>
    </row>
    <row r="160" spans="19:19" x14ac:dyDescent="0.15">
      <c r="S160" t="str">
        <f>IF(O160="drucken",COUNTIF($O$5:O160,"drucken"),"")</f>
        <v/>
      </c>
    </row>
    <row r="161" spans="19:19" x14ac:dyDescent="0.15">
      <c r="S161" t="str">
        <f>IF(O161="drucken",COUNTIF($O$5:O161,"drucken"),"")</f>
        <v/>
      </c>
    </row>
    <row r="162" spans="19:19" x14ac:dyDescent="0.15">
      <c r="S162" t="str">
        <f>IF(O162="drucken",COUNTIF($O$5:O162,"drucken"),"")</f>
        <v/>
      </c>
    </row>
    <row r="163" spans="19:19" x14ac:dyDescent="0.15">
      <c r="S163" t="str">
        <f>IF(O163="drucken",COUNTIF($O$5:O163,"drucken"),"")</f>
        <v/>
      </c>
    </row>
    <row r="164" spans="19:19" x14ac:dyDescent="0.15">
      <c r="S164" t="str">
        <f>IF(O164="drucken",COUNTIF($O$5:O164,"drucken"),"")</f>
        <v/>
      </c>
    </row>
    <row r="165" spans="19:19" x14ac:dyDescent="0.15">
      <c r="S165" t="str">
        <f>IF(O165="drucken",COUNTIF($O$5:O165,"drucken"),"")</f>
        <v/>
      </c>
    </row>
    <row r="166" spans="19:19" x14ac:dyDescent="0.15">
      <c r="S166" t="str">
        <f>IF(O166="drucken",COUNTIF($O$5:O166,"drucken"),"")</f>
        <v/>
      </c>
    </row>
    <row r="167" spans="19:19" x14ac:dyDescent="0.15">
      <c r="S167" t="str">
        <f>IF(O167="drucken",COUNTIF($O$5:O167,"drucken"),"")</f>
        <v/>
      </c>
    </row>
    <row r="168" spans="19:19" x14ac:dyDescent="0.15">
      <c r="S168" t="str">
        <f>IF(O168="drucken",COUNTIF($O$5:O168,"drucken"),"")</f>
        <v/>
      </c>
    </row>
    <row r="169" spans="19:19" x14ac:dyDescent="0.15">
      <c r="S169" t="str">
        <f>IF(O169="drucken",COUNTIF($O$5:O169,"drucken"),"")</f>
        <v/>
      </c>
    </row>
    <row r="170" spans="19:19" x14ac:dyDescent="0.15">
      <c r="S170" t="str">
        <f>IF(O170="drucken",COUNTIF($O$5:O170,"drucken"),"")</f>
        <v/>
      </c>
    </row>
    <row r="171" spans="19:19" x14ac:dyDescent="0.15">
      <c r="S171" t="str">
        <f>IF(O171="drucken",COUNTIF($O$5:O171,"drucken"),"")</f>
        <v/>
      </c>
    </row>
    <row r="172" spans="19:19" x14ac:dyDescent="0.15">
      <c r="S172" t="str">
        <f>IF(O172="drucken",COUNTIF($O$5:O172,"drucken"),"")</f>
        <v/>
      </c>
    </row>
    <row r="173" spans="19:19" x14ac:dyDescent="0.15">
      <c r="S173" t="str">
        <f>IF(O173="drucken",COUNTIF($O$5:O173,"drucken"),"")</f>
        <v/>
      </c>
    </row>
    <row r="174" spans="19:19" x14ac:dyDescent="0.15">
      <c r="S174" t="str">
        <f>IF(O174="drucken",COUNTIF($O$5:O174,"drucken"),"")</f>
        <v/>
      </c>
    </row>
    <row r="175" spans="19:19" x14ac:dyDescent="0.15">
      <c r="S175" t="str">
        <f>IF(O175="drucken",COUNTIF($O$5:O175,"drucken"),"")</f>
        <v/>
      </c>
    </row>
    <row r="176" spans="19:19" x14ac:dyDescent="0.15">
      <c r="S176" t="str">
        <f>IF(O176="drucken",COUNTIF($O$5:O176,"drucken"),"")</f>
        <v/>
      </c>
    </row>
    <row r="177" spans="19:19" x14ac:dyDescent="0.15">
      <c r="S177" t="str">
        <f>IF(O177="drucken",COUNTIF($O$5:O177,"drucken"),"")</f>
        <v/>
      </c>
    </row>
    <row r="178" spans="19:19" x14ac:dyDescent="0.15">
      <c r="S178" t="str">
        <f>IF(O178="drucken",COUNTIF($O$5:O178,"drucken"),"")</f>
        <v/>
      </c>
    </row>
    <row r="179" spans="19:19" x14ac:dyDescent="0.15">
      <c r="S179" t="str">
        <f>IF(O179="drucken",COUNTIF($O$5:O179,"drucken"),"")</f>
        <v/>
      </c>
    </row>
    <row r="180" spans="19:19" x14ac:dyDescent="0.15">
      <c r="S180" t="str">
        <f>IF(O180="drucken",COUNTIF($O$5:O180,"drucken"),"")</f>
        <v/>
      </c>
    </row>
    <row r="181" spans="19:19" x14ac:dyDescent="0.15">
      <c r="S181" t="str">
        <f>IF(O181="drucken",COUNTIF($O$5:O181,"drucken"),"")</f>
        <v/>
      </c>
    </row>
    <row r="182" spans="19:19" x14ac:dyDescent="0.15">
      <c r="S182" t="str">
        <f>IF(O182="drucken",COUNTIF($O$5:O182,"drucken"),"")</f>
        <v/>
      </c>
    </row>
    <row r="183" spans="19:19" x14ac:dyDescent="0.15">
      <c r="S183" t="str">
        <f>IF(O183="drucken",COUNTIF($O$5:O183,"drucken"),"")</f>
        <v/>
      </c>
    </row>
    <row r="184" spans="19:19" x14ac:dyDescent="0.15">
      <c r="S184" t="str">
        <f>IF(O184="drucken",COUNTIF($O$5:O184,"drucken"),"")</f>
        <v/>
      </c>
    </row>
    <row r="185" spans="19:19" x14ac:dyDescent="0.15">
      <c r="S185" t="str">
        <f>IF(O185="drucken",COUNTIF($O$5:O185,"drucken"),"")</f>
        <v/>
      </c>
    </row>
    <row r="186" spans="19:19" x14ac:dyDescent="0.15">
      <c r="S186" t="str">
        <f>IF(O186="drucken",COUNTIF($O$5:O186,"drucken"),"")</f>
        <v/>
      </c>
    </row>
    <row r="187" spans="19:19" x14ac:dyDescent="0.15">
      <c r="S187" t="str">
        <f>IF(O187="drucken",COUNTIF($O$5:O187,"drucken"),"")</f>
        <v/>
      </c>
    </row>
    <row r="188" spans="19:19" x14ac:dyDescent="0.15">
      <c r="S188" t="str">
        <f>IF(O188="drucken",COUNTIF($O$5:O188,"drucken"),"")</f>
        <v/>
      </c>
    </row>
    <row r="189" spans="19:19" x14ac:dyDescent="0.15">
      <c r="S189" t="str">
        <f>IF(O189="drucken",COUNTIF($O$5:O189,"drucken"),"")</f>
        <v/>
      </c>
    </row>
    <row r="190" spans="19:19" x14ac:dyDescent="0.15">
      <c r="S190" t="str">
        <f>IF(O190="drucken",COUNTIF($O$5:O190,"drucken"),"")</f>
        <v/>
      </c>
    </row>
    <row r="191" spans="19:19" x14ac:dyDescent="0.15">
      <c r="S191" t="str">
        <f>IF(O191="drucken",COUNTIF($O$5:O191,"drucken"),"")</f>
        <v/>
      </c>
    </row>
    <row r="192" spans="19:19" x14ac:dyDescent="0.15">
      <c r="S192" t="str">
        <f>IF(O192="drucken",COUNTIF($O$5:O192,"drucken"),"")</f>
        <v/>
      </c>
    </row>
    <row r="193" spans="19:19" x14ac:dyDescent="0.15">
      <c r="S193" t="str">
        <f>IF(O193="drucken",COUNTIF($O$5:O193,"drucken"),"")</f>
        <v/>
      </c>
    </row>
    <row r="194" spans="19:19" x14ac:dyDescent="0.15">
      <c r="S194" t="str">
        <f>IF(O194="drucken",COUNTIF($O$5:O194,"drucken"),"")</f>
        <v/>
      </c>
    </row>
    <row r="195" spans="19:19" x14ac:dyDescent="0.15">
      <c r="S195" t="str">
        <f>IF(O195="drucken",COUNTIF($O$5:O195,"drucken"),"")</f>
        <v/>
      </c>
    </row>
    <row r="196" spans="19:19" x14ac:dyDescent="0.15">
      <c r="S196" t="str">
        <f>IF(O196="drucken",COUNTIF($O$5:O196,"drucken"),"")</f>
        <v/>
      </c>
    </row>
    <row r="197" spans="19:19" x14ac:dyDescent="0.15">
      <c r="S197" t="str">
        <f>IF(O197="drucken",COUNTIF($O$5:O197,"drucken"),"")</f>
        <v/>
      </c>
    </row>
    <row r="198" spans="19:19" x14ac:dyDescent="0.15">
      <c r="S198" t="str">
        <f>IF(O198="drucken",COUNTIF($O$5:O198,"drucken"),"")</f>
        <v/>
      </c>
    </row>
    <row r="199" spans="19:19" x14ac:dyDescent="0.15">
      <c r="S199" t="str">
        <f>IF(O199="drucken",COUNTIF($O$5:O199,"drucken"),"")</f>
        <v/>
      </c>
    </row>
    <row r="200" spans="19:19" x14ac:dyDescent="0.15">
      <c r="S200" t="str">
        <f>IF(O200="drucken",COUNTIF($O$5:O200,"drucken"),"")</f>
        <v/>
      </c>
    </row>
    <row r="201" spans="19:19" x14ac:dyDescent="0.15">
      <c r="S201" t="str">
        <f>IF(O201="drucken",COUNTIF($O$5:O201,"drucken"),"")</f>
        <v/>
      </c>
    </row>
    <row r="202" spans="19:19" x14ac:dyDescent="0.15">
      <c r="S202" t="str">
        <f>IF(O202="drucken",COUNTIF($O$5:O202,"drucken"),"")</f>
        <v/>
      </c>
    </row>
    <row r="203" spans="19:19" x14ac:dyDescent="0.15">
      <c r="S203" t="str">
        <f>IF(O203="drucken",COUNTIF($O$5:O203,"drucken"),"")</f>
        <v/>
      </c>
    </row>
    <row r="204" spans="19:19" x14ac:dyDescent="0.15">
      <c r="S204" t="str">
        <f>IF(O204="drucken",COUNTIF($O$5:O204,"drucken"),"")</f>
        <v/>
      </c>
    </row>
    <row r="205" spans="19:19" x14ac:dyDescent="0.15">
      <c r="S205" t="str">
        <f>IF(O205="drucken",COUNTIF($O$5:O205,"drucken"),"")</f>
        <v/>
      </c>
    </row>
    <row r="206" spans="19:19" x14ac:dyDescent="0.15">
      <c r="S206" t="str">
        <f>IF(O206="drucken",COUNTIF($O$5:O206,"drucken"),"")</f>
        <v/>
      </c>
    </row>
    <row r="207" spans="19:19" x14ac:dyDescent="0.15">
      <c r="S207" t="str">
        <f>IF(O207="drucken",COUNTIF($O$5:O207,"drucken"),"")</f>
        <v/>
      </c>
    </row>
    <row r="208" spans="19:19" x14ac:dyDescent="0.15">
      <c r="S208" t="str">
        <f>IF(O208="drucken",COUNTIF($O$5:O208,"drucken"),"")</f>
        <v/>
      </c>
    </row>
    <row r="209" spans="19:19" x14ac:dyDescent="0.15">
      <c r="S209" t="str">
        <f>IF(O209="drucken",COUNTIF($O$5:O209,"drucken"),"")</f>
        <v/>
      </c>
    </row>
    <row r="210" spans="19:19" x14ac:dyDescent="0.15">
      <c r="S210" t="str">
        <f>IF(O210="drucken",COUNTIF($O$5:O210,"drucken"),"")</f>
        <v/>
      </c>
    </row>
    <row r="211" spans="19:19" x14ac:dyDescent="0.15">
      <c r="S211" t="str">
        <f>IF(O211="drucken",COUNTIF($O$5:O211,"drucken"),"")</f>
        <v/>
      </c>
    </row>
    <row r="212" spans="19:19" x14ac:dyDescent="0.15">
      <c r="S212" t="str">
        <f>IF(O212="drucken",COUNTIF($O$5:O212,"drucken"),"")</f>
        <v/>
      </c>
    </row>
    <row r="213" spans="19:19" x14ac:dyDescent="0.15">
      <c r="S213" t="str">
        <f>IF(O213="drucken",COUNTIF($O$5:O213,"drucken"),"")</f>
        <v/>
      </c>
    </row>
    <row r="214" spans="19:19" x14ac:dyDescent="0.15">
      <c r="S214" t="str">
        <f>IF(O214="drucken",COUNTIF($O$5:O214,"drucken"),"")</f>
        <v/>
      </c>
    </row>
    <row r="215" spans="19:19" x14ac:dyDescent="0.15">
      <c r="S215" t="str">
        <f>IF(O215="drucken",COUNTIF($O$5:O215,"drucken"),"")</f>
        <v/>
      </c>
    </row>
    <row r="216" spans="19:19" x14ac:dyDescent="0.15">
      <c r="S216" t="str">
        <f>IF(O216="drucken",COUNTIF($O$5:O216,"drucken"),"")</f>
        <v/>
      </c>
    </row>
    <row r="217" spans="19:19" x14ac:dyDescent="0.15">
      <c r="S217" t="str">
        <f>IF(O217="drucken",COUNTIF($O$5:O217,"drucken"),"")</f>
        <v/>
      </c>
    </row>
    <row r="218" spans="19:19" x14ac:dyDescent="0.15">
      <c r="S218" t="str">
        <f>IF(O218="drucken",COUNTIF($O$5:O218,"drucken"),"")</f>
        <v/>
      </c>
    </row>
    <row r="219" spans="19:19" x14ac:dyDescent="0.15">
      <c r="S219" t="str">
        <f>IF(O219="drucken",COUNTIF($O$5:O219,"drucken"),"")</f>
        <v/>
      </c>
    </row>
    <row r="220" spans="19:19" x14ac:dyDescent="0.15">
      <c r="S220" t="str">
        <f>IF(O220="drucken",COUNTIF($O$5:O220,"drucken"),"")</f>
        <v/>
      </c>
    </row>
    <row r="221" spans="19:19" x14ac:dyDescent="0.15">
      <c r="S221" t="str">
        <f>IF(O221="drucken",COUNTIF($O$5:O221,"drucken"),"")</f>
        <v/>
      </c>
    </row>
    <row r="222" spans="19:19" x14ac:dyDescent="0.15">
      <c r="S222" t="str">
        <f>IF(O222="drucken",COUNTIF($O$5:O222,"drucken"),"")</f>
        <v/>
      </c>
    </row>
    <row r="223" spans="19:19" x14ac:dyDescent="0.15">
      <c r="S223" t="str">
        <f>IF(O223="drucken",COUNTIF($O$5:O223,"drucken"),"")</f>
        <v/>
      </c>
    </row>
    <row r="224" spans="19:19" x14ac:dyDescent="0.15">
      <c r="S224" t="str">
        <f>IF(O224="drucken",COUNTIF($O$5:O224,"drucken"),"")</f>
        <v/>
      </c>
    </row>
    <row r="225" spans="19:19" x14ac:dyDescent="0.15">
      <c r="S225" t="str">
        <f>IF(O225="drucken",COUNTIF($O$5:O225,"drucken"),"")</f>
        <v/>
      </c>
    </row>
    <row r="226" spans="19:19" x14ac:dyDescent="0.15">
      <c r="S226" t="str">
        <f>IF(O226="drucken",COUNTIF($O$5:O226,"drucken"),"")</f>
        <v/>
      </c>
    </row>
    <row r="227" spans="19:19" x14ac:dyDescent="0.15">
      <c r="S227" t="str">
        <f>IF(O227="drucken",COUNTIF($O$5:O227,"drucken"),"")</f>
        <v/>
      </c>
    </row>
    <row r="228" spans="19:19" x14ac:dyDescent="0.15">
      <c r="S228" t="str">
        <f>IF(O228="drucken",COUNTIF($O$5:O228,"drucken"),"")</f>
        <v/>
      </c>
    </row>
    <row r="229" spans="19:19" x14ac:dyDescent="0.15">
      <c r="S229" t="str">
        <f>IF(O229="drucken",COUNTIF($O$5:O229,"drucken"),"")</f>
        <v/>
      </c>
    </row>
    <row r="230" spans="19:19" x14ac:dyDescent="0.15">
      <c r="S230" t="str">
        <f>IF(O230="drucken",COUNTIF($O$5:O230,"drucken"),"")</f>
        <v/>
      </c>
    </row>
    <row r="231" spans="19:19" x14ac:dyDescent="0.15">
      <c r="S231" t="str">
        <f>IF(O231="drucken",COUNTIF($O$5:O231,"drucken"),"")</f>
        <v/>
      </c>
    </row>
    <row r="232" spans="19:19" x14ac:dyDescent="0.15">
      <c r="S232" t="str">
        <f>IF(O232="drucken",COUNTIF($O$5:O232,"drucken"),"")</f>
        <v/>
      </c>
    </row>
    <row r="233" spans="19:19" x14ac:dyDescent="0.15">
      <c r="S233" t="str">
        <f>IF(O233="drucken",COUNTIF($O$5:O233,"drucken"),"")</f>
        <v/>
      </c>
    </row>
    <row r="234" spans="19:19" x14ac:dyDescent="0.15">
      <c r="S234" t="str">
        <f>IF(O234="drucken",COUNTIF($O$5:O234,"drucken"),"")</f>
        <v/>
      </c>
    </row>
    <row r="235" spans="19:19" x14ac:dyDescent="0.15">
      <c r="S235" t="str">
        <f>IF(O235="drucken",COUNTIF($O$5:O235,"drucken"),"")</f>
        <v/>
      </c>
    </row>
    <row r="236" spans="19:19" x14ac:dyDescent="0.15">
      <c r="S236" t="str">
        <f>IF(O236="drucken",COUNTIF($O$5:O236,"drucken"),"")</f>
        <v/>
      </c>
    </row>
    <row r="237" spans="19:19" x14ac:dyDescent="0.15">
      <c r="S237" t="str">
        <f>IF(O237="drucken",COUNTIF($O$5:O237,"drucken"),"")</f>
        <v/>
      </c>
    </row>
    <row r="238" spans="19:19" x14ac:dyDescent="0.15">
      <c r="S238" t="str">
        <f>IF(O238="drucken",COUNTIF($O$5:O238,"drucken"),"")</f>
        <v/>
      </c>
    </row>
    <row r="239" spans="19:19" x14ac:dyDescent="0.15">
      <c r="S239" t="str">
        <f>IF(O239="drucken",COUNTIF($O$5:O239,"drucken"),"")</f>
        <v/>
      </c>
    </row>
    <row r="240" spans="19:19" x14ac:dyDescent="0.15">
      <c r="S240" t="str">
        <f>IF(O240="drucken",COUNTIF($O$5:O240,"drucken"),"")</f>
        <v/>
      </c>
    </row>
    <row r="241" spans="19:19" x14ac:dyDescent="0.15">
      <c r="S241" t="str">
        <f>IF(O241="drucken",COUNTIF($O$5:O241,"drucken"),"")</f>
        <v/>
      </c>
    </row>
    <row r="242" spans="19:19" x14ac:dyDescent="0.15">
      <c r="S242" t="str">
        <f>IF(O242="drucken",COUNTIF($O$5:O242,"drucken"),"")</f>
        <v/>
      </c>
    </row>
    <row r="243" spans="19:19" x14ac:dyDescent="0.15">
      <c r="S243" t="str">
        <f>IF(O243="drucken",COUNTIF($O$5:O243,"drucken"),"")</f>
        <v/>
      </c>
    </row>
    <row r="244" spans="19:19" x14ac:dyDescent="0.15">
      <c r="S244" t="str">
        <f>IF(O244="drucken",COUNTIF($O$5:O244,"drucken"),"")</f>
        <v/>
      </c>
    </row>
    <row r="245" spans="19:19" x14ac:dyDescent="0.15">
      <c r="S245" t="str">
        <f>IF(O245="drucken",COUNTIF($O$5:O245,"drucken"),"")</f>
        <v/>
      </c>
    </row>
    <row r="246" spans="19:19" x14ac:dyDescent="0.15">
      <c r="S246" t="str">
        <f>IF(O246="drucken",COUNTIF($O$5:O246,"drucken"),"")</f>
        <v/>
      </c>
    </row>
    <row r="247" spans="19:19" x14ac:dyDescent="0.15">
      <c r="S247" t="str">
        <f>IF(O247="drucken",COUNTIF($O$5:O247,"drucken"),"")</f>
        <v/>
      </c>
    </row>
    <row r="248" spans="19:19" x14ac:dyDescent="0.15">
      <c r="S248" t="str">
        <f>IF(O248="drucken",COUNTIF($O$5:O248,"drucken"),"")</f>
        <v/>
      </c>
    </row>
    <row r="249" spans="19:19" x14ac:dyDescent="0.15">
      <c r="S249" t="str">
        <f>IF(O249="drucken",COUNTIF($O$5:O249,"drucken"),"")</f>
        <v/>
      </c>
    </row>
    <row r="250" spans="19:19" x14ac:dyDescent="0.15">
      <c r="S250" t="str">
        <f>IF(O250="drucken",COUNTIF($O$5:O250,"drucken"),"")</f>
        <v/>
      </c>
    </row>
    <row r="251" spans="19:19" x14ac:dyDescent="0.15">
      <c r="S251" t="str">
        <f>IF(O251="drucken",COUNTIF($O$5:O251,"drucken"),"")</f>
        <v/>
      </c>
    </row>
    <row r="252" spans="19:19" x14ac:dyDescent="0.15">
      <c r="S252" t="str">
        <f>IF(O252="drucken",COUNTIF($O$5:O252,"drucken"),"")</f>
        <v/>
      </c>
    </row>
    <row r="253" spans="19:19" x14ac:dyDescent="0.15">
      <c r="S253" t="str">
        <f>IF(O253="drucken",COUNTIF($O$5:O253,"drucken"),"")</f>
        <v/>
      </c>
    </row>
    <row r="254" spans="19:19" x14ac:dyDescent="0.15">
      <c r="S254" t="str">
        <f>IF(O254="drucken",COUNTIF($O$5:O254,"drucken"),"")</f>
        <v/>
      </c>
    </row>
    <row r="255" spans="19:19" x14ac:dyDescent="0.15">
      <c r="S255" t="str">
        <f>IF(O255="drucken",COUNTIF($O$5:O255,"drucken"),"")</f>
        <v/>
      </c>
    </row>
    <row r="256" spans="19:19" x14ac:dyDescent="0.15">
      <c r="S256" t="str">
        <f>IF(O256="drucken",COUNTIF($O$5:O256,"drucken"),"")</f>
        <v/>
      </c>
    </row>
    <row r="257" spans="19:19" x14ac:dyDescent="0.15">
      <c r="S257" t="str">
        <f>IF(O257="drucken",COUNTIF($O$5:O257,"drucken"),"")</f>
        <v/>
      </c>
    </row>
    <row r="258" spans="19:19" x14ac:dyDescent="0.15">
      <c r="S258" t="str">
        <f>IF(O258="drucken",COUNTIF($O$5:O258,"drucken"),"")</f>
        <v/>
      </c>
    </row>
    <row r="259" spans="19:19" x14ac:dyDescent="0.15">
      <c r="S259" t="str">
        <f>IF(O259="drucken",COUNTIF($O$5:O259,"drucken"),"")</f>
        <v/>
      </c>
    </row>
    <row r="260" spans="19:19" x14ac:dyDescent="0.15">
      <c r="S260" t="str">
        <f>IF(O260="drucken",COUNTIF($O$5:O260,"drucken"),"")</f>
        <v/>
      </c>
    </row>
    <row r="261" spans="19:19" x14ac:dyDescent="0.15">
      <c r="S261" t="str">
        <f>IF(O261="drucken",COUNTIF($O$5:O261,"drucken"),"")</f>
        <v/>
      </c>
    </row>
    <row r="262" spans="19:19" x14ac:dyDescent="0.15">
      <c r="S262" t="str">
        <f>IF(O262="drucken",COUNTIF($O$5:O262,"drucken"),"")</f>
        <v/>
      </c>
    </row>
    <row r="263" spans="19:19" x14ac:dyDescent="0.15">
      <c r="S263" t="str">
        <f>IF(O263="drucken",COUNTIF($O$5:O263,"drucken"),"")</f>
        <v/>
      </c>
    </row>
    <row r="264" spans="19:19" x14ac:dyDescent="0.15">
      <c r="S264" t="str">
        <f>IF(O264="drucken",COUNTIF($O$5:O264,"drucken"),"")</f>
        <v/>
      </c>
    </row>
    <row r="265" spans="19:19" x14ac:dyDescent="0.15">
      <c r="S265" t="str">
        <f>IF(O265="drucken",COUNTIF($O$5:O265,"drucken"),"")</f>
        <v/>
      </c>
    </row>
    <row r="266" spans="19:19" x14ac:dyDescent="0.15">
      <c r="S266" t="str">
        <f>IF(O266="drucken",COUNTIF($O$5:O266,"drucken"),"")</f>
        <v/>
      </c>
    </row>
    <row r="267" spans="19:19" x14ac:dyDescent="0.15">
      <c r="S267" t="str">
        <f>IF(O267="drucken",COUNTIF($O$5:O267,"drucken"),"")</f>
        <v/>
      </c>
    </row>
    <row r="268" spans="19:19" x14ac:dyDescent="0.15">
      <c r="S268" t="str">
        <f>IF(O268="drucken",COUNTIF($O$5:O268,"drucken"),"")</f>
        <v/>
      </c>
    </row>
    <row r="269" spans="19:19" x14ac:dyDescent="0.15">
      <c r="S269" t="str">
        <f>IF(O269="drucken",COUNTIF($O$5:O269,"drucken"),"")</f>
        <v/>
      </c>
    </row>
    <row r="270" spans="19:19" x14ac:dyDescent="0.15">
      <c r="S270" t="str">
        <f>IF(O270="drucken",COUNTIF($O$5:O270,"drucken"),"")</f>
        <v/>
      </c>
    </row>
    <row r="271" spans="19:19" x14ac:dyDescent="0.15">
      <c r="S271" t="str">
        <f>IF(O271="drucken",COUNTIF($O$5:O271,"drucken"),"")</f>
        <v/>
      </c>
    </row>
    <row r="272" spans="19:19" x14ac:dyDescent="0.15">
      <c r="S272" t="str">
        <f>IF(O272="drucken",COUNTIF($O$5:O272,"drucken"),"")</f>
        <v/>
      </c>
    </row>
    <row r="273" spans="19:19" x14ac:dyDescent="0.15">
      <c r="S273" t="str">
        <f>IF(O273="drucken",COUNTIF($O$5:O273,"drucken"),"")</f>
        <v/>
      </c>
    </row>
    <row r="274" spans="19:19" x14ac:dyDescent="0.15">
      <c r="S274" t="str">
        <f>IF(O274="drucken",COUNTIF($O$5:O274,"drucken"),"")</f>
        <v/>
      </c>
    </row>
    <row r="275" spans="19:19" x14ac:dyDescent="0.15">
      <c r="S275" t="str">
        <f>IF(O275="drucken",COUNTIF($O$5:O275,"drucken"),"")</f>
        <v/>
      </c>
    </row>
    <row r="276" spans="19:19" x14ac:dyDescent="0.15">
      <c r="S276" t="str">
        <f>IF(O276="drucken",COUNTIF($O$5:O276,"drucken"),"")</f>
        <v/>
      </c>
    </row>
    <row r="277" spans="19:19" x14ac:dyDescent="0.15">
      <c r="S277" t="str">
        <f>IF(O277="drucken",COUNTIF($O$5:O277,"drucken"),"")</f>
        <v/>
      </c>
    </row>
    <row r="278" spans="19:19" x14ac:dyDescent="0.15">
      <c r="S278" t="str">
        <f>IF(O278="drucken",COUNTIF($O$5:O278,"drucken"),"")</f>
        <v/>
      </c>
    </row>
    <row r="279" spans="19:19" x14ac:dyDescent="0.15">
      <c r="S279" t="str">
        <f>IF(O279="drucken",COUNTIF($O$5:O279,"drucken"),"")</f>
        <v/>
      </c>
    </row>
    <row r="280" spans="19:19" x14ac:dyDescent="0.15">
      <c r="S280" t="str">
        <f>IF(O280="drucken",COUNTIF($O$5:O280,"drucken"),"")</f>
        <v/>
      </c>
    </row>
    <row r="281" spans="19:19" x14ac:dyDescent="0.15">
      <c r="S281" t="str">
        <f>IF(O281="drucken",COUNTIF($O$5:O281,"drucken"),"")</f>
        <v/>
      </c>
    </row>
    <row r="282" spans="19:19" x14ac:dyDescent="0.15">
      <c r="S282" t="str">
        <f>IF(O282="drucken",COUNTIF($O$5:O282,"drucken"),"")</f>
        <v/>
      </c>
    </row>
    <row r="283" spans="19:19" x14ac:dyDescent="0.15">
      <c r="S283" t="str">
        <f>IF(O283="drucken",COUNTIF($O$5:O283,"drucken"),"")</f>
        <v/>
      </c>
    </row>
    <row r="284" spans="19:19" x14ac:dyDescent="0.15">
      <c r="S284" t="str">
        <f>IF(O284="drucken",COUNTIF($O$5:O284,"drucken"),"")</f>
        <v/>
      </c>
    </row>
    <row r="285" spans="19:19" x14ac:dyDescent="0.15">
      <c r="S285" t="str">
        <f>IF(O285="drucken",COUNTIF($O$5:O285,"drucken"),"")</f>
        <v/>
      </c>
    </row>
    <row r="286" spans="19:19" x14ac:dyDescent="0.15">
      <c r="S286" t="str">
        <f>IF(O286="drucken",COUNTIF($O$5:O286,"drucken"),"")</f>
        <v/>
      </c>
    </row>
    <row r="287" spans="19:19" x14ac:dyDescent="0.15">
      <c r="S287" t="str">
        <f>IF(O287="drucken",COUNTIF($O$5:O287,"drucken"),"")</f>
        <v/>
      </c>
    </row>
    <row r="288" spans="19:19" x14ac:dyDescent="0.15">
      <c r="S288" t="str">
        <f>IF(O288="drucken",COUNTIF($O$5:O288,"drucken"),"")</f>
        <v/>
      </c>
    </row>
    <row r="289" spans="19:19" x14ac:dyDescent="0.15">
      <c r="S289" t="str">
        <f>IF(O289="drucken",COUNTIF($O$5:O289,"drucken"),"")</f>
        <v/>
      </c>
    </row>
    <row r="290" spans="19:19" x14ac:dyDescent="0.15">
      <c r="S290" t="str">
        <f>IF(O290="drucken",COUNTIF($O$5:O290,"drucken"),"")</f>
        <v/>
      </c>
    </row>
    <row r="291" spans="19:19" x14ac:dyDescent="0.15">
      <c r="S291" t="str">
        <f>IF(O291="drucken",COUNTIF($O$5:O291,"drucken"),"")</f>
        <v/>
      </c>
    </row>
    <row r="292" spans="19:19" x14ac:dyDescent="0.15">
      <c r="S292" t="str">
        <f>IF(O292="drucken",COUNTIF($O$5:O292,"drucken"),"")</f>
        <v/>
      </c>
    </row>
    <row r="293" spans="19:19" x14ac:dyDescent="0.15">
      <c r="S293" t="str">
        <f>IF(O293="drucken",COUNTIF($O$5:O293,"drucken"),"")</f>
        <v/>
      </c>
    </row>
    <row r="294" spans="19:19" x14ac:dyDescent="0.15">
      <c r="S294" t="str">
        <f>IF(O294="drucken",COUNTIF($O$5:O294,"drucken"),"")</f>
        <v/>
      </c>
    </row>
    <row r="295" spans="19:19" x14ac:dyDescent="0.15">
      <c r="S295" t="str">
        <f>IF(O295="drucken",COUNTIF($O$5:O295,"drucken"),"")</f>
        <v/>
      </c>
    </row>
    <row r="296" spans="19:19" x14ac:dyDescent="0.15">
      <c r="S296" t="str">
        <f>IF(O296="drucken",COUNTIF($O$5:O296,"drucken"),"")</f>
        <v/>
      </c>
    </row>
    <row r="297" spans="19:19" x14ac:dyDescent="0.15">
      <c r="S297" t="str">
        <f>IF(O297="drucken",COUNTIF($O$5:O297,"drucken"),"")</f>
        <v/>
      </c>
    </row>
    <row r="298" spans="19:19" x14ac:dyDescent="0.15">
      <c r="S298" t="str">
        <f>IF(O298="drucken",COUNTIF($O$5:O298,"drucken"),"")</f>
        <v/>
      </c>
    </row>
    <row r="299" spans="19:19" x14ac:dyDescent="0.15">
      <c r="S299" t="str">
        <f>IF(O299="drucken",COUNTIF($O$5:O299,"drucken"),"")</f>
        <v/>
      </c>
    </row>
    <row r="300" spans="19:19" x14ac:dyDescent="0.15">
      <c r="S300" t="str">
        <f>IF(O300="drucken",COUNTIF($O$5:O300,"drucken"),"")</f>
        <v/>
      </c>
    </row>
    <row r="301" spans="19:19" x14ac:dyDescent="0.15">
      <c r="S301" t="str">
        <f>IF(O301="drucken",COUNTIF($O$5:O301,"drucken"),"")</f>
        <v/>
      </c>
    </row>
    <row r="302" spans="19:19" x14ac:dyDescent="0.15">
      <c r="S302" t="str">
        <f>IF(O302="drucken",COUNTIF($O$5:O302,"drucken"),"")</f>
        <v/>
      </c>
    </row>
    <row r="303" spans="19:19" x14ac:dyDescent="0.15">
      <c r="S303" t="str">
        <f>IF(O303="drucken",COUNTIF($O$5:O303,"drucken"),"")</f>
        <v/>
      </c>
    </row>
    <row r="304" spans="19:19" x14ac:dyDescent="0.15">
      <c r="S304" t="str">
        <f>IF(O304="drucken",COUNTIF($O$5:O304,"drucken"),"")</f>
        <v/>
      </c>
    </row>
    <row r="305" spans="19:19" x14ac:dyDescent="0.15">
      <c r="S305" t="str">
        <f>IF(O305="drucken",COUNTIF($O$5:O305,"drucken"),"")</f>
        <v/>
      </c>
    </row>
    <row r="306" spans="19:19" x14ac:dyDescent="0.15">
      <c r="S306" t="str">
        <f>IF(O306="drucken",COUNTIF($O$5:O306,"drucken"),"")</f>
        <v/>
      </c>
    </row>
    <row r="307" spans="19:19" x14ac:dyDescent="0.15">
      <c r="S307" t="str">
        <f>IF(O307="drucken",COUNTIF($O$5:O307,"drucken"),"")</f>
        <v/>
      </c>
    </row>
    <row r="308" spans="19:19" x14ac:dyDescent="0.15">
      <c r="S308" t="str">
        <f>IF(O308="drucken",COUNTIF($O$5:O308,"drucken"),"")</f>
        <v/>
      </c>
    </row>
    <row r="309" spans="19:19" x14ac:dyDescent="0.15">
      <c r="S309" t="str">
        <f>IF(O309="drucken",COUNTIF($O$5:O309,"drucken"),"")</f>
        <v/>
      </c>
    </row>
    <row r="310" spans="19:19" x14ac:dyDescent="0.15">
      <c r="S310" t="str">
        <f>IF(O310="drucken",COUNTIF($O$5:O310,"drucken"),"")</f>
        <v/>
      </c>
    </row>
    <row r="311" spans="19:19" x14ac:dyDescent="0.15">
      <c r="S311" t="str">
        <f>IF(O311="drucken",COUNTIF($O$5:O311,"drucken"),"")</f>
        <v/>
      </c>
    </row>
    <row r="312" spans="19:19" x14ac:dyDescent="0.15">
      <c r="S312" t="str">
        <f>IF(O312="drucken",COUNTIF($O$5:O312,"drucken"),"")</f>
        <v/>
      </c>
    </row>
    <row r="313" spans="19:19" x14ac:dyDescent="0.15">
      <c r="S313" t="str">
        <f>IF(O313="drucken",COUNTIF($O$5:O313,"drucken"),"")</f>
        <v/>
      </c>
    </row>
    <row r="314" spans="19:19" x14ac:dyDescent="0.15">
      <c r="S314" t="str">
        <f>IF(O314="drucken",COUNTIF($O$5:O314,"drucken"),"")</f>
        <v/>
      </c>
    </row>
    <row r="315" spans="19:19" x14ac:dyDescent="0.15">
      <c r="S315" t="str">
        <f>IF(O315="drucken",COUNTIF($O$5:O315,"drucken"),"")</f>
        <v/>
      </c>
    </row>
    <row r="316" spans="19:19" x14ac:dyDescent="0.15">
      <c r="S316" t="str">
        <f>IF(O316="drucken",COUNTIF($O$5:O316,"drucken"),"")</f>
        <v/>
      </c>
    </row>
    <row r="317" spans="19:19" x14ac:dyDescent="0.15">
      <c r="S317" t="str">
        <f>IF(O317="drucken",COUNTIF($O$5:O317,"drucken"),"")</f>
        <v/>
      </c>
    </row>
    <row r="318" spans="19:19" x14ac:dyDescent="0.15">
      <c r="S318" t="str">
        <f>IF(O318="drucken",COUNTIF($O$5:O318,"drucken"),"")</f>
        <v/>
      </c>
    </row>
    <row r="319" spans="19:19" x14ac:dyDescent="0.15">
      <c r="S319" t="str">
        <f>IF(O319="drucken",COUNTIF($O$5:O319,"drucken"),"")</f>
        <v/>
      </c>
    </row>
    <row r="320" spans="19:19" x14ac:dyDescent="0.15">
      <c r="S320" t="str">
        <f>IF(O320="drucken",COUNTIF($O$5:O320,"drucken"),"")</f>
        <v/>
      </c>
    </row>
    <row r="321" spans="19:19" x14ac:dyDescent="0.15">
      <c r="S321" t="str">
        <f>IF(O321="drucken",COUNTIF($O$5:O321,"drucken"),"")</f>
        <v/>
      </c>
    </row>
    <row r="322" spans="19:19" x14ac:dyDescent="0.15">
      <c r="S322" t="str">
        <f>IF(O322="drucken",COUNTIF($O$5:O322,"drucken"),"")</f>
        <v/>
      </c>
    </row>
    <row r="323" spans="19:19" x14ac:dyDescent="0.15">
      <c r="S323" t="str">
        <f>IF(O323="drucken",COUNTIF($O$5:O323,"drucken"),"")</f>
        <v/>
      </c>
    </row>
    <row r="324" spans="19:19" x14ac:dyDescent="0.15">
      <c r="S324" t="str">
        <f>IF(O324="drucken",COUNTIF($O$5:O324,"drucken"),"")</f>
        <v/>
      </c>
    </row>
    <row r="325" spans="19:19" x14ac:dyDescent="0.15">
      <c r="S325" t="str">
        <f>IF(O325="drucken",COUNTIF($O$5:O325,"drucken"),"")</f>
        <v/>
      </c>
    </row>
    <row r="326" spans="19:19" x14ac:dyDescent="0.15">
      <c r="S326" t="str">
        <f>IF(O326="drucken",COUNTIF($O$5:O326,"drucken"),"")</f>
        <v/>
      </c>
    </row>
    <row r="327" spans="19:19" x14ac:dyDescent="0.15">
      <c r="S327" t="str">
        <f>IF(O327="drucken",COUNTIF($O$5:O327,"drucken"),"")</f>
        <v/>
      </c>
    </row>
    <row r="328" spans="19:19" x14ac:dyDescent="0.15">
      <c r="S328" t="str">
        <f>IF(O328="drucken",COUNTIF($O$5:O328,"drucken"),"")</f>
        <v/>
      </c>
    </row>
    <row r="329" spans="19:19" x14ac:dyDescent="0.15">
      <c r="S329" t="str">
        <f>IF(O329="drucken",COUNTIF($O$5:O329,"drucken"),"")</f>
        <v/>
      </c>
    </row>
    <row r="330" spans="19:19" x14ac:dyDescent="0.15">
      <c r="S330" t="str">
        <f>IF(O330="drucken",COUNTIF($O$5:O330,"drucken"),"")</f>
        <v/>
      </c>
    </row>
    <row r="331" spans="19:19" x14ac:dyDescent="0.15">
      <c r="S331" t="str">
        <f>IF(O331="drucken",COUNTIF($O$5:O331,"drucken"),"")</f>
        <v/>
      </c>
    </row>
    <row r="332" spans="19:19" x14ac:dyDescent="0.15">
      <c r="S332" t="str">
        <f>IF(O332="drucken",COUNTIF($O$5:O332,"drucken"),"")</f>
        <v/>
      </c>
    </row>
    <row r="333" spans="19:19" x14ac:dyDescent="0.15">
      <c r="S333" t="str">
        <f>IF(O333="drucken",COUNTIF($O$5:O333,"drucken"),"")</f>
        <v/>
      </c>
    </row>
    <row r="334" spans="19:19" x14ac:dyDescent="0.15">
      <c r="S334" t="str">
        <f>IF(O334="drucken",COUNTIF($O$5:O334,"drucken"),"")</f>
        <v/>
      </c>
    </row>
    <row r="335" spans="19:19" x14ac:dyDescent="0.15">
      <c r="S335" t="str">
        <f>IF(O335="drucken",COUNTIF($O$5:O335,"drucken"),"")</f>
        <v/>
      </c>
    </row>
    <row r="336" spans="19:19" x14ac:dyDescent="0.15">
      <c r="S336" t="str">
        <f>IF(O336="drucken",COUNTIF($O$5:O336,"drucken"),"")</f>
        <v/>
      </c>
    </row>
    <row r="337" spans="19:19" x14ac:dyDescent="0.15">
      <c r="S337" t="str">
        <f>IF(O337="drucken",COUNTIF($O$5:O337,"drucken"),"")</f>
        <v/>
      </c>
    </row>
    <row r="338" spans="19:19" x14ac:dyDescent="0.15">
      <c r="S338" t="str">
        <f>IF(O338="drucken",COUNTIF($O$5:O338,"drucken"),"")</f>
        <v/>
      </c>
    </row>
    <row r="339" spans="19:19" x14ac:dyDescent="0.15">
      <c r="S339" t="str">
        <f>IF(O339="drucken",COUNTIF($O$5:O339,"drucken"),"")</f>
        <v/>
      </c>
    </row>
    <row r="340" spans="19:19" x14ac:dyDescent="0.15">
      <c r="S340" t="str">
        <f>IF(O340="drucken",COUNTIF($O$5:O340,"drucken"),"")</f>
        <v/>
      </c>
    </row>
    <row r="341" spans="19:19" x14ac:dyDescent="0.15">
      <c r="S341" t="str">
        <f>IF(O341="drucken",COUNTIF($O$5:O341,"drucken"),"")</f>
        <v/>
      </c>
    </row>
    <row r="342" spans="19:19" x14ac:dyDescent="0.15">
      <c r="S342" t="str">
        <f>IF(O342="drucken",COUNTIF($O$5:O342,"drucken"),"")</f>
        <v/>
      </c>
    </row>
    <row r="343" spans="19:19" x14ac:dyDescent="0.15">
      <c r="S343" t="str">
        <f>IF(O343="drucken",COUNTIF($O$5:O343,"drucken"),"")</f>
        <v/>
      </c>
    </row>
    <row r="344" spans="19:19" x14ac:dyDescent="0.15">
      <c r="S344" t="str">
        <f>IF(O344="drucken",COUNTIF($O$5:O344,"drucken"),"")</f>
        <v/>
      </c>
    </row>
    <row r="345" spans="19:19" x14ac:dyDescent="0.15">
      <c r="S345" t="str">
        <f>IF(O345="drucken",COUNTIF($O$5:O345,"drucken"),"")</f>
        <v/>
      </c>
    </row>
    <row r="346" spans="19:19" x14ac:dyDescent="0.15">
      <c r="S346" t="str">
        <f>IF(O346="drucken",COUNTIF($O$5:O346,"drucken"),"")</f>
        <v/>
      </c>
    </row>
    <row r="347" spans="19:19" x14ac:dyDescent="0.15">
      <c r="S347" t="str">
        <f>IF(O347="drucken",COUNTIF($O$5:O347,"drucken"),"")</f>
        <v/>
      </c>
    </row>
    <row r="348" spans="19:19" x14ac:dyDescent="0.15">
      <c r="S348" t="str">
        <f>IF(O348="drucken",COUNTIF($O$5:O348,"drucken"),"")</f>
        <v/>
      </c>
    </row>
    <row r="349" spans="19:19" x14ac:dyDescent="0.15">
      <c r="S349" t="str">
        <f>IF(O349="drucken",COUNTIF($O$5:O349,"drucken"),"")</f>
        <v/>
      </c>
    </row>
    <row r="350" spans="19:19" x14ac:dyDescent="0.15">
      <c r="S350" t="str">
        <f>IF(O350="drucken",COUNTIF($O$5:O350,"drucken"),"")</f>
        <v/>
      </c>
    </row>
    <row r="351" spans="19:19" x14ac:dyDescent="0.15">
      <c r="S351" t="str">
        <f>IF(O351="drucken",COUNTIF($O$5:O351,"drucken"),"")</f>
        <v/>
      </c>
    </row>
    <row r="352" spans="19:19" x14ac:dyDescent="0.15">
      <c r="S352" t="str">
        <f>IF(O352="drucken",COUNTIF($O$5:O352,"drucken"),"")</f>
        <v/>
      </c>
    </row>
    <row r="353" spans="19:19" x14ac:dyDescent="0.15">
      <c r="S353" t="str">
        <f>IF(O353="drucken",COUNTIF($O$5:O353,"drucken"),"")</f>
        <v/>
      </c>
    </row>
    <row r="354" spans="19:19" x14ac:dyDescent="0.15">
      <c r="S354" t="str">
        <f>IF(O354="drucken",COUNTIF($O$5:O354,"drucken"),"")</f>
        <v/>
      </c>
    </row>
    <row r="355" spans="19:19" x14ac:dyDescent="0.15">
      <c r="S355" t="str">
        <f>IF(O355="drucken",COUNTIF($O$5:O355,"drucken"),"")</f>
        <v/>
      </c>
    </row>
    <row r="356" spans="19:19" x14ac:dyDescent="0.15">
      <c r="S356" t="str">
        <f>IF(O356="drucken",COUNTIF($O$5:O356,"drucken"),"")</f>
        <v/>
      </c>
    </row>
    <row r="357" spans="19:19" x14ac:dyDescent="0.15">
      <c r="S357" t="str">
        <f>IF(O357="drucken",COUNTIF($O$5:O357,"drucken"),"")</f>
        <v/>
      </c>
    </row>
    <row r="358" spans="19:19" x14ac:dyDescent="0.15">
      <c r="S358" t="str">
        <f>IF(O358="drucken",COUNTIF($O$5:O358,"drucken"),"")</f>
        <v/>
      </c>
    </row>
    <row r="359" spans="19:19" x14ac:dyDescent="0.15">
      <c r="S359" t="str">
        <f>IF(O359="drucken",COUNTIF($O$5:O359,"drucken"),"")</f>
        <v/>
      </c>
    </row>
    <row r="360" spans="19:19" x14ac:dyDescent="0.15">
      <c r="S360" t="str">
        <f>IF(O360="drucken",COUNTIF($O$5:O360,"drucken"),"")</f>
        <v/>
      </c>
    </row>
    <row r="361" spans="19:19" x14ac:dyDescent="0.15">
      <c r="S361" t="str">
        <f>IF(O361="drucken",COUNTIF($O$5:O361,"drucken"),"")</f>
        <v/>
      </c>
    </row>
    <row r="362" spans="19:19" x14ac:dyDescent="0.15">
      <c r="S362" t="str">
        <f>IF(O362="drucken",COUNTIF($O$5:O362,"drucken"),"")</f>
        <v/>
      </c>
    </row>
    <row r="363" spans="19:19" x14ac:dyDescent="0.15">
      <c r="S363" t="str">
        <f>IF(O363="drucken",COUNTIF($O$5:O363,"drucken"),"")</f>
        <v/>
      </c>
    </row>
    <row r="364" spans="19:19" x14ac:dyDescent="0.15">
      <c r="S364" t="str">
        <f>IF(O364="drucken",COUNTIF($O$5:O364,"drucken"),"")</f>
        <v/>
      </c>
    </row>
    <row r="365" spans="19:19" x14ac:dyDescent="0.15">
      <c r="S365" t="str">
        <f>IF(O365="drucken",COUNTIF($O$5:O365,"drucken"),"")</f>
        <v/>
      </c>
    </row>
    <row r="366" spans="19:19" x14ac:dyDescent="0.15">
      <c r="S366" t="str">
        <f>IF(O366="drucken",COUNTIF($O$5:O366,"drucken"),"")</f>
        <v/>
      </c>
    </row>
    <row r="367" spans="19:19" x14ac:dyDescent="0.15">
      <c r="S367" t="str">
        <f>IF(O367="drucken",COUNTIF($O$5:O367,"drucken"),"")</f>
        <v/>
      </c>
    </row>
    <row r="368" spans="19:19" x14ac:dyDescent="0.15">
      <c r="S368" t="str">
        <f>IF(O368="drucken",COUNTIF($O$5:O368,"drucken"),"")</f>
        <v/>
      </c>
    </row>
    <row r="369" spans="19:19" x14ac:dyDescent="0.15">
      <c r="S369" t="str">
        <f>IF(O369="drucken",COUNTIF($O$5:O369,"drucken"),"")</f>
        <v/>
      </c>
    </row>
    <row r="370" spans="19:19" x14ac:dyDescent="0.15">
      <c r="S370" t="str">
        <f>IF(O370="drucken",COUNTIF($O$5:O370,"drucken"),"")</f>
        <v/>
      </c>
    </row>
    <row r="371" spans="19:19" x14ac:dyDescent="0.15">
      <c r="S371" t="str">
        <f>IF(O371="drucken",COUNTIF($O$5:O371,"drucken"),"")</f>
        <v/>
      </c>
    </row>
    <row r="372" spans="19:19" x14ac:dyDescent="0.15">
      <c r="S372" t="str">
        <f>IF(O372="drucken",COUNTIF($O$5:O372,"drucken"),"")</f>
        <v/>
      </c>
    </row>
    <row r="373" spans="19:19" x14ac:dyDescent="0.15">
      <c r="S373" t="str">
        <f>IF(O373="drucken",COUNTIF($O$5:O373,"drucken"),"")</f>
        <v/>
      </c>
    </row>
    <row r="374" spans="19:19" x14ac:dyDescent="0.15">
      <c r="S374" t="str">
        <f>IF(O374="drucken",COUNTIF($O$5:O374,"drucken"),"")</f>
        <v/>
      </c>
    </row>
    <row r="375" spans="19:19" x14ac:dyDescent="0.15">
      <c r="S375" t="str">
        <f>IF(O375="drucken",COUNTIF($O$5:O375,"drucken"),"")</f>
        <v/>
      </c>
    </row>
    <row r="376" spans="19:19" x14ac:dyDescent="0.15">
      <c r="S376" t="str">
        <f>IF(O376="drucken",COUNTIF($O$5:O376,"drucken"),"")</f>
        <v/>
      </c>
    </row>
    <row r="377" spans="19:19" x14ac:dyDescent="0.15">
      <c r="S377" t="str">
        <f>IF(O377="drucken",COUNTIF($O$5:O377,"drucken"),"")</f>
        <v/>
      </c>
    </row>
    <row r="378" spans="19:19" x14ac:dyDescent="0.15">
      <c r="S378" t="str">
        <f>IF(O378="drucken",COUNTIF($O$5:O378,"drucken"),"")</f>
        <v/>
      </c>
    </row>
    <row r="379" spans="19:19" x14ac:dyDescent="0.15">
      <c r="S379" t="str">
        <f>IF(O379="drucken",COUNTIF($O$5:O379,"drucken"),"")</f>
        <v/>
      </c>
    </row>
    <row r="380" spans="19:19" x14ac:dyDescent="0.15">
      <c r="S380" t="str">
        <f>IF(O380="drucken",COUNTIF($O$5:O380,"drucken"),"")</f>
        <v/>
      </c>
    </row>
    <row r="381" spans="19:19" x14ac:dyDescent="0.15">
      <c r="S381" t="str">
        <f>IF(O381="drucken",COUNTIF($O$5:O381,"drucken"),"")</f>
        <v/>
      </c>
    </row>
    <row r="382" spans="19:19" x14ac:dyDescent="0.15">
      <c r="S382" t="str">
        <f>IF(O382="drucken",COUNTIF($O$5:O382,"drucken"),"")</f>
        <v/>
      </c>
    </row>
    <row r="383" spans="19:19" x14ac:dyDescent="0.15">
      <c r="S383" t="str">
        <f>IF(O383="drucken",COUNTIF($O$5:O383,"drucken"),"")</f>
        <v/>
      </c>
    </row>
    <row r="384" spans="19:19" x14ac:dyDescent="0.15">
      <c r="S384" t="str">
        <f>IF(O384="drucken",COUNTIF($O$5:O384,"drucken"),"")</f>
        <v/>
      </c>
    </row>
    <row r="385" spans="19:19" x14ac:dyDescent="0.15">
      <c r="S385" t="str">
        <f>IF(O385="drucken",COUNTIF($O$5:O385,"drucken"),"")</f>
        <v/>
      </c>
    </row>
    <row r="386" spans="19:19" x14ac:dyDescent="0.15">
      <c r="S386" t="str">
        <f>IF(O386="drucken",COUNTIF($O$5:O386,"drucken"),"")</f>
        <v/>
      </c>
    </row>
    <row r="387" spans="19:19" x14ac:dyDescent="0.15">
      <c r="S387" t="str">
        <f>IF(O387="drucken",COUNTIF($O$5:O387,"drucken"),"")</f>
        <v/>
      </c>
    </row>
    <row r="388" spans="19:19" x14ac:dyDescent="0.15">
      <c r="S388" t="str">
        <f>IF(O388="drucken",COUNTIF($O$5:O388,"drucken"),"")</f>
        <v/>
      </c>
    </row>
    <row r="389" spans="19:19" x14ac:dyDescent="0.15">
      <c r="S389" t="str">
        <f>IF(O389="drucken",COUNTIF($O$5:O389,"drucken"),"")</f>
        <v/>
      </c>
    </row>
    <row r="390" spans="19:19" x14ac:dyDescent="0.15">
      <c r="S390" t="str">
        <f>IF(O390="drucken",COUNTIF($O$5:O390,"drucken"),"")</f>
        <v/>
      </c>
    </row>
    <row r="391" spans="19:19" x14ac:dyDescent="0.15">
      <c r="S391" t="str">
        <f>IF(O391="drucken",COUNTIF($O$5:O391,"drucken"),"")</f>
        <v/>
      </c>
    </row>
    <row r="392" spans="19:19" x14ac:dyDescent="0.15">
      <c r="S392" t="str">
        <f>IF(O392="drucken",COUNTIF($O$5:O392,"drucken"),"")</f>
        <v/>
      </c>
    </row>
    <row r="393" spans="19:19" x14ac:dyDescent="0.15">
      <c r="S393" t="str">
        <f>IF(O393="drucken",COUNTIF($O$5:O393,"drucken"),"")</f>
        <v/>
      </c>
    </row>
    <row r="394" spans="19:19" x14ac:dyDescent="0.15">
      <c r="S394" t="str">
        <f>IF(O394="drucken",COUNTIF($O$5:O394,"drucken"),"")</f>
        <v/>
      </c>
    </row>
    <row r="395" spans="19:19" x14ac:dyDescent="0.15">
      <c r="S395" t="str">
        <f>IF(O395="drucken",COUNTIF($O$5:O395,"drucken"),"")</f>
        <v/>
      </c>
    </row>
    <row r="396" spans="19:19" x14ac:dyDescent="0.15">
      <c r="S396" t="str">
        <f>IF(O396="drucken",COUNTIF($O$5:O396,"drucken"),"")</f>
        <v/>
      </c>
    </row>
    <row r="397" spans="19:19" x14ac:dyDescent="0.15">
      <c r="S397" t="str">
        <f>IF(O397="drucken",COUNTIF($O$5:O397,"drucken"),"")</f>
        <v/>
      </c>
    </row>
    <row r="398" spans="19:19" x14ac:dyDescent="0.15">
      <c r="S398" t="str">
        <f>IF(O398="drucken",COUNTIF($O$5:O398,"drucken"),"")</f>
        <v/>
      </c>
    </row>
    <row r="399" spans="19:19" x14ac:dyDescent="0.15">
      <c r="S399" t="str">
        <f>IF(O399="drucken",COUNTIF($O$5:O399,"drucken"),"")</f>
        <v/>
      </c>
    </row>
    <row r="400" spans="19:19" x14ac:dyDescent="0.15">
      <c r="S400" t="str">
        <f>IF(O400="drucken",COUNTIF($O$5:O400,"drucken"),"")</f>
        <v/>
      </c>
    </row>
    <row r="401" spans="19:19" x14ac:dyDescent="0.15">
      <c r="S401" t="str">
        <f>IF(O401="drucken",COUNTIF($O$5:O401,"drucken"),"")</f>
        <v/>
      </c>
    </row>
    <row r="402" spans="19:19" x14ac:dyDescent="0.15">
      <c r="S402" t="str">
        <f>IF(O402="drucken",COUNTIF($O$5:O402,"drucken"),"")</f>
        <v/>
      </c>
    </row>
    <row r="403" spans="19:19" x14ac:dyDescent="0.15">
      <c r="S403" t="str">
        <f>IF(O403="drucken",COUNTIF($O$5:O403,"drucken"),"")</f>
        <v/>
      </c>
    </row>
    <row r="404" spans="19:19" x14ac:dyDescent="0.15">
      <c r="S404" t="str">
        <f>IF(O404="drucken",COUNTIF($O$5:O404,"drucken"),"")</f>
        <v/>
      </c>
    </row>
    <row r="405" spans="19:19" x14ac:dyDescent="0.15">
      <c r="S405" t="str">
        <f>IF(O405="drucken",COUNTIF($O$5:O405,"drucken"),"")</f>
        <v/>
      </c>
    </row>
    <row r="406" spans="19:19" x14ac:dyDescent="0.15">
      <c r="S406" t="str">
        <f>IF(O406="drucken",COUNTIF($O$5:O406,"drucken"),"")</f>
        <v/>
      </c>
    </row>
    <row r="407" spans="19:19" x14ac:dyDescent="0.15">
      <c r="S407" t="str">
        <f>IF(O407="drucken",COUNTIF($O$5:O407,"drucken"),"")</f>
        <v/>
      </c>
    </row>
    <row r="408" spans="19:19" x14ac:dyDescent="0.15">
      <c r="S408" t="str">
        <f>IF(O408="drucken",COUNTIF($O$5:O408,"drucken"),"")</f>
        <v/>
      </c>
    </row>
    <row r="409" spans="19:19" x14ac:dyDescent="0.15">
      <c r="S409" t="str">
        <f>IF(O409="drucken",COUNTIF($O$5:O409,"drucken"),"")</f>
        <v/>
      </c>
    </row>
    <row r="410" spans="19:19" x14ac:dyDescent="0.15">
      <c r="S410" t="str">
        <f>IF(O410="drucken",COUNTIF($O$5:O410,"drucken"),"")</f>
        <v/>
      </c>
    </row>
    <row r="411" spans="19:19" x14ac:dyDescent="0.15">
      <c r="S411" t="str">
        <f>IF(O411="drucken",COUNTIF($O$5:O411,"drucken"),"")</f>
        <v/>
      </c>
    </row>
    <row r="412" spans="19:19" x14ac:dyDescent="0.15">
      <c r="S412" t="str">
        <f>IF(O412="drucken",COUNTIF($O$5:O412,"drucken"),"")</f>
        <v/>
      </c>
    </row>
    <row r="413" spans="19:19" x14ac:dyDescent="0.15">
      <c r="S413" t="str">
        <f>IF(O413="drucken",COUNTIF($O$5:O413,"drucken"),"")</f>
        <v/>
      </c>
    </row>
    <row r="414" spans="19:19" x14ac:dyDescent="0.15">
      <c r="S414" t="str">
        <f>IF(O414="drucken",COUNTIF($O$5:O414,"drucken"),"")</f>
        <v/>
      </c>
    </row>
    <row r="415" spans="19:19" x14ac:dyDescent="0.15">
      <c r="S415" t="str">
        <f>IF(O415="drucken",COUNTIF($O$5:O415,"drucken"),"")</f>
        <v/>
      </c>
    </row>
    <row r="416" spans="19:19" x14ac:dyDescent="0.15">
      <c r="S416" t="str">
        <f>IF(O416="drucken",COUNTIF($O$5:O416,"drucken"),"")</f>
        <v/>
      </c>
    </row>
    <row r="417" spans="19:19" x14ac:dyDescent="0.15">
      <c r="S417" t="str">
        <f>IF(O417="drucken",COUNTIF($O$5:O417,"drucken"),"")</f>
        <v/>
      </c>
    </row>
    <row r="418" spans="19:19" x14ac:dyDescent="0.15">
      <c r="S418" t="str">
        <f>IF(O418="drucken",COUNTIF($O$5:O418,"drucken"),"")</f>
        <v/>
      </c>
    </row>
    <row r="419" spans="19:19" x14ac:dyDescent="0.15">
      <c r="S419" t="str">
        <f>IF(O419="drucken",COUNTIF($O$5:O419,"drucken"),"")</f>
        <v/>
      </c>
    </row>
    <row r="420" spans="19:19" x14ac:dyDescent="0.15">
      <c r="S420" t="str">
        <f>IF(O420="drucken",COUNTIF($O$5:O420,"drucken"),"")</f>
        <v/>
      </c>
    </row>
    <row r="421" spans="19:19" x14ac:dyDescent="0.15">
      <c r="S421" t="str">
        <f>IF(O421="drucken",COUNTIF($O$5:O421,"drucken"),"")</f>
        <v/>
      </c>
    </row>
    <row r="422" spans="19:19" x14ac:dyDescent="0.15">
      <c r="S422" t="str">
        <f>IF(O422="drucken",COUNTIF($O$5:O422,"drucken"),"")</f>
        <v/>
      </c>
    </row>
    <row r="423" spans="19:19" x14ac:dyDescent="0.15">
      <c r="S423" t="str">
        <f>IF(O423="drucken",COUNTIF($O$5:O423,"drucken"),"")</f>
        <v/>
      </c>
    </row>
    <row r="424" spans="19:19" x14ac:dyDescent="0.15">
      <c r="S424" t="str">
        <f>IF(O424="drucken",COUNTIF($O$5:O424,"drucken"),"")</f>
        <v/>
      </c>
    </row>
    <row r="425" spans="19:19" x14ac:dyDescent="0.15">
      <c r="S425" t="str">
        <f>IF(O425="drucken",COUNTIF($O$5:O425,"drucken"),"")</f>
        <v/>
      </c>
    </row>
    <row r="426" spans="19:19" x14ac:dyDescent="0.15">
      <c r="S426" t="str">
        <f>IF(O426="drucken",COUNTIF($O$5:O426,"drucken"),"")</f>
        <v/>
      </c>
    </row>
    <row r="427" spans="19:19" x14ac:dyDescent="0.15">
      <c r="S427" t="str">
        <f>IF(O427="drucken",COUNTIF($O$5:O427,"drucken"),"")</f>
        <v/>
      </c>
    </row>
    <row r="428" spans="19:19" x14ac:dyDescent="0.15">
      <c r="S428" t="str">
        <f>IF(O428="drucken",COUNTIF($O$5:O428,"drucken"),"")</f>
        <v/>
      </c>
    </row>
    <row r="429" spans="19:19" x14ac:dyDescent="0.15">
      <c r="S429" t="str">
        <f>IF(O429="drucken",COUNTIF($O$5:O429,"drucken"),"")</f>
        <v/>
      </c>
    </row>
    <row r="430" spans="19:19" x14ac:dyDescent="0.15">
      <c r="S430" t="str">
        <f>IF(O430="drucken",COUNTIF($O$5:O430,"drucken"),"")</f>
        <v/>
      </c>
    </row>
    <row r="431" spans="19:19" x14ac:dyDescent="0.15">
      <c r="S431" t="str">
        <f>IF(O431="drucken",COUNTIF($O$5:O431,"drucken"),"")</f>
        <v/>
      </c>
    </row>
    <row r="432" spans="19:19" x14ac:dyDescent="0.15">
      <c r="S432" t="str">
        <f>IF(O432="drucken",COUNTIF($O$5:O432,"drucken"),"")</f>
        <v/>
      </c>
    </row>
    <row r="433" spans="19:19" x14ac:dyDescent="0.15">
      <c r="S433" t="str">
        <f>IF(O433="drucken",COUNTIF($O$5:O433,"drucken"),"")</f>
        <v/>
      </c>
    </row>
    <row r="434" spans="19:19" x14ac:dyDescent="0.15">
      <c r="S434" t="str">
        <f>IF(O434="drucken",COUNTIF($O$5:O434,"drucken"),"")</f>
        <v/>
      </c>
    </row>
    <row r="435" spans="19:19" x14ac:dyDescent="0.15">
      <c r="S435" t="str">
        <f>IF(O435="drucken",COUNTIF($O$5:O435,"drucken"),"")</f>
        <v/>
      </c>
    </row>
    <row r="436" spans="19:19" x14ac:dyDescent="0.15">
      <c r="S436" t="str">
        <f>IF(O436="drucken",COUNTIF($O$5:O436,"drucken"),"")</f>
        <v/>
      </c>
    </row>
    <row r="437" spans="19:19" x14ac:dyDescent="0.15">
      <c r="S437" t="str">
        <f>IF(O437="drucken",COUNTIF($O$5:O437,"drucken"),"")</f>
        <v/>
      </c>
    </row>
    <row r="438" spans="19:19" x14ac:dyDescent="0.15">
      <c r="S438" t="str">
        <f>IF(O438="drucken",COUNTIF($O$5:O438,"drucken"),"")</f>
        <v/>
      </c>
    </row>
    <row r="439" spans="19:19" x14ac:dyDescent="0.15">
      <c r="S439" t="str">
        <f>IF(O439="drucken",COUNTIF($O$5:O439,"drucken"),"")</f>
        <v/>
      </c>
    </row>
    <row r="440" spans="19:19" x14ac:dyDescent="0.15">
      <c r="S440" t="str">
        <f>IF(O440="drucken",COUNTIF($O$5:O440,"drucken"),"")</f>
        <v/>
      </c>
    </row>
    <row r="441" spans="19:19" x14ac:dyDescent="0.15">
      <c r="S441" t="str">
        <f>IF(O441="drucken",COUNTIF($O$5:O441,"drucken"),"")</f>
        <v/>
      </c>
    </row>
    <row r="442" spans="19:19" x14ac:dyDescent="0.15">
      <c r="S442" t="str">
        <f>IF(O442="drucken",COUNTIF($O$5:O442,"drucken"),"")</f>
        <v/>
      </c>
    </row>
    <row r="443" spans="19:19" x14ac:dyDescent="0.15">
      <c r="S443" t="str">
        <f>IF(O443="drucken",COUNTIF($O$5:O443,"drucken"),"")</f>
        <v/>
      </c>
    </row>
    <row r="444" spans="19:19" x14ac:dyDescent="0.15">
      <c r="S444" t="str">
        <f>IF(O444="drucken",COUNTIF($O$5:O444,"drucken"),"")</f>
        <v/>
      </c>
    </row>
    <row r="445" spans="19:19" x14ac:dyDescent="0.15">
      <c r="S445" t="str">
        <f>IF(O445="drucken",COUNTIF($O$5:O445,"drucken"),"")</f>
        <v/>
      </c>
    </row>
    <row r="446" spans="19:19" x14ac:dyDescent="0.15">
      <c r="S446" t="str">
        <f>IF(O446="drucken",COUNTIF($O$5:O446,"drucken"),"")</f>
        <v/>
      </c>
    </row>
    <row r="447" spans="19:19" x14ac:dyDescent="0.15">
      <c r="S447" t="str">
        <f>IF(O447="drucken",COUNTIF($O$5:O447,"drucken"),"")</f>
        <v/>
      </c>
    </row>
    <row r="448" spans="19:19" x14ac:dyDescent="0.15">
      <c r="S448" t="str">
        <f>IF(O448="drucken",COUNTIF($O$5:O448,"drucken"),"")</f>
        <v/>
      </c>
    </row>
    <row r="449" spans="19:19" x14ac:dyDescent="0.15">
      <c r="S449" t="str">
        <f>IF(O449="drucken",COUNTIF($O$5:O449,"drucken"),"")</f>
        <v/>
      </c>
    </row>
    <row r="450" spans="19:19" x14ac:dyDescent="0.15">
      <c r="S450" t="str">
        <f>IF(O450="drucken",COUNTIF($O$5:O450,"drucken"),"")</f>
        <v/>
      </c>
    </row>
    <row r="451" spans="19:19" x14ac:dyDescent="0.15">
      <c r="S451" t="str">
        <f>IF(O451="drucken",COUNTIF($O$5:O451,"drucken"),"")</f>
        <v/>
      </c>
    </row>
    <row r="452" spans="19:19" x14ac:dyDescent="0.15">
      <c r="S452" t="str">
        <f>IF(O452="drucken",COUNTIF($O$5:O452,"drucken"),"")</f>
        <v/>
      </c>
    </row>
    <row r="453" spans="19:19" x14ac:dyDescent="0.15">
      <c r="S453" t="str">
        <f>IF(O453="drucken",COUNTIF($O$5:O453,"drucken"),"")</f>
        <v/>
      </c>
    </row>
    <row r="454" spans="19:19" x14ac:dyDescent="0.15">
      <c r="S454" t="str">
        <f>IF(O454="drucken",COUNTIF($O$5:O454,"drucken"),"")</f>
        <v/>
      </c>
    </row>
    <row r="455" spans="19:19" x14ac:dyDescent="0.15">
      <c r="S455" t="str">
        <f>IF(O455="drucken",COUNTIF($O$5:O455,"drucken"),"")</f>
        <v/>
      </c>
    </row>
    <row r="456" spans="19:19" x14ac:dyDescent="0.15">
      <c r="S456" t="str">
        <f>IF(O456="drucken",COUNTIF($O$5:O456,"drucken"),"")</f>
        <v/>
      </c>
    </row>
    <row r="457" spans="19:19" x14ac:dyDescent="0.15">
      <c r="S457" t="str">
        <f>IF(O457="drucken",COUNTIF($O$5:O457,"drucken"),"")</f>
        <v/>
      </c>
    </row>
    <row r="458" spans="19:19" x14ac:dyDescent="0.15">
      <c r="S458" t="str">
        <f>IF(O458="drucken",COUNTIF($O$5:O458,"drucken"),"")</f>
        <v/>
      </c>
    </row>
    <row r="459" spans="19:19" x14ac:dyDescent="0.15">
      <c r="S459" t="str">
        <f>IF(O459="drucken",COUNTIF($O$5:O459,"drucken"),"")</f>
        <v/>
      </c>
    </row>
    <row r="460" spans="19:19" x14ac:dyDescent="0.15">
      <c r="S460" t="str">
        <f>IF(O460="drucken",COUNTIF($O$5:O460,"drucken"),"")</f>
        <v/>
      </c>
    </row>
    <row r="461" spans="19:19" x14ac:dyDescent="0.15">
      <c r="S461" t="str">
        <f>IF(O461="drucken",COUNTIF($O$5:O461,"drucken"),"")</f>
        <v/>
      </c>
    </row>
    <row r="462" spans="19:19" x14ac:dyDescent="0.15">
      <c r="S462" t="str">
        <f>IF(O462="drucken",COUNTIF($O$5:O462,"drucken"),"")</f>
        <v/>
      </c>
    </row>
    <row r="463" spans="19:19" x14ac:dyDescent="0.15">
      <c r="S463" t="str">
        <f>IF(O463="drucken",COUNTIF($O$5:O463,"drucken"),"")</f>
        <v/>
      </c>
    </row>
    <row r="464" spans="19:19" x14ac:dyDescent="0.15">
      <c r="S464" t="str">
        <f>IF(O464="drucken",COUNTIF($O$5:O464,"drucken"),"")</f>
        <v/>
      </c>
    </row>
    <row r="465" spans="19:19" x14ac:dyDescent="0.15">
      <c r="S465" t="str">
        <f>IF(O465="drucken",COUNTIF($O$5:O465,"drucken"),"")</f>
        <v/>
      </c>
    </row>
    <row r="466" spans="19:19" x14ac:dyDescent="0.15">
      <c r="S466" t="str">
        <f>IF(O466="drucken",COUNTIF($O$5:O466,"drucken"),"")</f>
        <v/>
      </c>
    </row>
    <row r="467" spans="19:19" x14ac:dyDescent="0.15">
      <c r="S467" t="str">
        <f>IF(O467="drucken",COUNTIF($O$5:O467,"drucken"),"")</f>
        <v/>
      </c>
    </row>
    <row r="468" spans="19:19" x14ac:dyDescent="0.15">
      <c r="S468" t="str">
        <f>IF(O468="drucken",COUNTIF($O$5:O468,"drucken"),"")</f>
        <v/>
      </c>
    </row>
    <row r="469" spans="19:19" x14ac:dyDescent="0.15">
      <c r="S469" t="str">
        <f>IF(O469="drucken",COUNTIF($O$5:O469,"drucken"),"")</f>
        <v/>
      </c>
    </row>
    <row r="470" spans="19:19" x14ac:dyDescent="0.15">
      <c r="S470" t="str">
        <f>IF(O470="drucken",COUNTIF($O$5:O470,"drucken"),"")</f>
        <v/>
      </c>
    </row>
    <row r="471" spans="19:19" x14ac:dyDescent="0.15">
      <c r="S471" t="str">
        <f>IF(O471="drucken",COUNTIF($O$5:O471,"drucken"),"")</f>
        <v/>
      </c>
    </row>
    <row r="472" spans="19:19" x14ac:dyDescent="0.15">
      <c r="S472" t="str">
        <f>IF(O472="drucken",COUNTIF($O$5:O472,"drucken"),"")</f>
        <v/>
      </c>
    </row>
    <row r="473" spans="19:19" x14ac:dyDescent="0.15">
      <c r="S473" t="str">
        <f>IF(O473="drucken",COUNTIF($O$5:O473,"drucken"),"")</f>
        <v/>
      </c>
    </row>
    <row r="474" spans="19:19" x14ac:dyDescent="0.15">
      <c r="S474" t="str">
        <f>IF(O474="drucken",COUNTIF($O$5:O474,"drucken"),"")</f>
        <v/>
      </c>
    </row>
    <row r="475" spans="19:19" x14ac:dyDescent="0.15">
      <c r="S475" t="str">
        <f>IF(O475="drucken",COUNTIF($O$5:O475,"drucken"),"")</f>
        <v/>
      </c>
    </row>
    <row r="476" spans="19:19" x14ac:dyDescent="0.15">
      <c r="S476" t="str">
        <f>IF(O476="drucken",COUNTIF($O$5:O476,"drucken"),"")</f>
        <v/>
      </c>
    </row>
    <row r="477" spans="19:19" x14ac:dyDescent="0.15">
      <c r="S477" t="str">
        <f>IF(O477="drucken",COUNTIF($O$5:O477,"drucken"),"")</f>
        <v/>
      </c>
    </row>
    <row r="478" spans="19:19" x14ac:dyDescent="0.15">
      <c r="S478" t="str">
        <f>IF(O478="drucken",COUNTIF($O$5:O478,"drucken"),"")</f>
        <v/>
      </c>
    </row>
    <row r="479" spans="19:19" x14ac:dyDescent="0.15">
      <c r="S479" t="str">
        <f>IF(O479="drucken",COUNTIF($O$5:O479,"drucken"),"")</f>
        <v/>
      </c>
    </row>
    <row r="480" spans="19:19" x14ac:dyDescent="0.15">
      <c r="S480" t="str">
        <f>IF(O480="drucken",COUNTIF($O$5:O480,"drucken"),"")</f>
        <v/>
      </c>
    </row>
    <row r="481" spans="19:19" x14ac:dyDescent="0.15">
      <c r="S481" t="str">
        <f>IF(O481="drucken",COUNTIF($O$5:O481,"drucken"),"")</f>
        <v/>
      </c>
    </row>
    <row r="482" spans="19:19" x14ac:dyDescent="0.15">
      <c r="S482" t="str">
        <f>IF(O482="drucken",COUNTIF($O$5:O482,"drucken"),"")</f>
        <v/>
      </c>
    </row>
    <row r="483" spans="19:19" x14ac:dyDescent="0.15">
      <c r="S483" t="str">
        <f>IF(O483="drucken",COUNTIF($O$5:O483,"drucken"),"")</f>
        <v/>
      </c>
    </row>
    <row r="484" spans="19:19" x14ac:dyDescent="0.15">
      <c r="S484" t="str">
        <f>IF(O484="drucken",COUNTIF($O$5:O484,"drucken"),"")</f>
        <v/>
      </c>
    </row>
    <row r="485" spans="19:19" x14ac:dyDescent="0.15">
      <c r="S485" t="str">
        <f>IF(O485="drucken",COUNTIF($O$5:O485,"drucken"),"")</f>
        <v/>
      </c>
    </row>
    <row r="486" spans="19:19" x14ac:dyDescent="0.15">
      <c r="S486" t="str">
        <f>IF(O486="drucken",COUNTIF($O$5:O486,"drucken"),"")</f>
        <v/>
      </c>
    </row>
    <row r="487" spans="19:19" x14ac:dyDescent="0.15">
      <c r="S487" t="str">
        <f>IF(O487="drucken",COUNTIF($O$5:O487,"drucken"),"")</f>
        <v/>
      </c>
    </row>
    <row r="488" spans="19:19" x14ac:dyDescent="0.15">
      <c r="S488" t="str">
        <f>IF(O488="drucken",COUNTIF($O$5:O488,"drucken"),"")</f>
        <v/>
      </c>
    </row>
    <row r="489" spans="19:19" x14ac:dyDescent="0.15">
      <c r="S489" t="str">
        <f>IF(O489="drucken",COUNTIF($O$5:O489,"drucken"),"")</f>
        <v/>
      </c>
    </row>
    <row r="490" spans="19:19" x14ac:dyDescent="0.15">
      <c r="S490" t="str">
        <f>IF(O490="drucken",COUNTIF($O$5:O490,"drucken"),"")</f>
        <v/>
      </c>
    </row>
    <row r="491" spans="19:19" x14ac:dyDescent="0.15">
      <c r="S491" t="str">
        <f>IF(O491="drucken",COUNTIF($O$5:O491,"drucken"),"")</f>
        <v/>
      </c>
    </row>
    <row r="492" spans="19:19" x14ac:dyDescent="0.15">
      <c r="S492" t="str">
        <f>IF(O492="drucken",COUNTIF($O$5:O492,"drucken"),"")</f>
        <v/>
      </c>
    </row>
    <row r="493" spans="19:19" x14ac:dyDescent="0.15">
      <c r="S493" t="str">
        <f>IF(O493="drucken",COUNTIF($O$5:O493,"drucken"),"")</f>
        <v/>
      </c>
    </row>
    <row r="494" spans="19:19" x14ac:dyDescent="0.15">
      <c r="S494" t="str">
        <f>IF(O494="drucken",COUNTIF($O$5:O494,"drucken"),"")</f>
        <v/>
      </c>
    </row>
    <row r="495" spans="19:19" x14ac:dyDescent="0.15">
      <c r="S495" t="str">
        <f>IF(O495="drucken",COUNTIF($O$5:O495,"drucken"),"")</f>
        <v/>
      </c>
    </row>
    <row r="496" spans="19:19" x14ac:dyDescent="0.15">
      <c r="S496" t="str">
        <f>IF(O496="drucken",COUNTIF($O$5:O496,"drucken"),"")</f>
        <v/>
      </c>
    </row>
    <row r="497" spans="19:19" x14ac:dyDescent="0.15">
      <c r="S497" t="str">
        <f>IF(O497="drucken",COUNTIF($O$5:O497,"drucken"),"")</f>
        <v/>
      </c>
    </row>
    <row r="498" spans="19:19" x14ac:dyDescent="0.15">
      <c r="S498" t="str">
        <f>IF(O498="drucken",COUNTIF($O$5:O498,"drucken"),"")</f>
        <v/>
      </c>
    </row>
    <row r="499" spans="19:19" x14ac:dyDescent="0.15">
      <c r="S499" t="str">
        <f>IF(O499="drucken",COUNTIF($O$5:O499,"drucken"),"")</f>
        <v/>
      </c>
    </row>
    <row r="500" spans="19:19" x14ac:dyDescent="0.15">
      <c r="S500" t="str">
        <f>IF(O500="drucken",COUNTIF($O$5:O500,"drucken"),"")</f>
        <v/>
      </c>
    </row>
  </sheetData>
  <mergeCells count="3">
    <mergeCell ref="A1:N1"/>
    <mergeCell ref="Q1:R1"/>
    <mergeCell ref="A2:N2"/>
  </mergeCells>
  <dataValidations count="3">
    <dataValidation type="whole" sqref="J5:K83" xr:uid="{00000000-0002-0000-0400-000000000000}">
      <formula1>0</formula1>
      <formula2>999999</formula2>
    </dataValidation>
    <dataValidation type="list" sqref="O5:O114" xr:uid="{00000000-0002-0000-0400-000001000000}">
      <formula1>"drucken,nicht drucken"</formula1>
      <formula2>0</formula2>
    </dataValidation>
    <dataValidation type="whole" sqref="R2" xr:uid="{00000000-0002-0000-0400-000002000000}">
      <formula1>1</formula1>
      <formula2>24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2"/>
  <sheetViews>
    <sheetView showGridLines="0" workbookViewId="0"/>
  </sheetViews>
  <sheetFormatPr baseColWidth="10" defaultColWidth="8.6640625" defaultRowHeight="13" x14ac:dyDescent="0.15"/>
  <cols>
    <col min="1" max="1" width="1.83203125" customWidth="1"/>
    <col min="2" max="2" width="31.1640625" customWidth="1"/>
    <col min="3" max="3" width="1.83203125" customWidth="1"/>
    <col min="4" max="4" width="31.1640625" customWidth="1"/>
    <col min="5" max="5" width="1.83203125" customWidth="1"/>
    <col min="6" max="6" width="31.1640625" customWidth="1"/>
  </cols>
  <sheetData>
    <row r="1" spans="1:6" ht="22" customHeight="1" x14ac:dyDescent="0.2">
      <c r="A1" s="62"/>
      <c r="B1" s="63" t="str">
        <f>IFERROR(IF(1&lt;Stock!$R$2,"",INDEX(Stock!$A$5:$A$500,MATCH(1-Stock!$R$2+1,Stock!$S$5:$S$500,0))),"")</f>
        <v>ENP-00025</v>
      </c>
      <c r="C1" s="62"/>
      <c r="D1" s="64" t="str">
        <f>IFERROR(IF(2&lt;Stock!$R$2,"",INDEX(Stock!$A$5:$A$500,MATCH(2-Stock!$R$2+1,Stock!$S$5:$S$500,0))),"")</f>
        <v>ENP-00088</v>
      </c>
      <c r="E1" s="65"/>
      <c r="F1" s="64" t="str">
        <f>IFERROR(IF(3&lt;Stock!$R$2,"",INDEX(Stock!$A$5:$A$500,MATCH(3-Stock!$R$2+1,Stock!$S$5:$S$500,0))),"")</f>
        <v>ENP-00102</v>
      </c>
    </row>
    <row r="2" spans="1:6" ht="28" customHeight="1" x14ac:dyDescent="0.15">
      <c r="A2" s="66"/>
      <c r="B2" s="67" t="str">
        <f>IFERROR(IF(1&lt;Stock!$R$2,"",IF(IF(OR(INDEX(Stock!$D$5:$D$500,MATCH(1-Stock!$R$2+1,Stock!$S$5:$S$500,0))="",INDEX(Stock!$D$5:$D$500,MATCH(1-Stock!$R$2+1,Stock!$S$5:$S$500,0))=0,INDEX(Stock!$D$5:$D$500,MATCH(1-Stock!$R$2+1,Stock!$S$5:$S$500,0))="0"),"",INDEX(Stock!$D$5:$D$500,MATCH(1-Stock!$R$2+1,Stock!$S$5:$S$500,0)))&lt;&gt;"",IF(OR(INDEX(Stock!$D$5:$D$500,MATCH(1-Stock!$R$2+1,Stock!$S$5:$S$500,0))="",INDEX(Stock!$D$5:$D$500,MATCH(1-Stock!$R$2+1,Stock!$S$5:$S$500,0))=0,INDEX(Stock!$D$5:$D$500,MATCH(1-Stock!$R$2+1,Stock!$S$5:$S$500,0))="0"),"",INDEX(Stock!$D$5:$D$500,MATCH(1-Stock!$R$2+1,Stock!$S$5:$S$500,0))),IF(OR(INDEX(Stock!$C$5:$C$500,MATCH(1-Stock!$R$2+1,Stock!$S$5:$S$500,0))="",INDEX(Stock!$C$5:$C$500,MATCH(1-Stock!$R$2+1,Stock!$S$5:$S$500,0))=0,INDEX(Stock!$C$5:$C$500,MATCH(1-Stock!$R$2+1,Stock!$S$5:$S$500,0))="0"),"",INDEX(Stock!$C$5:$C$500,MATCH(1-Stock!$R$2+1,Stock!$S$5:$S$500,0))))),"")</f>
        <v>4-polig, 2,00 mm</v>
      </c>
      <c r="C2" s="66"/>
      <c r="D2" s="68" t="str">
        <f>IFERROR(IF(2&lt;Stock!$R$2,"",IF(IF(OR(INDEX(Stock!$D$5:$D$500,MATCH(2-Stock!$R$2+1,Stock!$S$5:$S$500,0))="",INDEX(Stock!$D$5:$D$500,MATCH(2-Stock!$R$2+1,Stock!$S$5:$S$500,0))=0,INDEX(Stock!$D$5:$D$500,MATCH(2-Stock!$R$2+1,Stock!$S$5:$S$500,0))="0"),"",INDEX(Stock!$D$5:$D$500,MATCH(2-Stock!$R$2+1,Stock!$S$5:$S$500,0)))&lt;&gt;"",IF(OR(INDEX(Stock!$D$5:$D$500,MATCH(2-Stock!$R$2+1,Stock!$S$5:$S$500,0))="",INDEX(Stock!$D$5:$D$500,MATCH(2-Stock!$R$2+1,Stock!$S$5:$S$500,0))=0,INDEX(Stock!$D$5:$D$500,MATCH(2-Stock!$R$2+1,Stock!$S$5:$S$500,0))="0"),"",INDEX(Stock!$D$5:$D$500,MATCH(2-Stock!$R$2+1,Stock!$S$5:$S$500,0))),IF(OR(INDEX(Stock!$C$5:$C$500,MATCH(2-Stock!$R$2+1,Stock!$S$5:$S$500,0))="",INDEX(Stock!$C$5:$C$500,MATCH(2-Stock!$R$2+1,Stock!$S$5:$S$500,0))=0,INDEX(Stock!$C$5:$C$500,MATCH(2-Stock!$R$2+1,Stock!$S$5:$S$500,0))="0"),"",INDEX(Stock!$C$5:$C$500,MATCH(2-Stock!$R$2+1,Stock!$S$5:$S$500,0))))),"")</f>
        <v>5,5 × 2,1 mm, 2-polig, 20 V DC / 10 A, Lötanschluss</v>
      </c>
      <c r="E2" s="65"/>
      <c r="F2" s="68" t="str">
        <f>IFERROR(IF(3&lt;Stock!$R$2,"",IF(IF(OR(INDEX(Stock!$D$5:$D$500,MATCH(3-Stock!$R$2+1,Stock!$S$5:$S$500,0))="",INDEX(Stock!$D$5:$D$500,MATCH(3-Stock!$R$2+1,Stock!$S$5:$S$500,0))=0,INDEX(Stock!$D$5:$D$500,MATCH(3-Stock!$R$2+1,Stock!$S$5:$S$500,0))="0"),"",INDEX(Stock!$D$5:$D$500,MATCH(3-Stock!$R$2+1,Stock!$S$5:$S$500,0)))&lt;&gt;"",IF(OR(INDEX(Stock!$D$5:$D$500,MATCH(3-Stock!$R$2+1,Stock!$S$5:$S$500,0))="",INDEX(Stock!$D$5:$D$500,MATCH(3-Stock!$R$2+1,Stock!$S$5:$S$500,0))=0,INDEX(Stock!$D$5:$D$500,MATCH(3-Stock!$R$2+1,Stock!$S$5:$S$500,0))="0"),"",INDEX(Stock!$D$5:$D$500,MATCH(3-Stock!$R$2+1,Stock!$S$5:$S$500,0))),IF(OR(INDEX(Stock!$C$5:$C$500,MATCH(3-Stock!$R$2+1,Stock!$S$5:$S$500,0))="",INDEX(Stock!$C$5:$C$500,MATCH(3-Stock!$R$2+1,Stock!$S$5:$S$500,0))=0,INDEX(Stock!$C$5:$C$500,MATCH(3-Stock!$R$2+1,Stock!$S$5:$S$500,0))="0"),"",INDEX(Stock!$C$5:$C$500,MATCH(3-Stock!$R$2+1,Stock!$S$5:$S$500,0))))),"")</f>
        <v>32 Kbit, I²C, 2,5–5,5 V</v>
      </c>
    </row>
    <row r="3" spans="1:6" ht="26" customHeight="1" x14ac:dyDescent="0.15">
      <c r="A3" s="69"/>
      <c r="B3" s="70" t="str">
        <f>IFERROR(IF(1&lt;Stock!$R$2,"",IF(IF(OR(INDEX(Stock!$D$5:$D$500,MATCH(1-Stock!$R$2+1,Stock!$S$5:$S$500,0))="",INDEX(Stock!$D$5:$D$500,MATCH(1-Stock!$R$2+1,Stock!$S$5:$S$500,0))=0,INDEX(Stock!$D$5:$D$500,MATCH(1-Stock!$R$2+1,Stock!$S$5:$S$500,0))="0"),"",INDEX(Stock!$D$5:$D$500,MATCH(1-Stock!$R$2+1,Stock!$S$5:$S$500,0)))&lt;&gt;"",IF(OR(INDEX(Stock!$C$5:$C$500,MATCH(1-Stock!$R$2+1,Stock!$S$5:$S$500,0))="",INDEX(Stock!$C$5:$C$500,MATCH(1-Stock!$R$2+1,Stock!$S$5:$S$500,0))=0,INDEX(Stock!$C$5:$C$500,MATCH(1-Stock!$R$2+1,Stock!$S$5:$S$500,0))="0"),"",INDEX(Stock!$C$5:$C$500,MATCH(1-Stock!$R$2+1,Stock!$S$5:$S$500,0))),IF(OR(INDEX(Stock!$E$5:$E$500,MATCH(1-Stock!$R$2+1,Stock!$S$5:$S$500,0))="",INDEX(Stock!$E$5:$E$500,MATCH(1-Stock!$R$2+1,Stock!$S$5:$S$500,0))=0,INDEX(Stock!$E$5:$E$500,MATCH(1-Stock!$R$2+1,Stock!$S$5:$S$500,0))="0"),"",INDEX(Stock!$E$5:$E$500,MATCH(1-Stock!$R$2+1,Stock!$S$5:$S$500,0))))),"")</f>
        <v>JST-PH Stiftleiste, 4-polig, vertikal</v>
      </c>
      <c r="C3" s="69"/>
      <c r="D3" s="71" t="str">
        <f>IFERROR(IF(2&lt;Stock!$R$2,"",IF(IF(OR(INDEX(Stock!$D$5:$D$500,MATCH(2-Stock!$R$2+1,Stock!$S$5:$S$500,0))="",INDEX(Stock!$D$5:$D$500,MATCH(2-Stock!$R$2+1,Stock!$S$5:$S$500,0))=0,INDEX(Stock!$D$5:$D$500,MATCH(2-Stock!$R$2+1,Stock!$S$5:$S$500,0))="0"),"",INDEX(Stock!$D$5:$D$500,MATCH(2-Stock!$R$2+1,Stock!$S$5:$S$500,0)))&lt;&gt;"",IF(OR(INDEX(Stock!$C$5:$C$500,MATCH(2-Stock!$R$2+1,Stock!$S$5:$S$500,0))="",INDEX(Stock!$C$5:$C$500,MATCH(2-Stock!$R$2+1,Stock!$S$5:$S$500,0))=0,INDEX(Stock!$C$5:$C$500,MATCH(2-Stock!$R$2+1,Stock!$S$5:$S$500,0))="0"),"",INDEX(Stock!$C$5:$C$500,MATCH(2-Stock!$R$2+1,Stock!$S$5:$S$500,0))),IF(OR(INDEX(Stock!$E$5:$E$500,MATCH(2-Stock!$R$2+1,Stock!$S$5:$S$500,0))="",INDEX(Stock!$E$5:$E$500,MATCH(2-Stock!$R$2+1,Stock!$S$5:$S$500,0))=0,INDEX(Stock!$E$5:$E$500,MATCH(2-Stock!$R$2+1,Stock!$S$5:$S$500,0))="0"),"",INDEX(Stock!$E$5:$E$500,MATCH(2-Stock!$R$2+1,Stock!$S$5:$S$500,0))))),"")</f>
        <v>DC-Einbaubuchse 5,5/2,1 mm – EnvNode 5-V-Versorgung</v>
      </c>
      <c r="E3" s="65"/>
      <c r="F3" s="71" t="str">
        <f>IFERROR(IF(3&lt;Stock!$R$2,"",IF(IF(OR(INDEX(Stock!$D$5:$D$500,MATCH(3-Stock!$R$2+1,Stock!$S$5:$S$500,0))="",INDEX(Stock!$D$5:$D$500,MATCH(3-Stock!$R$2+1,Stock!$S$5:$S$500,0))=0,INDEX(Stock!$D$5:$D$500,MATCH(3-Stock!$R$2+1,Stock!$S$5:$S$500,0))="0"),"",INDEX(Stock!$D$5:$D$500,MATCH(3-Stock!$R$2+1,Stock!$S$5:$S$500,0)))&lt;&gt;"",IF(OR(INDEX(Stock!$C$5:$C$500,MATCH(3-Stock!$R$2+1,Stock!$S$5:$S$500,0))="",INDEX(Stock!$C$5:$C$500,MATCH(3-Stock!$R$2+1,Stock!$S$5:$S$500,0))=0,INDEX(Stock!$C$5:$C$500,MATCH(3-Stock!$R$2+1,Stock!$S$5:$S$500,0))="0"),"",INDEX(Stock!$C$5:$C$500,MATCH(3-Stock!$R$2+1,Stock!$S$5:$S$500,0))),IF(OR(INDEX(Stock!$E$5:$E$500,MATCH(3-Stock!$R$2+1,Stock!$S$5:$S$500,0))="",INDEX(Stock!$E$5:$E$500,MATCH(3-Stock!$R$2+1,Stock!$S$5:$S$500,0))=0,INDEX(Stock!$E$5:$E$500,MATCH(3-Stock!$R$2+1,Stock!$S$5:$S$500,0))="0"),"",INDEX(Stock!$E$5:$E$500,MATCH(3-Stock!$R$2+1,Stock!$S$5:$S$500,0))))),"")</f>
        <v>I²C-EEPROM 32 Kbit, SOIC-8</v>
      </c>
    </row>
    <row r="4" spans="1:6" ht="29" customHeight="1" x14ac:dyDescent="0.15">
      <c r="A4" s="72"/>
      <c r="B4" s="73" t="str">
        <f>IFERROR(IF(1&lt;Stock!$R$2,"",IF(OR(INDEX(Stock!$B$5:$B$500,MATCH(1-Stock!$R$2+1,Stock!$S$5:$S$500,0))="",INDEX(Stock!$B$5:$B$500,MATCH(1-Stock!$R$2+1,Stock!$S$5:$S$500,0))=0,INDEX(Stock!$B$5:$B$500,MATCH(1-Stock!$R$2+1,Stock!$S$5:$S$500,0))="0"),"",INDEX(Stock!$B$5:$B$500,MATCH(1-Stock!$R$2+1,Stock!$S$5:$S$500,0)))&amp;IF(AND(IF(OR(INDEX(Stock!$B$5:$B$500,MATCH(1-Stock!$R$2+1,Stock!$S$5:$S$500,0))="",INDEX(Stock!$B$5:$B$500,MATCH(1-Stock!$R$2+1,Stock!$S$5:$S$500,0))=0,INDEX(Stock!$B$5:$B$500,MATCH(1-Stock!$R$2+1,Stock!$S$5:$S$500,0))="0"),"",INDEX(Stock!$B$5:$B$500,MATCH(1-Stock!$R$2+1,Stock!$S$5:$S$500,0)))&lt;&gt;"",IF(OR(INDEX(Stock!$G$5:$G$500,MATCH(1-Stock!$R$2+1,Stock!$S$5:$S$500,0))="",INDEX(Stock!$G$5:$G$500,MATCH(1-Stock!$R$2+1,Stock!$S$5:$S$500,0))=0,INDEX(Stock!$G$5:$G$500,MATCH(1-Stock!$R$2+1,Stock!$S$5:$S$500,0))="0"),"",INDEX(Stock!$G$5:$G$500,MATCH(1-Stock!$R$2+1,Stock!$S$5:$S$500,0)))&lt;&gt;"")," · ","")&amp;IF(OR(INDEX(Stock!$G$5:$G$500,MATCH(1-Stock!$R$2+1,Stock!$S$5:$S$500,0))="",INDEX(Stock!$G$5:$G$500,MATCH(1-Stock!$R$2+1,Stock!$S$5:$S$500,0))=0,INDEX(Stock!$G$5:$G$500,MATCH(1-Stock!$R$2+1,Stock!$S$5:$S$500,0))="0"),"",INDEX(Stock!$G$5:$G$500,MATCH(1-Stock!$R$2+1,Stock!$S$5:$S$500,0)))),"")</f>
        <v>Steckverbinder · B4B-PH-K-S</v>
      </c>
      <c r="C4" s="72"/>
      <c r="D4" s="74" t="str">
        <f>IFERROR(IF(2&lt;Stock!$R$2,"",IF(OR(INDEX(Stock!$B$5:$B$500,MATCH(2-Stock!$R$2+1,Stock!$S$5:$S$500,0))="",INDEX(Stock!$B$5:$B$500,MATCH(2-Stock!$R$2+1,Stock!$S$5:$S$500,0))=0,INDEX(Stock!$B$5:$B$500,MATCH(2-Stock!$R$2+1,Stock!$S$5:$S$500,0))="0"),"",INDEX(Stock!$B$5:$B$500,MATCH(2-Stock!$R$2+1,Stock!$S$5:$S$500,0)))&amp;IF(AND(IF(OR(INDEX(Stock!$B$5:$B$500,MATCH(2-Stock!$R$2+1,Stock!$S$5:$S$500,0))="",INDEX(Stock!$B$5:$B$500,MATCH(2-Stock!$R$2+1,Stock!$S$5:$S$500,0))=0,INDEX(Stock!$B$5:$B$500,MATCH(2-Stock!$R$2+1,Stock!$S$5:$S$500,0))="0"),"",INDEX(Stock!$B$5:$B$500,MATCH(2-Stock!$R$2+1,Stock!$S$5:$S$500,0)))&lt;&gt;"",IF(OR(INDEX(Stock!$G$5:$G$500,MATCH(2-Stock!$R$2+1,Stock!$S$5:$S$500,0))="",INDEX(Stock!$G$5:$G$500,MATCH(2-Stock!$R$2+1,Stock!$S$5:$S$500,0))=0,INDEX(Stock!$G$5:$G$500,MATCH(2-Stock!$R$2+1,Stock!$S$5:$S$500,0))="0"),"",INDEX(Stock!$G$5:$G$500,MATCH(2-Stock!$R$2+1,Stock!$S$5:$S$500,0)))&lt;&gt;"")," · ","")&amp;IF(OR(INDEX(Stock!$G$5:$G$500,MATCH(2-Stock!$R$2+1,Stock!$S$5:$S$500,0))="",INDEX(Stock!$G$5:$G$500,MATCH(2-Stock!$R$2+1,Stock!$S$5:$S$500,0))=0,INDEX(Stock!$G$5:$G$500,MATCH(2-Stock!$R$2+1,Stock!$S$5:$S$500,0))="0"),"",INDEX(Stock!$G$5:$G$500,MATCH(2-Stock!$R$2+1,Stock!$S$5:$S$500,0)))),"")</f>
        <v>Steckverbinder · 90174</v>
      </c>
      <c r="E4" s="65"/>
      <c r="F4" s="74" t="str">
        <f>IFERROR(IF(3&lt;Stock!$R$2,"",IF(OR(INDEX(Stock!$B$5:$B$500,MATCH(3-Stock!$R$2+1,Stock!$S$5:$S$500,0))="",INDEX(Stock!$B$5:$B$500,MATCH(3-Stock!$R$2+1,Stock!$S$5:$S$500,0))=0,INDEX(Stock!$B$5:$B$500,MATCH(3-Stock!$R$2+1,Stock!$S$5:$S$500,0))="0"),"",INDEX(Stock!$B$5:$B$500,MATCH(3-Stock!$R$2+1,Stock!$S$5:$S$500,0)))&amp;IF(AND(IF(OR(INDEX(Stock!$B$5:$B$500,MATCH(3-Stock!$R$2+1,Stock!$S$5:$S$500,0))="",INDEX(Stock!$B$5:$B$500,MATCH(3-Stock!$R$2+1,Stock!$S$5:$S$500,0))=0,INDEX(Stock!$B$5:$B$500,MATCH(3-Stock!$R$2+1,Stock!$S$5:$S$500,0))="0"),"",INDEX(Stock!$B$5:$B$500,MATCH(3-Stock!$R$2+1,Stock!$S$5:$S$500,0)))&lt;&gt;"",IF(OR(INDEX(Stock!$G$5:$G$500,MATCH(3-Stock!$R$2+1,Stock!$S$5:$S$500,0))="",INDEX(Stock!$G$5:$G$500,MATCH(3-Stock!$R$2+1,Stock!$S$5:$S$500,0))=0,INDEX(Stock!$G$5:$G$500,MATCH(3-Stock!$R$2+1,Stock!$S$5:$S$500,0))="0"),"",INDEX(Stock!$G$5:$G$500,MATCH(3-Stock!$R$2+1,Stock!$S$5:$S$500,0)))&lt;&gt;"")," · ","")&amp;IF(OR(INDEX(Stock!$G$5:$G$500,MATCH(3-Stock!$R$2+1,Stock!$S$5:$S$500,0))="",INDEX(Stock!$G$5:$G$500,MATCH(3-Stock!$R$2+1,Stock!$S$5:$S$500,0))=0,INDEX(Stock!$G$5:$G$500,MATCH(3-Stock!$R$2+1,Stock!$S$5:$S$500,0))="0"),"",INDEX(Stock!$G$5:$G$500,MATCH(3-Stock!$R$2+1,Stock!$S$5:$S$500,0)))),"")</f>
        <v>EEPROM · 24LC32A-I/SN</v>
      </c>
    </row>
    <row r="5" spans="1:6" ht="22" customHeight="1" x14ac:dyDescent="0.2">
      <c r="A5" s="62"/>
      <c r="B5" s="63" t="str">
        <f>IFERROR(IF(4&lt;Stock!$R$2,"",INDEX(Stock!$A$5:$A$500,MATCH(4-Stock!$R$2+1,Stock!$S$5:$S$500,0))),"")</f>
        <v>ENP-00127</v>
      </c>
      <c r="C5" s="62"/>
      <c r="D5" s="64" t="str">
        <f>IFERROR(IF(5&lt;Stock!$R$2,"",INDEX(Stock!$A$5:$A$500,MATCH(5-Stock!$R$2+1,Stock!$S$5:$S$500,0))),"")</f>
        <v/>
      </c>
      <c r="E5" s="65"/>
      <c r="F5" s="64" t="str">
        <f>IFERROR(IF(6&lt;Stock!$R$2,"",INDEX(Stock!$A$5:$A$500,MATCH(6-Stock!$R$2+1,Stock!$S$5:$S$500,0))),"")</f>
        <v/>
      </c>
    </row>
    <row r="6" spans="1:6" ht="28" customHeight="1" x14ac:dyDescent="0.15">
      <c r="A6" s="66"/>
      <c r="B6" s="67" t="str">
        <f>IFERROR(IF(4&lt;Stock!$R$2,"",IF(IF(OR(INDEX(Stock!$D$5:$D$500,MATCH(4-Stock!$R$2+1,Stock!$S$5:$S$500,0))="",INDEX(Stock!$D$5:$D$500,MATCH(4-Stock!$R$2+1,Stock!$S$5:$S$500,0))=0,INDEX(Stock!$D$5:$D$500,MATCH(4-Stock!$R$2+1,Stock!$S$5:$S$500,0))="0"),"",INDEX(Stock!$D$5:$D$500,MATCH(4-Stock!$R$2+1,Stock!$S$5:$S$500,0)))&lt;&gt;"",IF(OR(INDEX(Stock!$D$5:$D$500,MATCH(4-Stock!$R$2+1,Stock!$S$5:$S$500,0))="",INDEX(Stock!$D$5:$D$500,MATCH(4-Stock!$R$2+1,Stock!$S$5:$S$500,0))=0,INDEX(Stock!$D$5:$D$500,MATCH(4-Stock!$R$2+1,Stock!$S$5:$S$500,0))="0"),"",INDEX(Stock!$D$5:$D$500,MATCH(4-Stock!$R$2+1,Stock!$S$5:$S$500,0))),IF(OR(INDEX(Stock!$C$5:$C$500,MATCH(4-Stock!$R$2+1,Stock!$S$5:$S$500,0))="",INDEX(Stock!$C$5:$C$500,MATCH(4-Stock!$R$2+1,Stock!$S$5:$S$500,0))=0,INDEX(Stock!$C$5:$C$500,MATCH(4-Stock!$R$2+1,Stock!$S$5:$S$500,0))="0"),"",INDEX(Stock!$C$5:$C$500,MATCH(4-Stock!$R$2+1,Stock!$S$5:$S$500,0))))),"")</f>
        <v>JST-PH 4-polig zum Mainboard; Länge offen</v>
      </c>
      <c r="C6" s="66"/>
      <c r="D6" s="68" t="str">
        <f>IFERROR(IF(5&lt;Stock!$R$2,"",IF(IF(OR(INDEX(Stock!$D$5:$D$500,MATCH(5-Stock!$R$2+1,Stock!$S$5:$S$500,0))="",INDEX(Stock!$D$5:$D$500,MATCH(5-Stock!$R$2+1,Stock!$S$5:$S$500,0))=0,INDEX(Stock!$D$5:$D$500,MATCH(5-Stock!$R$2+1,Stock!$S$5:$S$500,0))="0"),"",INDEX(Stock!$D$5:$D$500,MATCH(5-Stock!$R$2+1,Stock!$S$5:$S$500,0)))&lt;&gt;"",IF(OR(INDEX(Stock!$D$5:$D$500,MATCH(5-Stock!$R$2+1,Stock!$S$5:$S$500,0))="",INDEX(Stock!$D$5:$D$500,MATCH(5-Stock!$R$2+1,Stock!$S$5:$S$500,0))=0,INDEX(Stock!$D$5:$D$500,MATCH(5-Stock!$R$2+1,Stock!$S$5:$S$500,0))="0"),"",INDEX(Stock!$D$5:$D$500,MATCH(5-Stock!$R$2+1,Stock!$S$5:$S$500,0))),IF(OR(INDEX(Stock!$C$5:$C$500,MATCH(5-Stock!$R$2+1,Stock!$S$5:$S$500,0))="",INDEX(Stock!$C$5:$C$500,MATCH(5-Stock!$R$2+1,Stock!$S$5:$S$500,0))=0,INDEX(Stock!$C$5:$C$500,MATCH(5-Stock!$R$2+1,Stock!$S$5:$S$500,0))="0"),"",INDEX(Stock!$C$5:$C$500,MATCH(5-Stock!$R$2+1,Stock!$S$5:$S$500,0))))),"")</f>
        <v/>
      </c>
      <c r="E6" s="65"/>
      <c r="F6" s="68" t="str">
        <f>IFERROR(IF(6&lt;Stock!$R$2,"",IF(IF(OR(INDEX(Stock!$D$5:$D$500,MATCH(6-Stock!$R$2+1,Stock!$S$5:$S$500,0))="",INDEX(Stock!$D$5:$D$500,MATCH(6-Stock!$R$2+1,Stock!$S$5:$S$500,0))=0,INDEX(Stock!$D$5:$D$500,MATCH(6-Stock!$R$2+1,Stock!$S$5:$S$500,0))="0"),"",INDEX(Stock!$D$5:$D$500,MATCH(6-Stock!$R$2+1,Stock!$S$5:$S$500,0)))&lt;&gt;"",IF(OR(INDEX(Stock!$D$5:$D$500,MATCH(6-Stock!$R$2+1,Stock!$S$5:$S$500,0))="",INDEX(Stock!$D$5:$D$500,MATCH(6-Stock!$R$2+1,Stock!$S$5:$S$500,0))=0,INDEX(Stock!$D$5:$D$500,MATCH(6-Stock!$R$2+1,Stock!$S$5:$S$500,0))="0"),"",INDEX(Stock!$D$5:$D$500,MATCH(6-Stock!$R$2+1,Stock!$S$5:$S$500,0))),IF(OR(INDEX(Stock!$C$5:$C$500,MATCH(6-Stock!$R$2+1,Stock!$S$5:$S$500,0))="",INDEX(Stock!$C$5:$C$500,MATCH(6-Stock!$R$2+1,Stock!$S$5:$S$500,0))=0,INDEX(Stock!$C$5:$C$500,MATCH(6-Stock!$R$2+1,Stock!$S$5:$S$500,0))="0"),"",INDEX(Stock!$C$5:$C$500,MATCH(6-Stock!$R$2+1,Stock!$S$5:$S$500,0))))),"")</f>
        <v/>
      </c>
    </row>
    <row r="7" spans="1:6" ht="26" customHeight="1" x14ac:dyDescent="0.15">
      <c r="A7" s="69"/>
      <c r="B7" s="70" t="str">
        <f>IFERROR(IF(4&lt;Stock!$R$2,"",IF(IF(OR(INDEX(Stock!$D$5:$D$500,MATCH(4-Stock!$R$2+1,Stock!$S$5:$S$500,0))="",INDEX(Stock!$D$5:$D$500,MATCH(4-Stock!$R$2+1,Stock!$S$5:$S$500,0))=0,INDEX(Stock!$D$5:$D$500,MATCH(4-Stock!$R$2+1,Stock!$S$5:$S$500,0))="0"),"",INDEX(Stock!$D$5:$D$500,MATCH(4-Stock!$R$2+1,Stock!$S$5:$S$500,0)))&lt;&gt;"",IF(OR(INDEX(Stock!$C$5:$C$500,MATCH(4-Stock!$R$2+1,Stock!$S$5:$S$500,0))="",INDEX(Stock!$C$5:$C$500,MATCH(4-Stock!$R$2+1,Stock!$S$5:$S$500,0))=0,INDEX(Stock!$C$5:$C$500,MATCH(4-Stock!$R$2+1,Stock!$S$5:$S$500,0))="0"),"",INDEX(Stock!$C$5:$C$500,MATCH(4-Stock!$R$2+1,Stock!$S$5:$S$500,0))),IF(OR(INDEX(Stock!$E$5:$E$500,MATCH(4-Stock!$R$2+1,Stock!$S$5:$S$500,0))="",INDEX(Stock!$E$5:$E$500,MATCH(4-Stock!$R$2+1,Stock!$S$5:$S$500,0))=0,INDEX(Stock!$E$5:$E$500,MATCH(4-Stock!$R$2+1,Stock!$S$5:$S$500,0))="0"),"",INDEX(Stock!$E$5:$E$500,MATCH(4-Stock!$R$2+1,Stock!$S$5:$S$500,0))))),"")</f>
        <v>SCT013Head ADC-Pigtail, direkt angelötet</v>
      </c>
      <c r="C7" s="69"/>
      <c r="D7" s="71" t="str">
        <f>IFERROR(IF(5&lt;Stock!$R$2,"",IF(IF(OR(INDEX(Stock!$D$5:$D$500,MATCH(5-Stock!$R$2+1,Stock!$S$5:$S$500,0))="",INDEX(Stock!$D$5:$D$500,MATCH(5-Stock!$R$2+1,Stock!$S$5:$S$500,0))=0,INDEX(Stock!$D$5:$D$500,MATCH(5-Stock!$R$2+1,Stock!$S$5:$S$500,0))="0"),"",INDEX(Stock!$D$5:$D$500,MATCH(5-Stock!$R$2+1,Stock!$S$5:$S$500,0)))&lt;&gt;"",IF(OR(INDEX(Stock!$C$5:$C$500,MATCH(5-Stock!$R$2+1,Stock!$S$5:$S$500,0))="",INDEX(Stock!$C$5:$C$500,MATCH(5-Stock!$R$2+1,Stock!$S$5:$S$500,0))=0,INDEX(Stock!$C$5:$C$500,MATCH(5-Stock!$R$2+1,Stock!$S$5:$S$500,0))="0"),"",INDEX(Stock!$C$5:$C$500,MATCH(5-Stock!$R$2+1,Stock!$S$5:$S$500,0))),IF(OR(INDEX(Stock!$E$5:$E$500,MATCH(5-Stock!$R$2+1,Stock!$S$5:$S$500,0))="",INDEX(Stock!$E$5:$E$500,MATCH(5-Stock!$R$2+1,Stock!$S$5:$S$500,0))=0,INDEX(Stock!$E$5:$E$500,MATCH(5-Stock!$R$2+1,Stock!$S$5:$S$500,0))="0"),"",INDEX(Stock!$E$5:$E$500,MATCH(5-Stock!$R$2+1,Stock!$S$5:$S$500,0))))),"")</f>
        <v/>
      </c>
      <c r="E7" s="65"/>
      <c r="F7" s="71" t="str">
        <f>IFERROR(IF(6&lt;Stock!$R$2,"",IF(IF(OR(INDEX(Stock!$D$5:$D$500,MATCH(6-Stock!$R$2+1,Stock!$S$5:$S$500,0))="",INDEX(Stock!$D$5:$D$500,MATCH(6-Stock!$R$2+1,Stock!$S$5:$S$500,0))=0,INDEX(Stock!$D$5:$D$500,MATCH(6-Stock!$R$2+1,Stock!$S$5:$S$500,0))="0"),"",INDEX(Stock!$D$5:$D$500,MATCH(6-Stock!$R$2+1,Stock!$S$5:$S$500,0)))&lt;&gt;"",IF(OR(INDEX(Stock!$C$5:$C$500,MATCH(6-Stock!$R$2+1,Stock!$S$5:$S$500,0))="",INDEX(Stock!$C$5:$C$500,MATCH(6-Stock!$R$2+1,Stock!$S$5:$S$500,0))=0,INDEX(Stock!$C$5:$C$500,MATCH(6-Stock!$R$2+1,Stock!$S$5:$S$500,0))="0"),"",INDEX(Stock!$C$5:$C$500,MATCH(6-Stock!$R$2+1,Stock!$S$5:$S$500,0))),IF(OR(INDEX(Stock!$E$5:$E$500,MATCH(6-Stock!$R$2+1,Stock!$S$5:$S$500,0))="",INDEX(Stock!$E$5:$E$500,MATCH(6-Stock!$R$2+1,Stock!$S$5:$S$500,0))=0,INDEX(Stock!$E$5:$E$500,MATCH(6-Stock!$R$2+1,Stock!$S$5:$S$500,0))="0"),"",INDEX(Stock!$E$5:$E$500,MATCH(6-Stock!$R$2+1,Stock!$S$5:$S$500,0))))),"")</f>
        <v/>
      </c>
    </row>
    <row r="8" spans="1:6" ht="29" customHeight="1" x14ac:dyDescent="0.15">
      <c r="A8" s="72"/>
      <c r="B8" s="73" t="str">
        <f>IFERROR(IF(4&lt;Stock!$R$2,"",IF(OR(INDEX(Stock!$B$5:$B$500,MATCH(4-Stock!$R$2+1,Stock!$S$5:$S$500,0))="",INDEX(Stock!$B$5:$B$500,MATCH(4-Stock!$R$2+1,Stock!$S$5:$S$500,0))=0,INDEX(Stock!$B$5:$B$500,MATCH(4-Stock!$R$2+1,Stock!$S$5:$S$500,0))="0"),"",INDEX(Stock!$B$5:$B$500,MATCH(4-Stock!$R$2+1,Stock!$S$5:$S$500,0)))&amp;IF(AND(IF(OR(INDEX(Stock!$B$5:$B$500,MATCH(4-Stock!$R$2+1,Stock!$S$5:$S$500,0))="",INDEX(Stock!$B$5:$B$500,MATCH(4-Stock!$R$2+1,Stock!$S$5:$S$500,0))=0,INDEX(Stock!$B$5:$B$500,MATCH(4-Stock!$R$2+1,Stock!$S$5:$S$500,0))="0"),"",INDEX(Stock!$B$5:$B$500,MATCH(4-Stock!$R$2+1,Stock!$S$5:$S$500,0)))&lt;&gt;"",IF(OR(INDEX(Stock!$G$5:$G$500,MATCH(4-Stock!$R$2+1,Stock!$S$5:$S$500,0))="",INDEX(Stock!$G$5:$G$500,MATCH(4-Stock!$R$2+1,Stock!$S$5:$S$500,0))=0,INDEX(Stock!$G$5:$G$500,MATCH(4-Stock!$R$2+1,Stock!$S$5:$S$500,0))="0"),"",INDEX(Stock!$G$5:$G$500,MATCH(4-Stock!$R$2+1,Stock!$S$5:$S$500,0)))&lt;&gt;"")," · ","")&amp;IF(OR(INDEX(Stock!$G$5:$G$500,MATCH(4-Stock!$R$2+1,Stock!$S$5:$S$500,0))="",INDEX(Stock!$G$5:$G$500,MATCH(4-Stock!$R$2+1,Stock!$S$5:$S$500,0))=0,INDEX(Stock!$G$5:$G$500,MATCH(4-Stock!$R$2+1,Stock!$S$5:$S$500,0))="0"),"",INDEX(Stock!$G$5:$G$500,MATCH(4-Stock!$R$2+1,Stock!$S$5:$S$500,0)))),"")</f>
        <v>Kabelsatz</v>
      </c>
      <c r="C8" s="72"/>
      <c r="D8" s="74" t="str">
        <f>IFERROR(IF(5&lt;Stock!$R$2,"",IF(OR(INDEX(Stock!$B$5:$B$500,MATCH(5-Stock!$R$2+1,Stock!$S$5:$S$500,0))="",INDEX(Stock!$B$5:$B$500,MATCH(5-Stock!$R$2+1,Stock!$S$5:$S$500,0))=0,INDEX(Stock!$B$5:$B$500,MATCH(5-Stock!$R$2+1,Stock!$S$5:$S$500,0))="0"),"",INDEX(Stock!$B$5:$B$500,MATCH(5-Stock!$R$2+1,Stock!$S$5:$S$500,0)))&amp;IF(AND(IF(OR(INDEX(Stock!$B$5:$B$500,MATCH(5-Stock!$R$2+1,Stock!$S$5:$S$500,0))="",INDEX(Stock!$B$5:$B$500,MATCH(5-Stock!$R$2+1,Stock!$S$5:$S$500,0))=0,INDEX(Stock!$B$5:$B$500,MATCH(5-Stock!$R$2+1,Stock!$S$5:$S$500,0))="0"),"",INDEX(Stock!$B$5:$B$500,MATCH(5-Stock!$R$2+1,Stock!$S$5:$S$500,0)))&lt;&gt;"",IF(OR(INDEX(Stock!$G$5:$G$500,MATCH(5-Stock!$R$2+1,Stock!$S$5:$S$500,0))="",INDEX(Stock!$G$5:$G$500,MATCH(5-Stock!$R$2+1,Stock!$S$5:$S$500,0))=0,INDEX(Stock!$G$5:$G$500,MATCH(5-Stock!$R$2+1,Stock!$S$5:$S$500,0))="0"),"",INDEX(Stock!$G$5:$G$500,MATCH(5-Stock!$R$2+1,Stock!$S$5:$S$500,0)))&lt;&gt;"")," · ","")&amp;IF(OR(INDEX(Stock!$G$5:$G$500,MATCH(5-Stock!$R$2+1,Stock!$S$5:$S$500,0))="",INDEX(Stock!$G$5:$G$500,MATCH(5-Stock!$R$2+1,Stock!$S$5:$S$500,0))=0,INDEX(Stock!$G$5:$G$500,MATCH(5-Stock!$R$2+1,Stock!$S$5:$S$500,0))="0"),"",INDEX(Stock!$G$5:$G$500,MATCH(5-Stock!$R$2+1,Stock!$S$5:$S$500,0)))),"")</f>
        <v/>
      </c>
      <c r="E8" s="65"/>
      <c r="F8" s="74" t="str">
        <f>IFERROR(IF(6&lt;Stock!$R$2,"",IF(OR(INDEX(Stock!$B$5:$B$500,MATCH(6-Stock!$R$2+1,Stock!$S$5:$S$500,0))="",INDEX(Stock!$B$5:$B$500,MATCH(6-Stock!$R$2+1,Stock!$S$5:$S$500,0))=0,INDEX(Stock!$B$5:$B$500,MATCH(6-Stock!$R$2+1,Stock!$S$5:$S$500,0))="0"),"",INDEX(Stock!$B$5:$B$500,MATCH(6-Stock!$R$2+1,Stock!$S$5:$S$500,0)))&amp;IF(AND(IF(OR(INDEX(Stock!$B$5:$B$500,MATCH(6-Stock!$R$2+1,Stock!$S$5:$S$500,0))="",INDEX(Stock!$B$5:$B$500,MATCH(6-Stock!$R$2+1,Stock!$S$5:$S$500,0))=0,INDEX(Stock!$B$5:$B$500,MATCH(6-Stock!$R$2+1,Stock!$S$5:$S$500,0))="0"),"",INDEX(Stock!$B$5:$B$500,MATCH(6-Stock!$R$2+1,Stock!$S$5:$S$500,0)))&lt;&gt;"",IF(OR(INDEX(Stock!$G$5:$G$500,MATCH(6-Stock!$R$2+1,Stock!$S$5:$S$500,0))="",INDEX(Stock!$G$5:$G$500,MATCH(6-Stock!$R$2+1,Stock!$S$5:$S$500,0))=0,INDEX(Stock!$G$5:$G$500,MATCH(6-Stock!$R$2+1,Stock!$S$5:$S$500,0))="0"),"",INDEX(Stock!$G$5:$G$500,MATCH(6-Stock!$R$2+1,Stock!$S$5:$S$500,0)))&lt;&gt;"")," · ","")&amp;IF(OR(INDEX(Stock!$G$5:$G$500,MATCH(6-Stock!$R$2+1,Stock!$S$5:$S$500,0))="",INDEX(Stock!$G$5:$G$500,MATCH(6-Stock!$R$2+1,Stock!$S$5:$S$500,0))=0,INDEX(Stock!$G$5:$G$500,MATCH(6-Stock!$R$2+1,Stock!$S$5:$S$500,0))="0"),"",INDEX(Stock!$G$5:$G$500,MATCH(6-Stock!$R$2+1,Stock!$S$5:$S$500,0)))),"")</f>
        <v/>
      </c>
    </row>
    <row r="9" spans="1:6" ht="22" customHeight="1" x14ac:dyDescent="0.2">
      <c r="A9" s="62"/>
      <c r="B9" s="63" t="str">
        <f>IFERROR(IF(7&lt;Stock!$R$2,"",INDEX(Stock!$A$5:$A$500,MATCH(7-Stock!$R$2+1,Stock!$S$5:$S$500,0))),"")</f>
        <v/>
      </c>
      <c r="C9" s="62"/>
      <c r="D9" s="64" t="str">
        <f>IFERROR(IF(8&lt;Stock!$R$2,"",INDEX(Stock!$A$5:$A$500,MATCH(8-Stock!$R$2+1,Stock!$S$5:$S$500,0))),"")</f>
        <v/>
      </c>
      <c r="E9" s="65"/>
      <c r="F9" s="64" t="str">
        <f>IFERROR(IF(9&lt;Stock!$R$2,"",INDEX(Stock!$A$5:$A$500,MATCH(9-Stock!$R$2+1,Stock!$S$5:$S$500,0))),"")</f>
        <v/>
      </c>
    </row>
    <row r="10" spans="1:6" ht="28" customHeight="1" x14ac:dyDescent="0.15">
      <c r="A10" s="66"/>
      <c r="B10" s="67" t="str">
        <f>IFERROR(IF(7&lt;Stock!$R$2,"",IF(IF(OR(INDEX(Stock!$D$5:$D$500,MATCH(7-Stock!$R$2+1,Stock!$S$5:$S$500,0))="",INDEX(Stock!$D$5:$D$500,MATCH(7-Stock!$R$2+1,Stock!$S$5:$S$500,0))=0,INDEX(Stock!$D$5:$D$500,MATCH(7-Stock!$R$2+1,Stock!$S$5:$S$500,0))="0"),"",INDEX(Stock!$D$5:$D$500,MATCH(7-Stock!$R$2+1,Stock!$S$5:$S$500,0)))&lt;&gt;"",IF(OR(INDEX(Stock!$D$5:$D$500,MATCH(7-Stock!$R$2+1,Stock!$S$5:$S$500,0))="",INDEX(Stock!$D$5:$D$500,MATCH(7-Stock!$R$2+1,Stock!$S$5:$S$500,0))=0,INDEX(Stock!$D$5:$D$500,MATCH(7-Stock!$R$2+1,Stock!$S$5:$S$500,0))="0"),"",INDEX(Stock!$D$5:$D$500,MATCH(7-Stock!$R$2+1,Stock!$S$5:$S$500,0))),IF(OR(INDEX(Stock!$C$5:$C$500,MATCH(7-Stock!$R$2+1,Stock!$S$5:$S$500,0))="",INDEX(Stock!$C$5:$C$500,MATCH(7-Stock!$R$2+1,Stock!$S$5:$S$500,0))=0,INDEX(Stock!$C$5:$C$500,MATCH(7-Stock!$R$2+1,Stock!$S$5:$S$500,0))="0"),"",INDEX(Stock!$C$5:$C$500,MATCH(7-Stock!$R$2+1,Stock!$S$5:$S$500,0))))),"")</f>
        <v/>
      </c>
      <c r="C10" s="66"/>
      <c r="D10" s="68" t="str">
        <f>IFERROR(IF(8&lt;Stock!$R$2,"",IF(IF(OR(INDEX(Stock!$D$5:$D$500,MATCH(8-Stock!$R$2+1,Stock!$S$5:$S$500,0))="",INDEX(Stock!$D$5:$D$500,MATCH(8-Stock!$R$2+1,Stock!$S$5:$S$500,0))=0,INDEX(Stock!$D$5:$D$500,MATCH(8-Stock!$R$2+1,Stock!$S$5:$S$500,0))="0"),"",INDEX(Stock!$D$5:$D$500,MATCH(8-Stock!$R$2+1,Stock!$S$5:$S$500,0)))&lt;&gt;"",IF(OR(INDEX(Stock!$D$5:$D$500,MATCH(8-Stock!$R$2+1,Stock!$S$5:$S$500,0))="",INDEX(Stock!$D$5:$D$500,MATCH(8-Stock!$R$2+1,Stock!$S$5:$S$500,0))=0,INDEX(Stock!$D$5:$D$500,MATCH(8-Stock!$R$2+1,Stock!$S$5:$S$500,0))="0"),"",INDEX(Stock!$D$5:$D$500,MATCH(8-Stock!$R$2+1,Stock!$S$5:$S$500,0))),IF(OR(INDEX(Stock!$C$5:$C$500,MATCH(8-Stock!$R$2+1,Stock!$S$5:$S$500,0))="",INDEX(Stock!$C$5:$C$500,MATCH(8-Stock!$R$2+1,Stock!$S$5:$S$500,0))=0,INDEX(Stock!$C$5:$C$500,MATCH(8-Stock!$R$2+1,Stock!$S$5:$S$500,0))="0"),"",INDEX(Stock!$C$5:$C$500,MATCH(8-Stock!$R$2+1,Stock!$S$5:$S$500,0))))),"")</f>
        <v/>
      </c>
      <c r="E10" s="65"/>
      <c r="F10" s="68" t="str">
        <f>IFERROR(IF(9&lt;Stock!$R$2,"",IF(IF(OR(INDEX(Stock!$D$5:$D$500,MATCH(9-Stock!$R$2+1,Stock!$S$5:$S$500,0))="",INDEX(Stock!$D$5:$D$500,MATCH(9-Stock!$R$2+1,Stock!$S$5:$S$500,0))=0,INDEX(Stock!$D$5:$D$500,MATCH(9-Stock!$R$2+1,Stock!$S$5:$S$500,0))="0"),"",INDEX(Stock!$D$5:$D$500,MATCH(9-Stock!$R$2+1,Stock!$S$5:$S$500,0)))&lt;&gt;"",IF(OR(INDEX(Stock!$D$5:$D$500,MATCH(9-Stock!$R$2+1,Stock!$S$5:$S$500,0))="",INDEX(Stock!$D$5:$D$500,MATCH(9-Stock!$R$2+1,Stock!$S$5:$S$500,0))=0,INDEX(Stock!$D$5:$D$500,MATCH(9-Stock!$R$2+1,Stock!$S$5:$S$500,0))="0"),"",INDEX(Stock!$D$5:$D$500,MATCH(9-Stock!$R$2+1,Stock!$S$5:$S$500,0))),IF(OR(INDEX(Stock!$C$5:$C$500,MATCH(9-Stock!$R$2+1,Stock!$S$5:$S$500,0))="",INDEX(Stock!$C$5:$C$500,MATCH(9-Stock!$R$2+1,Stock!$S$5:$S$500,0))=0,INDEX(Stock!$C$5:$C$500,MATCH(9-Stock!$R$2+1,Stock!$S$5:$S$500,0))="0"),"",INDEX(Stock!$C$5:$C$500,MATCH(9-Stock!$R$2+1,Stock!$S$5:$S$500,0))))),"")</f>
        <v/>
      </c>
    </row>
    <row r="11" spans="1:6" ht="26" customHeight="1" x14ac:dyDescent="0.15">
      <c r="A11" s="69"/>
      <c r="B11" s="70" t="str">
        <f>IFERROR(IF(7&lt;Stock!$R$2,"",IF(IF(OR(INDEX(Stock!$D$5:$D$500,MATCH(7-Stock!$R$2+1,Stock!$S$5:$S$500,0))="",INDEX(Stock!$D$5:$D$500,MATCH(7-Stock!$R$2+1,Stock!$S$5:$S$500,0))=0,INDEX(Stock!$D$5:$D$500,MATCH(7-Stock!$R$2+1,Stock!$S$5:$S$500,0))="0"),"",INDEX(Stock!$D$5:$D$500,MATCH(7-Stock!$R$2+1,Stock!$S$5:$S$500,0)))&lt;&gt;"",IF(OR(INDEX(Stock!$C$5:$C$500,MATCH(7-Stock!$R$2+1,Stock!$S$5:$S$500,0))="",INDEX(Stock!$C$5:$C$500,MATCH(7-Stock!$R$2+1,Stock!$S$5:$S$500,0))=0,INDEX(Stock!$C$5:$C$500,MATCH(7-Stock!$R$2+1,Stock!$S$5:$S$500,0))="0"),"",INDEX(Stock!$C$5:$C$500,MATCH(7-Stock!$R$2+1,Stock!$S$5:$S$500,0))),IF(OR(INDEX(Stock!$E$5:$E$500,MATCH(7-Stock!$R$2+1,Stock!$S$5:$S$500,0))="",INDEX(Stock!$E$5:$E$500,MATCH(7-Stock!$R$2+1,Stock!$S$5:$S$500,0))=0,INDEX(Stock!$E$5:$E$500,MATCH(7-Stock!$R$2+1,Stock!$S$5:$S$500,0))="0"),"",INDEX(Stock!$E$5:$E$500,MATCH(7-Stock!$R$2+1,Stock!$S$5:$S$500,0))))),"")</f>
        <v/>
      </c>
      <c r="C11" s="69"/>
      <c r="D11" s="71" t="str">
        <f>IFERROR(IF(8&lt;Stock!$R$2,"",IF(IF(OR(INDEX(Stock!$D$5:$D$500,MATCH(8-Stock!$R$2+1,Stock!$S$5:$S$500,0))="",INDEX(Stock!$D$5:$D$500,MATCH(8-Stock!$R$2+1,Stock!$S$5:$S$500,0))=0,INDEX(Stock!$D$5:$D$500,MATCH(8-Stock!$R$2+1,Stock!$S$5:$S$500,0))="0"),"",INDEX(Stock!$D$5:$D$500,MATCH(8-Stock!$R$2+1,Stock!$S$5:$S$500,0)))&lt;&gt;"",IF(OR(INDEX(Stock!$C$5:$C$500,MATCH(8-Stock!$R$2+1,Stock!$S$5:$S$500,0))="",INDEX(Stock!$C$5:$C$500,MATCH(8-Stock!$R$2+1,Stock!$S$5:$S$500,0))=0,INDEX(Stock!$C$5:$C$500,MATCH(8-Stock!$R$2+1,Stock!$S$5:$S$500,0))="0"),"",INDEX(Stock!$C$5:$C$500,MATCH(8-Stock!$R$2+1,Stock!$S$5:$S$500,0))),IF(OR(INDEX(Stock!$E$5:$E$500,MATCH(8-Stock!$R$2+1,Stock!$S$5:$S$500,0))="",INDEX(Stock!$E$5:$E$500,MATCH(8-Stock!$R$2+1,Stock!$S$5:$S$500,0))=0,INDEX(Stock!$E$5:$E$500,MATCH(8-Stock!$R$2+1,Stock!$S$5:$S$500,0))="0"),"",INDEX(Stock!$E$5:$E$500,MATCH(8-Stock!$R$2+1,Stock!$S$5:$S$500,0))))),"")</f>
        <v/>
      </c>
      <c r="E11" s="65"/>
      <c r="F11" s="71" t="str">
        <f>IFERROR(IF(9&lt;Stock!$R$2,"",IF(IF(OR(INDEX(Stock!$D$5:$D$500,MATCH(9-Stock!$R$2+1,Stock!$S$5:$S$500,0))="",INDEX(Stock!$D$5:$D$500,MATCH(9-Stock!$R$2+1,Stock!$S$5:$S$500,0))=0,INDEX(Stock!$D$5:$D$500,MATCH(9-Stock!$R$2+1,Stock!$S$5:$S$500,0))="0"),"",INDEX(Stock!$D$5:$D$500,MATCH(9-Stock!$R$2+1,Stock!$S$5:$S$500,0)))&lt;&gt;"",IF(OR(INDEX(Stock!$C$5:$C$500,MATCH(9-Stock!$R$2+1,Stock!$S$5:$S$500,0))="",INDEX(Stock!$C$5:$C$500,MATCH(9-Stock!$R$2+1,Stock!$S$5:$S$500,0))=0,INDEX(Stock!$C$5:$C$500,MATCH(9-Stock!$R$2+1,Stock!$S$5:$S$500,0))="0"),"",INDEX(Stock!$C$5:$C$500,MATCH(9-Stock!$R$2+1,Stock!$S$5:$S$500,0))),IF(OR(INDEX(Stock!$E$5:$E$500,MATCH(9-Stock!$R$2+1,Stock!$S$5:$S$500,0))="",INDEX(Stock!$E$5:$E$500,MATCH(9-Stock!$R$2+1,Stock!$S$5:$S$500,0))=0,INDEX(Stock!$E$5:$E$500,MATCH(9-Stock!$R$2+1,Stock!$S$5:$S$500,0))="0"),"",INDEX(Stock!$E$5:$E$500,MATCH(9-Stock!$R$2+1,Stock!$S$5:$S$500,0))))),"")</f>
        <v/>
      </c>
    </row>
    <row r="12" spans="1:6" ht="29" customHeight="1" x14ac:dyDescent="0.15">
      <c r="A12" s="72"/>
      <c r="B12" s="73" t="str">
        <f>IFERROR(IF(7&lt;Stock!$R$2,"",IF(OR(INDEX(Stock!$B$5:$B$500,MATCH(7-Stock!$R$2+1,Stock!$S$5:$S$500,0))="",INDEX(Stock!$B$5:$B$500,MATCH(7-Stock!$R$2+1,Stock!$S$5:$S$500,0))=0,INDEX(Stock!$B$5:$B$500,MATCH(7-Stock!$R$2+1,Stock!$S$5:$S$500,0))="0"),"",INDEX(Stock!$B$5:$B$500,MATCH(7-Stock!$R$2+1,Stock!$S$5:$S$500,0)))&amp;IF(AND(IF(OR(INDEX(Stock!$B$5:$B$500,MATCH(7-Stock!$R$2+1,Stock!$S$5:$S$500,0))="",INDEX(Stock!$B$5:$B$500,MATCH(7-Stock!$R$2+1,Stock!$S$5:$S$500,0))=0,INDEX(Stock!$B$5:$B$500,MATCH(7-Stock!$R$2+1,Stock!$S$5:$S$500,0))="0"),"",INDEX(Stock!$B$5:$B$500,MATCH(7-Stock!$R$2+1,Stock!$S$5:$S$500,0)))&lt;&gt;"",IF(OR(INDEX(Stock!$G$5:$G$500,MATCH(7-Stock!$R$2+1,Stock!$S$5:$S$500,0))="",INDEX(Stock!$G$5:$G$500,MATCH(7-Stock!$R$2+1,Stock!$S$5:$S$500,0))=0,INDEX(Stock!$G$5:$G$500,MATCH(7-Stock!$R$2+1,Stock!$S$5:$S$500,0))="0"),"",INDEX(Stock!$G$5:$G$500,MATCH(7-Stock!$R$2+1,Stock!$S$5:$S$500,0)))&lt;&gt;"")," · ","")&amp;IF(OR(INDEX(Stock!$G$5:$G$500,MATCH(7-Stock!$R$2+1,Stock!$S$5:$S$500,0))="",INDEX(Stock!$G$5:$G$500,MATCH(7-Stock!$R$2+1,Stock!$S$5:$S$500,0))=0,INDEX(Stock!$G$5:$G$500,MATCH(7-Stock!$R$2+1,Stock!$S$5:$S$500,0))="0"),"",INDEX(Stock!$G$5:$G$500,MATCH(7-Stock!$R$2+1,Stock!$S$5:$S$500,0)))),"")</f>
        <v/>
      </c>
      <c r="C12" s="72"/>
      <c r="D12" s="74" t="str">
        <f>IFERROR(IF(8&lt;Stock!$R$2,"",IF(OR(INDEX(Stock!$B$5:$B$500,MATCH(8-Stock!$R$2+1,Stock!$S$5:$S$500,0))="",INDEX(Stock!$B$5:$B$500,MATCH(8-Stock!$R$2+1,Stock!$S$5:$S$500,0))=0,INDEX(Stock!$B$5:$B$500,MATCH(8-Stock!$R$2+1,Stock!$S$5:$S$500,0))="0"),"",INDEX(Stock!$B$5:$B$500,MATCH(8-Stock!$R$2+1,Stock!$S$5:$S$500,0)))&amp;IF(AND(IF(OR(INDEX(Stock!$B$5:$B$500,MATCH(8-Stock!$R$2+1,Stock!$S$5:$S$500,0))="",INDEX(Stock!$B$5:$B$500,MATCH(8-Stock!$R$2+1,Stock!$S$5:$S$500,0))=0,INDEX(Stock!$B$5:$B$500,MATCH(8-Stock!$R$2+1,Stock!$S$5:$S$500,0))="0"),"",INDEX(Stock!$B$5:$B$500,MATCH(8-Stock!$R$2+1,Stock!$S$5:$S$500,0)))&lt;&gt;"",IF(OR(INDEX(Stock!$G$5:$G$500,MATCH(8-Stock!$R$2+1,Stock!$S$5:$S$500,0))="",INDEX(Stock!$G$5:$G$500,MATCH(8-Stock!$R$2+1,Stock!$S$5:$S$500,0))=0,INDEX(Stock!$G$5:$G$500,MATCH(8-Stock!$R$2+1,Stock!$S$5:$S$500,0))="0"),"",INDEX(Stock!$G$5:$G$500,MATCH(8-Stock!$R$2+1,Stock!$S$5:$S$500,0)))&lt;&gt;"")," · ","")&amp;IF(OR(INDEX(Stock!$G$5:$G$500,MATCH(8-Stock!$R$2+1,Stock!$S$5:$S$500,0))="",INDEX(Stock!$G$5:$G$500,MATCH(8-Stock!$R$2+1,Stock!$S$5:$S$500,0))=0,INDEX(Stock!$G$5:$G$500,MATCH(8-Stock!$R$2+1,Stock!$S$5:$S$500,0))="0"),"",INDEX(Stock!$G$5:$G$500,MATCH(8-Stock!$R$2+1,Stock!$S$5:$S$500,0)))),"")</f>
        <v/>
      </c>
      <c r="E12" s="65"/>
      <c r="F12" s="74" t="str">
        <f>IFERROR(IF(9&lt;Stock!$R$2,"",IF(OR(INDEX(Stock!$B$5:$B$500,MATCH(9-Stock!$R$2+1,Stock!$S$5:$S$500,0))="",INDEX(Stock!$B$5:$B$500,MATCH(9-Stock!$R$2+1,Stock!$S$5:$S$500,0))=0,INDEX(Stock!$B$5:$B$500,MATCH(9-Stock!$R$2+1,Stock!$S$5:$S$500,0))="0"),"",INDEX(Stock!$B$5:$B$500,MATCH(9-Stock!$R$2+1,Stock!$S$5:$S$500,0)))&amp;IF(AND(IF(OR(INDEX(Stock!$B$5:$B$500,MATCH(9-Stock!$R$2+1,Stock!$S$5:$S$500,0))="",INDEX(Stock!$B$5:$B$500,MATCH(9-Stock!$R$2+1,Stock!$S$5:$S$500,0))=0,INDEX(Stock!$B$5:$B$500,MATCH(9-Stock!$R$2+1,Stock!$S$5:$S$500,0))="0"),"",INDEX(Stock!$B$5:$B$500,MATCH(9-Stock!$R$2+1,Stock!$S$5:$S$500,0)))&lt;&gt;"",IF(OR(INDEX(Stock!$G$5:$G$500,MATCH(9-Stock!$R$2+1,Stock!$S$5:$S$500,0))="",INDEX(Stock!$G$5:$G$500,MATCH(9-Stock!$R$2+1,Stock!$S$5:$S$500,0))=0,INDEX(Stock!$G$5:$G$500,MATCH(9-Stock!$R$2+1,Stock!$S$5:$S$500,0))="0"),"",INDEX(Stock!$G$5:$G$500,MATCH(9-Stock!$R$2+1,Stock!$S$5:$S$500,0)))&lt;&gt;"")," · ","")&amp;IF(OR(INDEX(Stock!$G$5:$G$500,MATCH(9-Stock!$R$2+1,Stock!$S$5:$S$500,0))="",INDEX(Stock!$G$5:$G$500,MATCH(9-Stock!$R$2+1,Stock!$S$5:$S$500,0))=0,INDEX(Stock!$G$5:$G$500,MATCH(9-Stock!$R$2+1,Stock!$S$5:$S$500,0))="0"),"",INDEX(Stock!$G$5:$G$500,MATCH(9-Stock!$R$2+1,Stock!$S$5:$S$500,0)))),"")</f>
        <v/>
      </c>
    </row>
    <row r="13" spans="1:6" ht="22" customHeight="1" x14ac:dyDescent="0.2">
      <c r="A13" s="62"/>
      <c r="B13" s="63" t="str">
        <f>IFERROR(IF(10&lt;Stock!$R$2,"",INDEX(Stock!$A$5:$A$500,MATCH(10-Stock!$R$2+1,Stock!$S$5:$S$500,0))),"")</f>
        <v/>
      </c>
      <c r="C13" s="62"/>
      <c r="D13" s="64" t="str">
        <f>IFERROR(IF(11&lt;Stock!$R$2,"",INDEX(Stock!$A$5:$A$500,MATCH(11-Stock!$R$2+1,Stock!$S$5:$S$500,0))),"")</f>
        <v/>
      </c>
      <c r="E13" s="65"/>
      <c r="F13" s="64" t="str">
        <f>IFERROR(IF(12&lt;Stock!$R$2,"",INDEX(Stock!$A$5:$A$500,MATCH(12-Stock!$R$2+1,Stock!$S$5:$S$500,0))),"")</f>
        <v/>
      </c>
    </row>
    <row r="14" spans="1:6" ht="28" customHeight="1" x14ac:dyDescent="0.15">
      <c r="A14" s="66"/>
      <c r="B14" s="67" t="str">
        <f>IFERROR(IF(10&lt;Stock!$R$2,"",IF(IF(OR(INDEX(Stock!$D$5:$D$500,MATCH(10-Stock!$R$2+1,Stock!$S$5:$S$500,0))="",INDEX(Stock!$D$5:$D$500,MATCH(10-Stock!$R$2+1,Stock!$S$5:$S$500,0))=0,INDEX(Stock!$D$5:$D$500,MATCH(10-Stock!$R$2+1,Stock!$S$5:$S$500,0))="0"),"",INDEX(Stock!$D$5:$D$500,MATCH(10-Stock!$R$2+1,Stock!$S$5:$S$500,0)))&lt;&gt;"",IF(OR(INDEX(Stock!$D$5:$D$500,MATCH(10-Stock!$R$2+1,Stock!$S$5:$S$500,0))="",INDEX(Stock!$D$5:$D$500,MATCH(10-Stock!$R$2+1,Stock!$S$5:$S$500,0))=0,INDEX(Stock!$D$5:$D$500,MATCH(10-Stock!$R$2+1,Stock!$S$5:$S$500,0))="0"),"",INDEX(Stock!$D$5:$D$500,MATCH(10-Stock!$R$2+1,Stock!$S$5:$S$500,0))),IF(OR(INDEX(Stock!$C$5:$C$500,MATCH(10-Stock!$R$2+1,Stock!$S$5:$S$500,0))="",INDEX(Stock!$C$5:$C$500,MATCH(10-Stock!$R$2+1,Stock!$S$5:$S$500,0))=0,INDEX(Stock!$C$5:$C$500,MATCH(10-Stock!$R$2+1,Stock!$S$5:$S$500,0))="0"),"",INDEX(Stock!$C$5:$C$500,MATCH(10-Stock!$R$2+1,Stock!$S$5:$S$500,0))))),"")</f>
        <v/>
      </c>
      <c r="C14" s="66"/>
      <c r="D14" s="68" t="str">
        <f>IFERROR(IF(11&lt;Stock!$R$2,"",IF(IF(OR(INDEX(Stock!$D$5:$D$500,MATCH(11-Stock!$R$2+1,Stock!$S$5:$S$500,0))="",INDEX(Stock!$D$5:$D$500,MATCH(11-Stock!$R$2+1,Stock!$S$5:$S$500,0))=0,INDEX(Stock!$D$5:$D$500,MATCH(11-Stock!$R$2+1,Stock!$S$5:$S$500,0))="0"),"",INDEX(Stock!$D$5:$D$500,MATCH(11-Stock!$R$2+1,Stock!$S$5:$S$500,0)))&lt;&gt;"",IF(OR(INDEX(Stock!$D$5:$D$500,MATCH(11-Stock!$R$2+1,Stock!$S$5:$S$500,0))="",INDEX(Stock!$D$5:$D$500,MATCH(11-Stock!$R$2+1,Stock!$S$5:$S$500,0))=0,INDEX(Stock!$D$5:$D$500,MATCH(11-Stock!$R$2+1,Stock!$S$5:$S$500,0))="0"),"",INDEX(Stock!$D$5:$D$500,MATCH(11-Stock!$R$2+1,Stock!$S$5:$S$500,0))),IF(OR(INDEX(Stock!$C$5:$C$500,MATCH(11-Stock!$R$2+1,Stock!$S$5:$S$500,0))="",INDEX(Stock!$C$5:$C$500,MATCH(11-Stock!$R$2+1,Stock!$S$5:$S$500,0))=0,INDEX(Stock!$C$5:$C$500,MATCH(11-Stock!$R$2+1,Stock!$S$5:$S$500,0))="0"),"",INDEX(Stock!$C$5:$C$500,MATCH(11-Stock!$R$2+1,Stock!$S$5:$S$500,0))))),"")</f>
        <v/>
      </c>
      <c r="E14" s="65"/>
      <c r="F14" s="68" t="str">
        <f>IFERROR(IF(12&lt;Stock!$R$2,"",IF(IF(OR(INDEX(Stock!$D$5:$D$500,MATCH(12-Stock!$R$2+1,Stock!$S$5:$S$500,0))="",INDEX(Stock!$D$5:$D$500,MATCH(12-Stock!$R$2+1,Stock!$S$5:$S$500,0))=0,INDEX(Stock!$D$5:$D$500,MATCH(12-Stock!$R$2+1,Stock!$S$5:$S$500,0))="0"),"",INDEX(Stock!$D$5:$D$500,MATCH(12-Stock!$R$2+1,Stock!$S$5:$S$500,0)))&lt;&gt;"",IF(OR(INDEX(Stock!$D$5:$D$500,MATCH(12-Stock!$R$2+1,Stock!$S$5:$S$500,0))="",INDEX(Stock!$D$5:$D$500,MATCH(12-Stock!$R$2+1,Stock!$S$5:$S$500,0))=0,INDEX(Stock!$D$5:$D$500,MATCH(12-Stock!$R$2+1,Stock!$S$5:$S$500,0))="0"),"",INDEX(Stock!$D$5:$D$500,MATCH(12-Stock!$R$2+1,Stock!$S$5:$S$500,0))),IF(OR(INDEX(Stock!$C$5:$C$500,MATCH(12-Stock!$R$2+1,Stock!$S$5:$S$500,0))="",INDEX(Stock!$C$5:$C$500,MATCH(12-Stock!$R$2+1,Stock!$S$5:$S$500,0))=0,INDEX(Stock!$C$5:$C$500,MATCH(12-Stock!$R$2+1,Stock!$S$5:$S$500,0))="0"),"",INDEX(Stock!$C$5:$C$500,MATCH(12-Stock!$R$2+1,Stock!$S$5:$S$500,0))))),"")</f>
        <v/>
      </c>
    </row>
    <row r="15" spans="1:6" ht="26" customHeight="1" x14ac:dyDescent="0.15">
      <c r="A15" s="69"/>
      <c r="B15" s="70" t="str">
        <f>IFERROR(IF(10&lt;Stock!$R$2,"",IF(IF(OR(INDEX(Stock!$D$5:$D$500,MATCH(10-Stock!$R$2+1,Stock!$S$5:$S$500,0))="",INDEX(Stock!$D$5:$D$500,MATCH(10-Stock!$R$2+1,Stock!$S$5:$S$500,0))=0,INDEX(Stock!$D$5:$D$500,MATCH(10-Stock!$R$2+1,Stock!$S$5:$S$500,0))="0"),"",INDEX(Stock!$D$5:$D$500,MATCH(10-Stock!$R$2+1,Stock!$S$5:$S$500,0)))&lt;&gt;"",IF(OR(INDEX(Stock!$C$5:$C$500,MATCH(10-Stock!$R$2+1,Stock!$S$5:$S$500,0))="",INDEX(Stock!$C$5:$C$500,MATCH(10-Stock!$R$2+1,Stock!$S$5:$S$500,0))=0,INDEX(Stock!$C$5:$C$500,MATCH(10-Stock!$R$2+1,Stock!$S$5:$S$500,0))="0"),"",INDEX(Stock!$C$5:$C$500,MATCH(10-Stock!$R$2+1,Stock!$S$5:$S$500,0))),IF(OR(INDEX(Stock!$E$5:$E$500,MATCH(10-Stock!$R$2+1,Stock!$S$5:$S$500,0))="",INDEX(Stock!$E$5:$E$500,MATCH(10-Stock!$R$2+1,Stock!$S$5:$S$500,0))=0,INDEX(Stock!$E$5:$E$500,MATCH(10-Stock!$R$2+1,Stock!$S$5:$S$500,0))="0"),"",INDEX(Stock!$E$5:$E$500,MATCH(10-Stock!$R$2+1,Stock!$S$5:$S$500,0))))),"")</f>
        <v/>
      </c>
      <c r="C15" s="69"/>
      <c r="D15" s="71" t="str">
        <f>IFERROR(IF(11&lt;Stock!$R$2,"",IF(IF(OR(INDEX(Stock!$D$5:$D$500,MATCH(11-Stock!$R$2+1,Stock!$S$5:$S$500,0))="",INDEX(Stock!$D$5:$D$500,MATCH(11-Stock!$R$2+1,Stock!$S$5:$S$500,0))=0,INDEX(Stock!$D$5:$D$500,MATCH(11-Stock!$R$2+1,Stock!$S$5:$S$500,0))="0"),"",INDEX(Stock!$D$5:$D$500,MATCH(11-Stock!$R$2+1,Stock!$S$5:$S$500,0)))&lt;&gt;"",IF(OR(INDEX(Stock!$C$5:$C$500,MATCH(11-Stock!$R$2+1,Stock!$S$5:$S$500,0))="",INDEX(Stock!$C$5:$C$500,MATCH(11-Stock!$R$2+1,Stock!$S$5:$S$500,0))=0,INDEX(Stock!$C$5:$C$500,MATCH(11-Stock!$R$2+1,Stock!$S$5:$S$500,0))="0"),"",INDEX(Stock!$C$5:$C$500,MATCH(11-Stock!$R$2+1,Stock!$S$5:$S$500,0))),IF(OR(INDEX(Stock!$E$5:$E$500,MATCH(11-Stock!$R$2+1,Stock!$S$5:$S$500,0))="",INDEX(Stock!$E$5:$E$500,MATCH(11-Stock!$R$2+1,Stock!$S$5:$S$500,0))=0,INDEX(Stock!$E$5:$E$500,MATCH(11-Stock!$R$2+1,Stock!$S$5:$S$500,0))="0"),"",INDEX(Stock!$E$5:$E$500,MATCH(11-Stock!$R$2+1,Stock!$S$5:$S$500,0))))),"")</f>
        <v/>
      </c>
      <c r="E15" s="65"/>
      <c r="F15" s="71" t="str">
        <f>IFERROR(IF(12&lt;Stock!$R$2,"",IF(IF(OR(INDEX(Stock!$D$5:$D$500,MATCH(12-Stock!$R$2+1,Stock!$S$5:$S$500,0))="",INDEX(Stock!$D$5:$D$500,MATCH(12-Stock!$R$2+1,Stock!$S$5:$S$500,0))=0,INDEX(Stock!$D$5:$D$500,MATCH(12-Stock!$R$2+1,Stock!$S$5:$S$500,0))="0"),"",INDEX(Stock!$D$5:$D$500,MATCH(12-Stock!$R$2+1,Stock!$S$5:$S$500,0)))&lt;&gt;"",IF(OR(INDEX(Stock!$C$5:$C$500,MATCH(12-Stock!$R$2+1,Stock!$S$5:$S$500,0))="",INDEX(Stock!$C$5:$C$500,MATCH(12-Stock!$R$2+1,Stock!$S$5:$S$500,0))=0,INDEX(Stock!$C$5:$C$500,MATCH(12-Stock!$R$2+1,Stock!$S$5:$S$500,0))="0"),"",INDEX(Stock!$C$5:$C$500,MATCH(12-Stock!$R$2+1,Stock!$S$5:$S$500,0))),IF(OR(INDEX(Stock!$E$5:$E$500,MATCH(12-Stock!$R$2+1,Stock!$S$5:$S$500,0))="",INDEX(Stock!$E$5:$E$500,MATCH(12-Stock!$R$2+1,Stock!$S$5:$S$500,0))=0,INDEX(Stock!$E$5:$E$500,MATCH(12-Stock!$R$2+1,Stock!$S$5:$S$500,0))="0"),"",INDEX(Stock!$E$5:$E$500,MATCH(12-Stock!$R$2+1,Stock!$S$5:$S$500,0))))),"")</f>
        <v/>
      </c>
    </row>
    <row r="16" spans="1:6" ht="29" customHeight="1" x14ac:dyDescent="0.15">
      <c r="A16" s="72"/>
      <c r="B16" s="73" t="str">
        <f>IFERROR(IF(10&lt;Stock!$R$2,"",IF(OR(INDEX(Stock!$B$5:$B$500,MATCH(10-Stock!$R$2+1,Stock!$S$5:$S$500,0))="",INDEX(Stock!$B$5:$B$500,MATCH(10-Stock!$R$2+1,Stock!$S$5:$S$500,0))=0,INDEX(Stock!$B$5:$B$500,MATCH(10-Stock!$R$2+1,Stock!$S$5:$S$500,0))="0"),"",INDEX(Stock!$B$5:$B$500,MATCH(10-Stock!$R$2+1,Stock!$S$5:$S$500,0)))&amp;IF(AND(IF(OR(INDEX(Stock!$B$5:$B$500,MATCH(10-Stock!$R$2+1,Stock!$S$5:$S$500,0))="",INDEX(Stock!$B$5:$B$500,MATCH(10-Stock!$R$2+1,Stock!$S$5:$S$500,0))=0,INDEX(Stock!$B$5:$B$500,MATCH(10-Stock!$R$2+1,Stock!$S$5:$S$500,0))="0"),"",INDEX(Stock!$B$5:$B$500,MATCH(10-Stock!$R$2+1,Stock!$S$5:$S$500,0)))&lt;&gt;"",IF(OR(INDEX(Stock!$G$5:$G$500,MATCH(10-Stock!$R$2+1,Stock!$S$5:$S$500,0))="",INDEX(Stock!$G$5:$G$500,MATCH(10-Stock!$R$2+1,Stock!$S$5:$S$500,0))=0,INDEX(Stock!$G$5:$G$500,MATCH(10-Stock!$R$2+1,Stock!$S$5:$S$500,0))="0"),"",INDEX(Stock!$G$5:$G$500,MATCH(10-Stock!$R$2+1,Stock!$S$5:$S$500,0)))&lt;&gt;"")," · ","")&amp;IF(OR(INDEX(Stock!$G$5:$G$500,MATCH(10-Stock!$R$2+1,Stock!$S$5:$S$500,0))="",INDEX(Stock!$G$5:$G$500,MATCH(10-Stock!$R$2+1,Stock!$S$5:$S$500,0))=0,INDEX(Stock!$G$5:$G$500,MATCH(10-Stock!$R$2+1,Stock!$S$5:$S$500,0))="0"),"",INDEX(Stock!$G$5:$G$500,MATCH(10-Stock!$R$2+1,Stock!$S$5:$S$500,0)))),"")</f>
        <v/>
      </c>
      <c r="C16" s="72"/>
      <c r="D16" s="74" t="str">
        <f>IFERROR(IF(11&lt;Stock!$R$2,"",IF(OR(INDEX(Stock!$B$5:$B$500,MATCH(11-Stock!$R$2+1,Stock!$S$5:$S$500,0))="",INDEX(Stock!$B$5:$B$500,MATCH(11-Stock!$R$2+1,Stock!$S$5:$S$500,0))=0,INDEX(Stock!$B$5:$B$500,MATCH(11-Stock!$R$2+1,Stock!$S$5:$S$500,0))="0"),"",INDEX(Stock!$B$5:$B$500,MATCH(11-Stock!$R$2+1,Stock!$S$5:$S$500,0)))&amp;IF(AND(IF(OR(INDEX(Stock!$B$5:$B$500,MATCH(11-Stock!$R$2+1,Stock!$S$5:$S$500,0))="",INDEX(Stock!$B$5:$B$500,MATCH(11-Stock!$R$2+1,Stock!$S$5:$S$500,0))=0,INDEX(Stock!$B$5:$B$500,MATCH(11-Stock!$R$2+1,Stock!$S$5:$S$500,0))="0"),"",INDEX(Stock!$B$5:$B$500,MATCH(11-Stock!$R$2+1,Stock!$S$5:$S$500,0)))&lt;&gt;"",IF(OR(INDEX(Stock!$G$5:$G$500,MATCH(11-Stock!$R$2+1,Stock!$S$5:$S$500,0))="",INDEX(Stock!$G$5:$G$500,MATCH(11-Stock!$R$2+1,Stock!$S$5:$S$500,0))=0,INDEX(Stock!$G$5:$G$500,MATCH(11-Stock!$R$2+1,Stock!$S$5:$S$500,0))="0"),"",INDEX(Stock!$G$5:$G$500,MATCH(11-Stock!$R$2+1,Stock!$S$5:$S$500,0)))&lt;&gt;"")," · ","")&amp;IF(OR(INDEX(Stock!$G$5:$G$500,MATCH(11-Stock!$R$2+1,Stock!$S$5:$S$500,0))="",INDEX(Stock!$G$5:$G$500,MATCH(11-Stock!$R$2+1,Stock!$S$5:$S$500,0))=0,INDEX(Stock!$G$5:$G$500,MATCH(11-Stock!$R$2+1,Stock!$S$5:$S$500,0))="0"),"",INDEX(Stock!$G$5:$G$500,MATCH(11-Stock!$R$2+1,Stock!$S$5:$S$500,0)))),"")</f>
        <v/>
      </c>
      <c r="E16" s="65"/>
      <c r="F16" s="74" t="str">
        <f>IFERROR(IF(12&lt;Stock!$R$2,"",IF(OR(INDEX(Stock!$B$5:$B$500,MATCH(12-Stock!$R$2+1,Stock!$S$5:$S$500,0))="",INDEX(Stock!$B$5:$B$500,MATCH(12-Stock!$R$2+1,Stock!$S$5:$S$500,0))=0,INDEX(Stock!$B$5:$B$500,MATCH(12-Stock!$R$2+1,Stock!$S$5:$S$500,0))="0"),"",INDEX(Stock!$B$5:$B$500,MATCH(12-Stock!$R$2+1,Stock!$S$5:$S$500,0)))&amp;IF(AND(IF(OR(INDEX(Stock!$B$5:$B$500,MATCH(12-Stock!$R$2+1,Stock!$S$5:$S$500,0))="",INDEX(Stock!$B$5:$B$500,MATCH(12-Stock!$R$2+1,Stock!$S$5:$S$500,0))=0,INDEX(Stock!$B$5:$B$500,MATCH(12-Stock!$R$2+1,Stock!$S$5:$S$500,0))="0"),"",INDEX(Stock!$B$5:$B$500,MATCH(12-Stock!$R$2+1,Stock!$S$5:$S$500,0)))&lt;&gt;"",IF(OR(INDEX(Stock!$G$5:$G$500,MATCH(12-Stock!$R$2+1,Stock!$S$5:$S$500,0))="",INDEX(Stock!$G$5:$G$500,MATCH(12-Stock!$R$2+1,Stock!$S$5:$S$500,0))=0,INDEX(Stock!$G$5:$G$500,MATCH(12-Stock!$R$2+1,Stock!$S$5:$S$500,0))="0"),"",INDEX(Stock!$G$5:$G$500,MATCH(12-Stock!$R$2+1,Stock!$S$5:$S$500,0)))&lt;&gt;"")," · ","")&amp;IF(OR(INDEX(Stock!$G$5:$G$500,MATCH(12-Stock!$R$2+1,Stock!$S$5:$S$500,0))="",INDEX(Stock!$G$5:$G$500,MATCH(12-Stock!$R$2+1,Stock!$S$5:$S$500,0))=0,INDEX(Stock!$G$5:$G$500,MATCH(12-Stock!$R$2+1,Stock!$S$5:$S$500,0))="0"),"",INDEX(Stock!$G$5:$G$500,MATCH(12-Stock!$R$2+1,Stock!$S$5:$S$500,0)))),"")</f>
        <v/>
      </c>
    </row>
    <row r="17" spans="1:6" ht="22" customHeight="1" x14ac:dyDescent="0.2">
      <c r="A17" s="62"/>
      <c r="B17" s="63" t="str">
        <f>IFERROR(IF(13&lt;Stock!$R$2,"",INDEX(Stock!$A$5:$A$500,MATCH(13-Stock!$R$2+1,Stock!$S$5:$S$500,0))),"")</f>
        <v/>
      </c>
      <c r="C17" s="62"/>
      <c r="D17" s="64" t="str">
        <f>IFERROR(IF(14&lt;Stock!$R$2,"",INDEX(Stock!$A$5:$A$500,MATCH(14-Stock!$R$2+1,Stock!$S$5:$S$500,0))),"")</f>
        <v/>
      </c>
      <c r="E17" s="65"/>
      <c r="F17" s="64" t="str">
        <f>IFERROR(IF(15&lt;Stock!$R$2,"",INDEX(Stock!$A$5:$A$500,MATCH(15-Stock!$R$2+1,Stock!$S$5:$S$500,0))),"")</f>
        <v/>
      </c>
    </row>
    <row r="18" spans="1:6" ht="28" customHeight="1" x14ac:dyDescent="0.15">
      <c r="A18" s="66"/>
      <c r="B18" s="67" t="str">
        <f>IFERROR(IF(13&lt;Stock!$R$2,"",IF(IF(OR(INDEX(Stock!$D$5:$D$500,MATCH(13-Stock!$R$2+1,Stock!$S$5:$S$500,0))="",INDEX(Stock!$D$5:$D$500,MATCH(13-Stock!$R$2+1,Stock!$S$5:$S$500,0))=0,INDEX(Stock!$D$5:$D$500,MATCH(13-Stock!$R$2+1,Stock!$S$5:$S$500,0))="0"),"",INDEX(Stock!$D$5:$D$500,MATCH(13-Stock!$R$2+1,Stock!$S$5:$S$500,0)))&lt;&gt;"",IF(OR(INDEX(Stock!$D$5:$D$500,MATCH(13-Stock!$R$2+1,Stock!$S$5:$S$500,0))="",INDEX(Stock!$D$5:$D$500,MATCH(13-Stock!$R$2+1,Stock!$S$5:$S$500,0))=0,INDEX(Stock!$D$5:$D$500,MATCH(13-Stock!$R$2+1,Stock!$S$5:$S$500,0))="0"),"",INDEX(Stock!$D$5:$D$500,MATCH(13-Stock!$R$2+1,Stock!$S$5:$S$500,0))),IF(OR(INDEX(Stock!$C$5:$C$500,MATCH(13-Stock!$R$2+1,Stock!$S$5:$S$500,0))="",INDEX(Stock!$C$5:$C$500,MATCH(13-Stock!$R$2+1,Stock!$S$5:$S$500,0))=0,INDEX(Stock!$C$5:$C$500,MATCH(13-Stock!$R$2+1,Stock!$S$5:$S$500,0))="0"),"",INDEX(Stock!$C$5:$C$500,MATCH(13-Stock!$R$2+1,Stock!$S$5:$S$500,0))))),"")</f>
        <v/>
      </c>
      <c r="C18" s="66"/>
      <c r="D18" s="68" t="str">
        <f>IFERROR(IF(14&lt;Stock!$R$2,"",IF(IF(OR(INDEX(Stock!$D$5:$D$500,MATCH(14-Stock!$R$2+1,Stock!$S$5:$S$500,0))="",INDEX(Stock!$D$5:$D$500,MATCH(14-Stock!$R$2+1,Stock!$S$5:$S$500,0))=0,INDEX(Stock!$D$5:$D$500,MATCH(14-Stock!$R$2+1,Stock!$S$5:$S$500,0))="0"),"",INDEX(Stock!$D$5:$D$500,MATCH(14-Stock!$R$2+1,Stock!$S$5:$S$500,0)))&lt;&gt;"",IF(OR(INDEX(Stock!$D$5:$D$500,MATCH(14-Stock!$R$2+1,Stock!$S$5:$S$500,0))="",INDEX(Stock!$D$5:$D$500,MATCH(14-Stock!$R$2+1,Stock!$S$5:$S$500,0))=0,INDEX(Stock!$D$5:$D$500,MATCH(14-Stock!$R$2+1,Stock!$S$5:$S$500,0))="0"),"",INDEX(Stock!$D$5:$D$500,MATCH(14-Stock!$R$2+1,Stock!$S$5:$S$500,0))),IF(OR(INDEX(Stock!$C$5:$C$500,MATCH(14-Stock!$R$2+1,Stock!$S$5:$S$500,0))="",INDEX(Stock!$C$5:$C$500,MATCH(14-Stock!$R$2+1,Stock!$S$5:$S$500,0))=0,INDEX(Stock!$C$5:$C$500,MATCH(14-Stock!$R$2+1,Stock!$S$5:$S$500,0))="0"),"",INDEX(Stock!$C$5:$C$500,MATCH(14-Stock!$R$2+1,Stock!$S$5:$S$500,0))))),"")</f>
        <v/>
      </c>
      <c r="E18" s="65"/>
      <c r="F18" s="68" t="str">
        <f>IFERROR(IF(15&lt;Stock!$R$2,"",IF(IF(OR(INDEX(Stock!$D$5:$D$500,MATCH(15-Stock!$R$2+1,Stock!$S$5:$S$500,0))="",INDEX(Stock!$D$5:$D$500,MATCH(15-Stock!$R$2+1,Stock!$S$5:$S$500,0))=0,INDEX(Stock!$D$5:$D$500,MATCH(15-Stock!$R$2+1,Stock!$S$5:$S$500,0))="0"),"",INDEX(Stock!$D$5:$D$500,MATCH(15-Stock!$R$2+1,Stock!$S$5:$S$500,0)))&lt;&gt;"",IF(OR(INDEX(Stock!$D$5:$D$500,MATCH(15-Stock!$R$2+1,Stock!$S$5:$S$500,0))="",INDEX(Stock!$D$5:$D$500,MATCH(15-Stock!$R$2+1,Stock!$S$5:$S$500,0))=0,INDEX(Stock!$D$5:$D$500,MATCH(15-Stock!$R$2+1,Stock!$S$5:$S$500,0))="0"),"",INDEX(Stock!$D$5:$D$500,MATCH(15-Stock!$R$2+1,Stock!$S$5:$S$500,0))),IF(OR(INDEX(Stock!$C$5:$C$500,MATCH(15-Stock!$R$2+1,Stock!$S$5:$S$500,0))="",INDEX(Stock!$C$5:$C$500,MATCH(15-Stock!$R$2+1,Stock!$S$5:$S$500,0))=0,INDEX(Stock!$C$5:$C$500,MATCH(15-Stock!$R$2+1,Stock!$S$5:$S$500,0))="0"),"",INDEX(Stock!$C$5:$C$500,MATCH(15-Stock!$R$2+1,Stock!$S$5:$S$500,0))))),"")</f>
        <v/>
      </c>
    </row>
    <row r="19" spans="1:6" ht="26" customHeight="1" x14ac:dyDescent="0.15">
      <c r="A19" s="69"/>
      <c r="B19" s="70" t="str">
        <f>IFERROR(IF(13&lt;Stock!$R$2,"",IF(IF(OR(INDEX(Stock!$D$5:$D$500,MATCH(13-Stock!$R$2+1,Stock!$S$5:$S$500,0))="",INDEX(Stock!$D$5:$D$500,MATCH(13-Stock!$R$2+1,Stock!$S$5:$S$500,0))=0,INDEX(Stock!$D$5:$D$500,MATCH(13-Stock!$R$2+1,Stock!$S$5:$S$500,0))="0"),"",INDEX(Stock!$D$5:$D$500,MATCH(13-Stock!$R$2+1,Stock!$S$5:$S$500,0)))&lt;&gt;"",IF(OR(INDEX(Stock!$C$5:$C$500,MATCH(13-Stock!$R$2+1,Stock!$S$5:$S$500,0))="",INDEX(Stock!$C$5:$C$500,MATCH(13-Stock!$R$2+1,Stock!$S$5:$S$500,0))=0,INDEX(Stock!$C$5:$C$500,MATCH(13-Stock!$R$2+1,Stock!$S$5:$S$500,0))="0"),"",INDEX(Stock!$C$5:$C$500,MATCH(13-Stock!$R$2+1,Stock!$S$5:$S$500,0))),IF(OR(INDEX(Stock!$E$5:$E$500,MATCH(13-Stock!$R$2+1,Stock!$S$5:$S$500,0))="",INDEX(Stock!$E$5:$E$500,MATCH(13-Stock!$R$2+1,Stock!$S$5:$S$500,0))=0,INDEX(Stock!$E$5:$E$500,MATCH(13-Stock!$R$2+1,Stock!$S$5:$S$500,0))="0"),"",INDEX(Stock!$E$5:$E$500,MATCH(13-Stock!$R$2+1,Stock!$S$5:$S$500,0))))),"")</f>
        <v/>
      </c>
      <c r="C19" s="69"/>
      <c r="D19" s="71" t="str">
        <f>IFERROR(IF(14&lt;Stock!$R$2,"",IF(IF(OR(INDEX(Stock!$D$5:$D$500,MATCH(14-Stock!$R$2+1,Stock!$S$5:$S$500,0))="",INDEX(Stock!$D$5:$D$500,MATCH(14-Stock!$R$2+1,Stock!$S$5:$S$500,0))=0,INDEX(Stock!$D$5:$D$500,MATCH(14-Stock!$R$2+1,Stock!$S$5:$S$500,0))="0"),"",INDEX(Stock!$D$5:$D$500,MATCH(14-Stock!$R$2+1,Stock!$S$5:$S$500,0)))&lt;&gt;"",IF(OR(INDEX(Stock!$C$5:$C$500,MATCH(14-Stock!$R$2+1,Stock!$S$5:$S$500,0))="",INDEX(Stock!$C$5:$C$500,MATCH(14-Stock!$R$2+1,Stock!$S$5:$S$500,0))=0,INDEX(Stock!$C$5:$C$500,MATCH(14-Stock!$R$2+1,Stock!$S$5:$S$500,0))="0"),"",INDEX(Stock!$C$5:$C$500,MATCH(14-Stock!$R$2+1,Stock!$S$5:$S$500,0))),IF(OR(INDEX(Stock!$E$5:$E$500,MATCH(14-Stock!$R$2+1,Stock!$S$5:$S$500,0))="",INDEX(Stock!$E$5:$E$500,MATCH(14-Stock!$R$2+1,Stock!$S$5:$S$500,0))=0,INDEX(Stock!$E$5:$E$500,MATCH(14-Stock!$R$2+1,Stock!$S$5:$S$500,0))="0"),"",INDEX(Stock!$E$5:$E$500,MATCH(14-Stock!$R$2+1,Stock!$S$5:$S$500,0))))),"")</f>
        <v/>
      </c>
      <c r="E19" s="65"/>
      <c r="F19" s="71" t="str">
        <f>IFERROR(IF(15&lt;Stock!$R$2,"",IF(IF(OR(INDEX(Stock!$D$5:$D$500,MATCH(15-Stock!$R$2+1,Stock!$S$5:$S$500,0))="",INDEX(Stock!$D$5:$D$500,MATCH(15-Stock!$R$2+1,Stock!$S$5:$S$500,0))=0,INDEX(Stock!$D$5:$D$500,MATCH(15-Stock!$R$2+1,Stock!$S$5:$S$500,0))="0"),"",INDEX(Stock!$D$5:$D$500,MATCH(15-Stock!$R$2+1,Stock!$S$5:$S$500,0)))&lt;&gt;"",IF(OR(INDEX(Stock!$C$5:$C$500,MATCH(15-Stock!$R$2+1,Stock!$S$5:$S$500,0))="",INDEX(Stock!$C$5:$C$500,MATCH(15-Stock!$R$2+1,Stock!$S$5:$S$500,0))=0,INDEX(Stock!$C$5:$C$500,MATCH(15-Stock!$R$2+1,Stock!$S$5:$S$500,0))="0"),"",INDEX(Stock!$C$5:$C$500,MATCH(15-Stock!$R$2+1,Stock!$S$5:$S$500,0))),IF(OR(INDEX(Stock!$E$5:$E$500,MATCH(15-Stock!$R$2+1,Stock!$S$5:$S$500,0))="",INDEX(Stock!$E$5:$E$500,MATCH(15-Stock!$R$2+1,Stock!$S$5:$S$500,0))=0,INDEX(Stock!$E$5:$E$500,MATCH(15-Stock!$R$2+1,Stock!$S$5:$S$500,0))="0"),"",INDEX(Stock!$E$5:$E$500,MATCH(15-Stock!$R$2+1,Stock!$S$5:$S$500,0))))),"")</f>
        <v/>
      </c>
    </row>
    <row r="20" spans="1:6" ht="29" customHeight="1" x14ac:dyDescent="0.15">
      <c r="A20" s="72"/>
      <c r="B20" s="73" t="str">
        <f>IFERROR(IF(13&lt;Stock!$R$2,"",IF(OR(INDEX(Stock!$B$5:$B$500,MATCH(13-Stock!$R$2+1,Stock!$S$5:$S$500,0))="",INDEX(Stock!$B$5:$B$500,MATCH(13-Stock!$R$2+1,Stock!$S$5:$S$500,0))=0,INDEX(Stock!$B$5:$B$500,MATCH(13-Stock!$R$2+1,Stock!$S$5:$S$500,0))="0"),"",INDEX(Stock!$B$5:$B$500,MATCH(13-Stock!$R$2+1,Stock!$S$5:$S$500,0)))&amp;IF(AND(IF(OR(INDEX(Stock!$B$5:$B$500,MATCH(13-Stock!$R$2+1,Stock!$S$5:$S$500,0))="",INDEX(Stock!$B$5:$B$500,MATCH(13-Stock!$R$2+1,Stock!$S$5:$S$500,0))=0,INDEX(Stock!$B$5:$B$500,MATCH(13-Stock!$R$2+1,Stock!$S$5:$S$500,0))="0"),"",INDEX(Stock!$B$5:$B$500,MATCH(13-Stock!$R$2+1,Stock!$S$5:$S$500,0)))&lt;&gt;"",IF(OR(INDEX(Stock!$G$5:$G$500,MATCH(13-Stock!$R$2+1,Stock!$S$5:$S$500,0))="",INDEX(Stock!$G$5:$G$500,MATCH(13-Stock!$R$2+1,Stock!$S$5:$S$500,0))=0,INDEX(Stock!$G$5:$G$500,MATCH(13-Stock!$R$2+1,Stock!$S$5:$S$500,0))="0"),"",INDEX(Stock!$G$5:$G$500,MATCH(13-Stock!$R$2+1,Stock!$S$5:$S$500,0)))&lt;&gt;"")," · ","")&amp;IF(OR(INDEX(Stock!$G$5:$G$500,MATCH(13-Stock!$R$2+1,Stock!$S$5:$S$500,0))="",INDEX(Stock!$G$5:$G$500,MATCH(13-Stock!$R$2+1,Stock!$S$5:$S$500,0))=0,INDEX(Stock!$G$5:$G$500,MATCH(13-Stock!$R$2+1,Stock!$S$5:$S$500,0))="0"),"",INDEX(Stock!$G$5:$G$500,MATCH(13-Stock!$R$2+1,Stock!$S$5:$S$500,0)))),"")</f>
        <v/>
      </c>
      <c r="C20" s="72"/>
      <c r="D20" s="74" t="str">
        <f>IFERROR(IF(14&lt;Stock!$R$2,"",IF(OR(INDEX(Stock!$B$5:$B$500,MATCH(14-Stock!$R$2+1,Stock!$S$5:$S$500,0))="",INDEX(Stock!$B$5:$B$500,MATCH(14-Stock!$R$2+1,Stock!$S$5:$S$500,0))=0,INDEX(Stock!$B$5:$B$500,MATCH(14-Stock!$R$2+1,Stock!$S$5:$S$500,0))="0"),"",INDEX(Stock!$B$5:$B$500,MATCH(14-Stock!$R$2+1,Stock!$S$5:$S$500,0)))&amp;IF(AND(IF(OR(INDEX(Stock!$B$5:$B$500,MATCH(14-Stock!$R$2+1,Stock!$S$5:$S$500,0))="",INDEX(Stock!$B$5:$B$500,MATCH(14-Stock!$R$2+1,Stock!$S$5:$S$500,0))=0,INDEX(Stock!$B$5:$B$500,MATCH(14-Stock!$R$2+1,Stock!$S$5:$S$500,0))="0"),"",INDEX(Stock!$B$5:$B$500,MATCH(14-Stock!$R$2+1,Stock!$S$5:$S$500,0)))&lt;&gt;"",IF(OR(INDEX(Stock!$G$5:$G$500,MATCH(14-Stock!$R$2+1,Stock!$S$5:$S$500,0))="",INDEX(Stock!$G$5:$G$500,MATCH(14-Stock!$R$2+1,Stock!$S$5:$S$500,0))=0,INDEX(Stock!$G$5:$G$500,MATCH(14-Stock!$R$2+1,Stock!$S$5:$S$500,0))="0"),"",INDEX(Stock!$G$5:$G$500,MATCH(14-Stock!$R$2+1,Stock!$S$5:$S$500,0)))&lt;&gt;"")," · ","")&amp;IF(OR(INDEX(Stock!$G$5:$G$500,MATCH(14-Stock!$R$2+1,Stock!$S$5:$S$500,0))="",INDEX(Stock!$G$5:$G$500,MATCH(14-Stock!$R$2+1,Stock!$S$5:$S$500,0))=0,INDEX(Stock!$G$5:$G$500,MATCH(14-Stock!$R$2+1,Stock!$S$5:$S$500,0))="0"),"",INDEX(Stock!$G$5:$G$500,MATCH(14-Stock!$R$2+1,Stock!$S$5:$S$500,0)))),"")</f>
        <v/>
      </c>
      <c r="E20" s="65"/>
      <c r="F20" s="74" t="str">
        <f>IFERROR(IF(15&lt;Stock!$R$2,"",IF(OR(INDEX(Stock!$B$5:$B$500,MATCH(15-Stock!$R$2+1,Stock!$S$5:$S$500,0))="",INDEX(Stock!$B$5:$B$500,MATCH(15-Stock!$R$2+1,Stock!$S$5:$S$500,0))=0,INDEX(Stock!$B$5:$B$500,MATCH(15-Stock!$R$2+1,Stock!$S$5:$S$500,0))="0"),"",INDEX(Stock!$B$5:$B$500,MATCH(15-Stock!$R$2+1,Stock!$S$5:$S$500,0)))&amp;IF(AND(IF(OR(INDEX(Stock!$B$5:$B$500,MATCH(15-Stock!$R$2+1,Stock!$S$5:$S$500,0))="",INDEX(Stock!$B$5:$B$500,MATCH(15-Stock!$R$2+1,Stock!$S$5:$S$500,0))=0,INDEX(Stock!$B$5:$B$500,MATCH(15-Stock!$R$2+1,Stock!$S$5:$S$500,0))="0"),"",INDEX(Stock!$B$5:$B$500,MATCH(15-Stock!$R$2+1,Stock!$S$5:$S$500,0)))&lt;&gt;"",IF(OR(INDEX(Stock!$G$5:$G$500,MATCH(15-Stock!$R$2+1,Stock!$S$5:$S$500,0))="",INDEX(Stock!$G$5:$G$500,MATCH(15-Stock!$R$2+1,Stock!$S$5:$S$500,0))=0,INDEX(Stock!$G$5:$G$500,MATCH(15-Stock!$R$2+1,Stock!$S$5:$S$500,0))="0"),"",INDEX(Stock!$G$5:$G$500,MATCH(15-Stock!$R$2+1,Stock!$S$5:$S$500,0)))&lt;&gt;"")," · ","")&amp;IF(OR(INDEX(Stock!$G$5:$G$500,MATCH(15-Stock!$R$2+1,Stock!$S$5:$S$500,0))="",INDEX(Stock!$G$5:$G$500,MATCH(15-Stock!$R$2+1,Stock!$S$5:$S$500,0))=0,INDEX(Stock!$G$5:$G$500,MATCH(15-Stock!$R$2+1,Stock!$S$5:$S$500,0))="0"),"",INDEX(Stock!$G$5:$G$500,MATCH(15-Stock!$R$2+1,Stock!$S$5:$S$500,0)))),"")</f>
        <v/>
      </c>
    </row>
    <row r="21" spans="1:6" ht="22" customHeight="1" x14ac:dyDescent="0.2">
      <c r="A21" s="62"/>
      <c r="B21" s="63" t="str">
        <f>IFERROR(IF(16&lt;Stock!$R$2,"",INDEX(Stock!$A$5:$A$500,MATCH(16-Stock!$R$2+1,Stock!$S$5:$S$500,0))),"")</f>
        <v/>
      </c>
      <c r="C21" s="62"/>
      <c r="D21" s="64" t="str">
        <f>IFERROR(IF(17&lt;Stock!$R$2,"",INDEX(Stock!$A$5:$A$500,MATCH(17-Stock!$R$2+1,Stock!$S$5:$S$500,0))),"")</f>
        <v/>
      </c>
      <c r="E21" s="65"/>
      <c r="F21" s="64" t="str">
        <f>IFERROR(IF(18&lt;Stock!$R$2,"",INDEX(Stock!$A$5:$A$500,MATCH(18-Stock!$R$2+1,Stock!$S$5:$S$500,0))),"")</f>
        <v/>
      </c>
    </row>
    <row r="22" spans="1:6" ht="28" customHeight="1" x14ac:dyDescent="0.15">
      <c r="A22" s="66"/>
      <c r="B22" s="67" t="str">
        <f>IFERROR(IF(16&lt;Stock!$R$2,"",IF(IF(OR(INDEX(Stock!$D$5:$D$500,MATCH(16-Stock!$R$2+1,Stock!$S$5:$S$500,0))="",INDEX(Stock!$D$5:$D$500,MATCH(16-Stock!$R$2+1,Stock!$S$5:$S$500,0))=0,INDEX(Stock!$D$5:$D$500,MATCH(16-Stock!$R$2+1,Stock!$S$5:$S$500,0))="0"),"",INDEX(Stock!$D$5:$D$500,MATCH(16-Stock!$R$2+1,Stock!$S$5:$S$500,0)))&lt;&gt;"",IF(OR(INDEX(Stock!$D$5:$D$500,MATCH(16-Stock!$R$2+1,Stock!$S$5:$S$500,0))="",INDEX(Stock!$D$5:$D$500,MATCH(16-Stock!$R$2+1,Stock!$S$5:$S$500,0))=0,INDEX(Stock!$D$5:$D$500,MATCH(16-Stock!$R$2+1,Stock!$S$5:$S$500,0))="0"),"",INDEX(Stock!$D$5:$D$500,MATCH(16-Stock!$R$2+1,Stock!$S$5:$S$500,0))),IF(OR(INDEX(Stock!$C$5:$C$500,MATCH(16-Stock!$R$2+1,Stock!$S$5:$S$500,0))="",INDEX(Stock!$C$5:$C$500,MATCH(16-Stock!$R$2+1,Stock!$S$5:$S$500,0))=0,INDEX(Stock!$C$5:$C$500,MATCH(16-Stock!$R$2+1,Stock!$S$5:$S$500,0))="0"),"",INDEX(Stock!$C$5:$C$500,MATCH(16-Stock!$R$2+1,Stock!$S$5:$S$500,0))))),"")</f>
        <v/>
      </c>
      <c r="C22" s="66"/>
      <c r="D22" s="68" t="str">
        <f>IFERROR(IF(17&lt;Stock!$R$2,"",IF(IF(OR(INDEX(Stock!$D$5:$D$500,MATCH(17-Stock!$R$2+1,Stock!$S$5:$S$500,0))="",INDEX(Stock!$D$5:$D$500,MATCH(17-Stock!$R$2+1,Stock!$S$5:$S$500,0))=0,INDEX(Stock!$D$5:$D$500,MATCH(17-Stock!$R$2+1,Stock!$S$5:$S$500,0))="0"),"",INDEX(Stock!$D$5:$D$500,MATCH(17-Stock!$R$2+1,Stock!$S$5:$S$500,0)))&lt;&gt;"",IF(OR(INDEX(Stock!$D$5:$D$500,MATCH(17-Stock!$R$2+1,Stock!$S$5:$S$500,0))="",INDEX(Stock!$D$5:$D$500,MATCH(17-Stock!$R$2+1,Stock!$S$5:$S$500,0))=0,INDEX(Stock!$D$5:$D$500,MATCH(17-Stock!$R$2+1,Stock!$S$5:$S$500,0))="0"),"",INDEX(Stock!$D$5:$D$500,MATCH(17-Stock!$R$2+1,Stock!$S$5:$S$500,0))),IF(OR(INDEX(Stock!$C$5:$C$500,MATCH(17-Stock!$R$2+1,Stock!$S$5:$S$500,0))="",INDEX(Stock!$C$5:$C$500,MATCH(17-Stock!$R$2+1,Stock!$S$5:$S$500,0))=0,INDEX(Stock!$C$5:$C$500,MATCH(17-Stock!$R$2+1,Stock!$S$5:$S$500,0))="0"),"",INDEX(Stock!$C$5:$C$500,MATCH(17-Stock!$R$2+1,Stock!$S$5:$S$500,0))))),"")</f>
        <v/>
      </c>
      <c r="E22" s="65"/>
      <c r="F22" s="68" t="str">
        <f>IFERROR(IF(18&lt;Stock!$R$2,"",IF(IF(OR(INDEX(Stock!$D$5:$D$500,MATCH(18-Stock!$R$2+1,Stock!$S$5:$S$500,0))="",INDEX(Stock!$D$5:$D$500,MATCH(18-Stock!$R$2+1,Stock!$S$5:$S$500,0))=0,INDEX(Stock!$D$5:$D$500,MATCH(18-Stock!$R$2+1,Stock!$S$5:$S$500,0))="0"),"",INDEX(Stock!$D$5:$D$500,MATCH(18-Stock!$R$2+1,Stock!$S$5:$S$500,0)))&lt;&gt;"",IF(OR(INDEX(Stock!$D$5:$D$500,MATCH(18-Stock!$R$2+1,Stock!$S$5:$S$500,0))="",INDEX(Stock!$D$5:$D$500,MATCH(18-Stock!$R$2+1,Stock!$S$5:$S$500,0))=0,INDEX(Stock!$D$5:$D$500,MATCH(18-Stock!$R$2+1,Stock!$S$5:$S$500,0))="0"),"",INDEX(Stock!$D$5:$D$500,MATCH(18-Stock!$R$2+1,Stock!$S$5:$S$500,0))),IF(OR(INDEX(Stock!$C$5:$C$500,MATCH(18-Stock!$R$2+1,Stock!$S$5:$S$500,0))="",INDEX(Stock!$C$5:$C$500,MATCH(18-Stock!$R$2+1,Stock!$S$5:$S$500,0))=0,INDEX(Stock!$C$5:$C$500,MATCH(18-Stock!$R$2+1,Stock!$S$5:$S$500,0))="0"),"",INDEX(Stock!$C$5:$C$500,MATCH(18-Stock!$R$2+1,Stock!$S$5:$S$500,0))))),"")</f>
        <v/>
      </c>
    </row>
    <row r="23" spans="1:6" ht="26" customHeight="1" x14ac:dyDescent="0.15">
      <c r="A23" s="69"/>
      <c r="B23" s="70" t="str">
        <f>IFERROR(IF(16&lt;Stock!$R$2,"",IF(IF(OR(INDEX(Stock!$D$5:$D$500,MATCH(16-Stock!$R$2+1,Stock!$S$5:$S$500,0))="",INDEX(Stock!$D$5:$D$500,MATCH(16-Stock!$R$2+1,Stock!$S$5:$S$500,0))=0,INDEX(Stock!$D$5:$D$500,MATCH(16-Stock!$R$2+1,Stock!$S$5:$S$500,0))="0"),"",INDEX(Stock!$D$5:$D$500,MATCH(16-Stock!$R$2+1,Stock!$S$5:$S$500,0)))&lt;&gt;"",IF(OR(INDEX(Stock!$C$5:$C$500,MATCH(16-Stock!$R$2+1,Stock!$S$5:$S$500,0))="",INDEX(Stock!$C$5:$C$500,MATCH(16-Stock!$R$2+1,Stock!$S$5:$S$500,0))=0,INDEX(Stock!$C$5:$C$500,MATCH(16-Stock!$R$2+1,Stock!$S$5:$S$500,0))="0"),"",INDEX(Stock!$C$5:$C$500,MATCH(16-Stock!$R$2+1,Stock!$S$5:$S$500,0))),IF(OR(INDEX(Stock!$E$5:$E$500,MATCH(16-Stock!$R$2+1,Stock!$S$5:$S$500,0))="",INDEX(Stock!$E$5:$E$500,MATCH(16-Stock!$R$2+1,Stock!$S$5:$S$500,0))=0,INDEX(Stock!$E$5:$E$500,MATCH(16-Stock!$R$2+1,Stock!$S$5:$S$500,0))="0"),"",INDEX(Stock!$E$5:$E$500,MATCH(16-Stock!$R$2+1,Stock!$S$5:$S$500,0))))),"")</f>
        <v/>
      </c>
      <c r="C23" s="69"/>
      <c r="D23" s="71" t="str">
        <f>IFERROR(IF(17&lt;Stock!$R$2,"",IF(IF(OR(INDEX(Stock!$D$5:$D$500,MATCH(17-Stock!$R$2+1,Stock!$S$5:$S$500,0))="",INDEX(Stock!$D$5:$D$500,MATCH(17-Stock!$R$2+1,Stock!$S$5:$S$500,0))=0,INDEX(Stock!$D$5:$D$500,MATCH(17-Stock!$R$2+1,Stock!$S$5:$S$500,0))="0"),"",INDEX(Stock!$D$5:$D$500,MATCH(17-Stock!$R$2+1,Stock!$S$5:$S$500,0)))&lt;&gt;"",IF(OR(INDEX(Stock!$C$5:$C$500,MATCH(17-Stock!$R$2+1,Stock!$S$5:$S$500,0))="",INDEX(Stock!$C$5:$C$500,MATCH(17-Stock!$R$2+1,Stock!$S$5:$S$500,0))=0,INDEX(Stock!$C$5:$C$500,MATCH(17-Stock!$R$2+1,Stock!$S$5:$S$500,0))="0"),"",INDEX(Stock!$C$5:$C$500,MATCH(17-Stock!$R$2+1,Stock!$S$5:$S$500,0))),IF(OR(INDEX(Stock!$E$5:$E$500,MATCH(17-Stock!$R$2+1,Stock!$S$5:$S$500,0))="",INDEX(Stock!$E$5:$E$500,MATCH(17-Stock!$R$2+1,Stock!$S$5:$S$500,0))=0,INDEX(Stock!$E$5:$E$500,MATCH(17-Stock!$R$2+1,Stock!$S$5:$S$500,0))="0"),"",INDEX(Stock!$E$5:$E$500,MATCH(17-Stock!$R$2+1,Stock!$S$5:$S$500,0))))),"")</f>
        <v/>
      </c>
      <c r="E23" s="65"/>
      <c r="F23" s="71" t="str">
        <f>IFERROR(IF(18&lt;Stock!$R$2,"",IF(IF(OR(INDEX(Stock!$D$5:$D$500,MATCH(18-Stock!$R$2+1,Stock!$S$5:$S$500,0))="",INDEX(Stock!$D$5:$D$500,MATCH(18-Stock!$R$2+1,Stock!$S$5:$S$500,0))=0,INDEX(Stock!$D$5:$D$500,MATCH(18-Stock!$R$2+1,Stock!$S$5:$S$500,0))="0"),"",INDEX(Stock!$D$5:$D$500,MATCH(18-Stock!$R$2+1,Stock!$S$5:$S$500,0)))&lt;&gt;"",IF(OR(INDEX(Stock!$C$5:$C$500,MATCH(18-Stock!$R$2+1,Stock!$S$5:$S$500,0))="",INDEX(Stock!$C$5:$C$500,MATCH(18-Stock!$R$2+1,Stock!$S$5:$S$500,0))=0,INDEX(Stock!$C$5:$C$500,MATCH(18-Stock!$R$2+1,Stock!$S$5:$S$500,0))="0"),"",INDEX(Stock!$C$5:$C$500,MATCH(18-Stock!$R$2+1,Stock!$S$5:$S$500,0))),IF(OR(INDEX(Stock!$E$5:$E$500,MATCH(18-Stock!$R$2+1,Stock!$S$5:$S$500,0))="",INDEX(Stock!$E$5:$E$500,MATCH(18-Stock!$R$2+1,Stock!$S$5:$S$500,0))=0,INDEX(Stock!$E$5:$E$500,MATCH(18-Stock!$R$2+1,Stock!$S$5:$S$500,0))="0"),"",INDEX(Stock!$E$5:$E$500,MATCH(18-Stock!$R$2+1,Stock!$S$5:$S$500,0))))),"")</f>
        <v/>
      </c>
    </row>
    <row r="24" spans="1:6" ht="29" customHeight="1" x14ac:dyDescent="0.15">
      <c r="A24" s="72"/>
      <c r="B24" s="73" t="str">
        <f>IFERROR(IF(16&lt;Stock!$R$2,"",IF(OR(INDEX(Stock!$B$5:$B$500,MATCH(16-Stock!$R$2+1,Stock!$S$5:$S$500,0))="",INDEX(Stock!$B$5:$B$500,MATCH(16-Stock!$R$2+1,Stock!$S$5:$S$500,0))=0,INDEX(Stock!$B$5:$B$500,MATCH(16-Stock!$R$2+1,Stock!$S$5:$S$500,0))="0"),"",INDEX(Stock!$B$5:$B$500,MATCH(16-Stock!$R$2+1,Stock!$S$5:$S$500,0)))&amp;IF(AND(IF(OR(INDEX(Stock!$B$5:$B$500,MATCH(16-Stock!$R$2+1,Stock!$S$5:$S$500,0))="",INDEX(Stock!$B$5:$B$500,MATCH(16-Stock!$R$2+1,Stock!$S$5:$S$500,0))=0,INDEX(Stock!$B$5:$B$500,MATCH(16-Stock!$R$2+1,Stock!$S$5:$S$500,0))="0"),"",INDEX(Stock!$B$5:$B$500,MATCH(16-Stock!$R$2+1,Stock!$S$5:$S$500,0)))&lt;&gt;"",IF(OR(INDEX(Stock!$G$5:$G$500,MATCH(16-Stock!$R$2+1,Stock!$S$5:$S$500,0))="",INDEX(Stock!$G$5:$G$500,MATCH(16-Stock!$R$2+1,Stock!$S$5:$S$500,0))=0,INDEX(Stock!$G$5:$G$500,MATCH(16-Stock!$R$2+1,Stock!$S$5:$S$500,0))="0"),"",INDEX(Stock!$G$5:$G$500,MATCH(16-Stock!$R$2+1,Stock!$S$5:$S$500,0)))&lt;&gt;"")," · ","")&amp;IF(OR(INDEX(Stock!$G$5:$G$500,MATCH(16-Stock!$R$2+1,Stock!$S$5:$S$500,0))="",INDEX(Stock!$G$5:$G$500,MATCH(16-Stock!$R$2+1,Stock!$S$5:$S$500,0))=0,INDEX(Stock!$G$5:$G$500,MATCH(16-Stock!$R$2+1,Stock!$S$5:$S$500,0))="0"),"",INDEX(Stock!$G$5:$G$500,MATCH(16-Stock!$R$2+1,Stock!$S$5:$S$500,0)))),"")</f>
        <v/>
      </c>
      <c r="C24" s="72"/>
      <c r="D24" s="74" t="str">
        <f>IFERROR(IF(17&lt;Stock!$R$2,"",IF(OR(INDEX(Stock!$B$5:$B$500,MATCH(17-Stock!$R$2+1,Stock!$S$5:$S$500,0))="",INDEX(Stock!$B$5:$B$500,MATCH(17-Stock!$R$2+1,Stock!$S$5:$S$500,0))=0,INDEX(Stock!$B$5:$B$500,MATCH(17-Stock!$R$2+1,Stock!$S$5:$S$500,0))="0"),"",INDEX(Stock!$B$5:$B$500,MATCH(17-Stock!$R$2+1,Stock!$S$5:$S$500,0)))&amp;IF(AND(IF(OR(INDEX(Stock!$B$5:$B$500,MATCH(17-Stock!$R$2+1,Stock!$S$5:$S$500,0))="",INDEX(Stock!$B$5:$B$500,MATCH(17-Stock!$R$2+1,Stock!$S$5:$S$500,0))=0,INDEX(Stock!$B$5:$B$500,MATCH(17-Stock!$R$2+1,Stock!$S$5:$S$500,0))="0"),"",INDEX(Stock!$B$5:$B$500,MATCH(17-Stock!$R$2+1,Stock!$S$5:$S$500,0)))&lt;&gt;"",IF(OR(INDEX(Stock!$G$5:$G$500,MATCH(17-Stock!$R$2+1,Stock!$S$5:$S$500,0))="",INDEX(Stock!$G$5:$G$500,MATCH(17-Stock!$R$2+1,Stock!$S$5:$S$500,0))=0,INDEX(Stock!$G$5:$G$500,MATCH(17-Stock!$R$2+1,Stock!$S$5:$S$500,0))="0"),"",INDEX(Stock!$G$5:$G$500,MATCH(17-Stock!$R$2+1,Stock!$S$5:$S$500,0)))&lt;&gt;"")," · ","")&amp;IF(OR(INDEX(Stock!$G$5:$G$500,MATCH(17-Stock!$R$2+1,Stock!$S$5:$S$500,0))="",INDEX(Stock!$G$5:$G$500,MATCH(17-Stock!$R$2+1,Stock!$S$5:$S$500,0))=0,INDEX(Stock!$G$5:$G$500,MATCH(17-Stock!$R$2+1,Stock!$S$5:$S$500,0))="0"),"",INDEX(Stock!$G$5:$G$500,MATCH(17-Stock!$R$2+1,Stock!$S$5:$S$500,0)))),"")</f>
        <v/>
      </c>
      <c r="E24" s="65"/>
      <c r="F24" s="74" t="str">
        <f>IFERROR(IF(18&lt;Stock!$R$2,"",IF(OR(INDEX(Stock!$B$5:$B$500,MATCH(18-Stock!$R$2+1,Stock!$S$5:$S$500,0))="",INDEX(Stock!$B$5:$B$500,MATCH(18-Stock!$R$2+1,Stock!$S$5:$S$500,0))=0,INDEX(Stock!$B$5:$B$500,MATCH(18-Stock!$R$2+1,Stock!$S$5:$S$500,0))="0"),"",INDEX(Stock!$B$5:$B$500,MATCH(18-Stock!$R$2+1,Stock!$S$5:$S$500,0)))&amp;IF(AND(IF(OR(INDEX(Stock!$B$5:$B$500,MATCH(18-Stock!$R$2+1,Stock!$S$5:$S$500,0))="",INDEX(Stock!$B$5:$B$500,MATCH(18-Stock!$R$2+1,Stock!$S$5:$S$500,0))=0,INDEX(Stock!$B$5:$B$500,MATCH(18-Stock!$R$2+1,Stock!$S$5:$S$500,0))="0"),"",INDEX(Stock!$B$5:$B$500,MATCH(18-Stock!$R$2+1,Stock!$S$5:$S$500,0)))&lt;&gt;"",IF(OR(INDEX(Stock!$G$5:$G$500,MATCH(18-Stock!$R$2+1,Stock!$S$5:$S$500,0))="",INDEX(Stock!$G$5:$G$500,MATCH(18-Stock!$R$2+1,Stock!$S$5:$S$500,0))=0,INDEX(Stock!$G$5:$G$500,MATCH(18-Stock!$R$2+1,Stock!$S$5:$S$500,0))="0"),"",INDEX(Stock!$G$5:$G$500,MATCH(18-Stock!$R$2+1,Stock!$S$5:$S$500,0)))&lt;&gt;"")," · ","")&amp;IF(OR(INDEX(Stock!$G$5:$G$500,MATCH(18-Stock!$R$2+1,Stock!$S$5:$S$500,0))="",INDEX(Stock!$G$5:$G$500,MATCH(18-Stock!$R$2+1,Stock!$S$5:$S$500,0))=0,INDEX(Stock!$G$5:$G$500,MATCH(18-Stock!$R$2+1,Stock!$S$5:$S$500,0))="0"),"",INDEX(Stock!$G$5:$G$500,MATCH(18-Stock!$R$2+1,Stock!$S$5:$S$500,0)))),"")</f>
        <v/>
      </c>
    </row>
    <row r="25" spans="1:6" ht="22" customHeight="1" x14ac:dyDescent="0.2">
      <c r="A25" s="62"/>
      <c r="B25" s="63" t="str">
        <f>IFERROR(IF(19&lt;Stock!$R$2,"",INDEX(Stock!$A$5:$A$500,MATCH(19-Stock!$R$2+1,Stock!$S$5:$S$500,0))),"")</f>
        <v/>
      </c>
      <c r="C25" s="62"/>
      <c r="D25" s="64" t="str">
        <f>IFERROR(IF(20&lt;Stock!$R$2,"",INDEX(Stock!$A$5:$A$500,MATCH(20-Stock!$R$2+1,Stock!$S$5:$S$500,0))),"")</f>
        <v/>
      </c>
      <c r="E25" s="65"/>
      <c r="F25" s="64" t="str">
        <f>IFERROR(IF(21&lt;Stock!$R$2,"",INDEX(Stock!$A$5:$A$500,MATCH(21-Stock!$R$2+1,Stock!$S$5:$S$500,0))),"")</f>
        <v/>
      </c>
    </row>
    <row r="26" spans="1:6" ht="28" customHeight="1" x14ac:dyDescent="0.15">
      <c r="A26" s="66"/>
      <c r="B26" s="67" t="str">
        <f>IFERROR(IF(19&lt;Stock!$R$2,"",IF(IF(OR(INDEX(Stock!$D$5:$D$500,MATCH(19-Stock!$R$2+1,Stock!$S$5:$S$500,0))="",INDEX(Stock!$D$5:$D$500,MATCH(19-Stock!$R$2+1,Stock!$S$5:$S$500,0))=0,INDEX(Stock!$D$5:$D$500,MATCH(19-Stock!$R$2+1,Stock!$S$5:$S$500,0))="0"),"",INDEX(Stock!$D$5:$D$500,MATCH(19-Stock!$R$2+1,Stock!$S$5:$S$500,0)))&lt;&gt;"",IF(OR(INDEX(Stock!$D$5:$D$500,MATCH(19-Stock!$R$2+1,Stock!$S$5:$S$500,0))="",INDEX(Stock!$D$5:$D$500,MATCH(19-Stock!$R$2+1,Stock!$S$5:$S$500,0))=0,INDEX(Stock!$D$5:$D$500,MATCH(19-Stock!$R$2+1,Stock!$S$5:$S$500,0))="0"),"",INDEX(Stock!$D$5:$D$500,MATCH(19-Stock!$R$2+1,Stock!$S$5:$S$500,0))),IF(OR(INDEX(Stock!$C$5:$C$500,MATCH(19-Stock!$R$2+1,Stock!$S$5:$S$500,0))="",INDEX(Stock!$C$5:$C$500,MATCH(19-Stock!$R$2+1,Stock!$S$5:$S$500,0))=0,INDEX(Stock!$C$5:$C$500,MATCH(19-Stock!$R$2+1,Stock!$S$5:$S$500,0))="0"),"",INDEX(Stock!$C$5:$C$500,MATCH(19-Stock!$R$2+1,Stock!$S$5:$S$500,0))))),"")</f>
        <v/>
      </c>
      <c r="C26" s="66"/>
      <c r="D26" s="68" t="str">
        <f>IFERROR(IF(20&lt;Stock!$R$2,"",IF(IF(OR(INDEX(Stock!$D$5:$D$500,MATCH(20-Stock!$R$2+1,Stock!$S$5:$S$500,0))="",INDEX(Stock!$D$5:$D$500,MATCH(20-Stock!$R$2+1,Stock!$S$5:$S$500,0))=0,INDEX(Stock!$D$5:$D$500,MATCH(20-Stock!$R$2+1,Stock!$S$5:$S$500,0))="0"),"",INDEX(Stock!$D$5:$D$500,MATCH(20-Stock!$R$2+1,Stock!$S$5:$S$500,0)))&lt;&gt;"",IF(OR(INDEX(Stock!$D$5:$D$500,MATCH(20-Stock!$R$2+1,Stock!$S$5:$S$500,0))="",INDEX(Stock!$D$5:$D$500,MATCH(20-Stock!$R$2+1,Stock!$S$5:$S$500,0))=0,INDEX(Stock!$D$5:$D$500,MATCH(20-Stock!$R$2+1,Stock!$S$5:$S$500,0))="0"),"",INDEX(Stock!$D$5:$D$500,MATCH(20-Stock!$R$2+1,Stock!$S$5:$S$500,0))),IF(OR(INDEX(Stock!$C$5:$C$500,MATCH(20-Stock!$R$2+1,Stock!$S$5:$S$500,0))="",INDEX(Stock!$C$5:$C$500,MATCH(20-Stock!$R$2+1,Stock!$S$5:$S$500,0))=0,INDEX(Stock!$C$5:$C$500,MATCH(20-Stock!$R$2+1,Stock!$S$5:$S$500,0))="0"),"",INDEX(Stock!$C$5:$C$500,MATCH(20-Stock!$R$2+1,Stock!$S$5:$S$500,0))))),"")</f>
        <v/>
      </c>
      <c r="E26" s="65"/>
      <c r="F26" s="68" t="str">
        <f>IFERROR(IF(21&lt;Stock!$R$2,"",IF(IF(OR(INDEX(Stock!$D$5:$D$500,MATCH(21-Stock!$R$2+1,Stock!$S$5:$S$500,0))="",INDEX(Stock!$D$5:$D$500,MATCH(21-Stock!$R$2+1,Stock!$S$5:$S$500,0))=0,INDEX(Stock!$D$5:$D$500,MATCH(21-Stock!$R$2+1,Stock!$S$5:$S$500,0))="0"),"",INDEX(Stock!$D$5:$D$500,MATCH(21-Stock!$R$2+1,Stock!$S$5:$S$500,0)))&lt;&gt;"",IF(OR(INDEX(Stock!$D$5:$D$500,MATCH(21-Stock!$R$2+1,Stock!$S$5:$S$500,0))="",INDEX(Stock!$D$5:$D$500,MATCH(21-Stock!$R$2+1,Stock!$S$5:$S$500,0))=0,INDEX(Stock!$D$5:$D$500,MATCH(21-Stock!$R$2+1,Stock!$S$5:$S$500,0))="0"),"",INDEX(Stock!$D$5:$D$500,MATCH(21-Stock!$R$2+1,Stock!$S$5:$S$500,0))),IF(OR(INDEX(Stock!$C$5:$C$500,MATCH(21-Stock!$R$2+1,Stock!$S$5:$S$500,0))="",INDEX(Stock!$C$5:$C$500,MATCH(21-Stock!$R$2+1,Stock!$S$5:$S$500,0))=0,INDEX(Stock!$C$5:$C$500,MATCH(21-Stock!$R$2+1,Stock!$S$5:$S$500,0))="0"),"",INDEX(Stock!$C$5:$C$500,MATCH(21-Stock!$R$2+1,Stock!$S$5:$S$500,0))))),"")</f>
        <v/>
      </c>
    </row>
    <row r="27" spans="1:6" ht="26" customHeight="1" x14ac:dyDescent="0.15">
      <c r="A27" s="69"/>
      <c r="B27" s="70" t="str">
        <f>IFERROR(IF(19&lt;Stock!$R$2,"",IF(IF(OR(INDEX(Stock!$D$5:$D$500,MATCH(19-Stock!$R$2+1,Stock!$S$5:$S$500,0))="",INDEX(Stock!$D$5:$D$500,MATCH(19-Stock!$R$2+1,Stock!$S$5:$S$500,0))=0,INDEX(Stock!$D$5:$D$500,MATCH(19-Stock!$R$2+1,Stock!$S$5:$S$500,0))="0"),"",INDEX(Stock!$D$5:$D$500,MATCH(19-Stock!$R$2+1,Stock!$S$5:$S$500,0)))&lt;&gt;"",IF(OR(INDEX(Stock!$C$5:$C$500,MATCH(19-Stock!$R$2+1,Stock!$S$5:$S$500,0))="",INDEX(Stock!$C$5:$C$500,MATCH(19-Stock!$R$2+1,Stock!$S$5:$S$500,0))=0,INDEX(Stock!$C$5:$C$500,MATCH(19-Stock!$R$2+1,Stock!$S$5:$S$500,0))="0"),"",INDEX(Stock!$C$5:$C$500,MATCH(19-Stock!$R$2+1,Stock!$S$5:$S$500,0))),IF(OR(INDEX(Stock!$E$5:$E$500,MATCH(19-Stock!$R$2+1,Stock!$S$5:$S$500,0))="",INDEX(Stock!$E$5:$E$500,MATCH(19-Stock!$R$2+1,Stock!$S$5:$S$500,0))=0,INDEX(Stock!$E$5:$E$500,MATCH(19-Stock!$R$2+1,Stock!$S$5:$S$500,0))="0"),"",INDEX(Stock!$E$5:$E$500,MATCH(19-Stock!$R$2+1,Stock!$S$5:$S$500,0))))),"")</f>
        <v/>
      </c>
      <c r="C27" s="69"/>
      <c r="D27" s="71" t="str">
        <f>IFERROR(IF(20&lt;Stock!$R$2,"",IF(IF(OR(INDEX(Stock!$D$5:$D$500,MATCH(20-Stock!$R$2+1,Stock!$S$5:$S$500,0))="",INDEX(Stock!$D$5:$D$500,MATCH(20-Stock!$R$2+1,Stock!$S$5:$S$500,0))=0,INDEX(Stock!$D$5:$D$500,MATCH(20-Stock!$R$2+1,Stock!$S$5:$S$500,0))="0"),"",INDEX(Stock!$D$5:$D$500,MATCH(20-Stock!$R$2+1,Stock!$S$5:$S$500,0)))&lt;&gt;"",IF(OR(INDEX(Stock!$C$5:$C$500,MATCH(20-Stock!$R$2+1,Stock!$S$5:$S$500,0))="",INDEX(Stock!$C$5:$C$500,MATCH(20-Stock!$R$2+1,Stock!$S$5:$S$500,0))=0,INDEX(Stock!$C$5:$C$500,MATCH(20-Stock!$R$2+1,Stock!$S$5:$S$500,0))="0"),"",INDEX(Stock!$C$5:$C$500,MATCH(20-Stock!$R$2+1,Stock!$S$5:$S$500,0))),IF(OR(INDEX(Stock!$E$5:$E$500,MATCH(20-Stock!$R$2+1,Stock!$S$5:$S$500,0))="",INDEX(Stock!$E$5:$E$500,MATCH(20-Stock!$R$2+1,Stock!$S$5:$S$500,0))=0,INDEX(Stock!$E$5:$E$500,MATCH(20-Stock!$R$2+1,Stock!$S$5:$S$500,0))="0"),"",INDEX(Stock!$E$5:$E$500,MATCH(20-Stock!$R$2+1,Stock!$S$5:$S$500,0))))),"")</f>
        <v/>
      </c>
      <c r="E27" s="65"/>
      <c r="F27" s="71" t="str">
        <f>IFERROR(IF(21&lt;Stock!$R$2,"",IF(IF(OR(INDEX(Stock!$D$5:$D$500,MATCH(21-Stock!$R$2+1,Stock!$S$5:$S$500,0))="",INDEX(Stock!$D$5:$D$500,MATCH(21-Stock!$R$2+1,Stock!$S$5:$S$500,0))=0,INDEX(Stock!$D$5:$D$500,MATCH(21-Stock!$R$2+1,Stock!$S$5:$S$500,0))="0"),"",INDEX(Stock!$D$5:$D$500,MATCH(21-Stock!$R$2+1,Stock!$S$5:$S$500,0)))&lt;&gt;"",IF(OR(INDEX(Stock!$C$5:$C$500,MATCH(21-Stock!$R$2+1,Stock!$S$5:$S$500,0))="",INDEX(Stock!$C$5:$C$500,MATCH(21-Stock!$R$2+1,Stock!$S$5:$S$500,0))=0,INDEX(Stock!$C$5:$C$500,MATCH(21-Stock!$R$2+1,Stock!$S$5:$S$500,0))="0"),"",INDEX(Stock!$C$5:$C$500,MATCH(21-Stock!$R$2+1,Stock!$S$5:$S$500,0))),IF(OR(INDEX(Stock!$E$5:$E$500,MATCH(21-Stock!$R$2+1,Stock!$S$5:$S$500,0))="",INDEX(Stock!$E$5:$E$500,MATCH(21-Stock!$R$2+1,Stock!$S$5:$S$500,0))=0,INDEX(Stock!$E$5:$E$500,MATCH(21-Stock!$R$2+1,Stock!$S$5:$S$500,0))="0"),"",INDEX(Stock!$E$5:$E$500,MATCH(21-Stock!$R$2+1,Stock!$S$5:$S$500,0))))),"")</f>
        <v/>
      </c>
    </row>
    <row r="28" spans="1:6" ht="29" customHeight="1" x14ac:dyDescent="0.15">
      <c r="A28" s="72"/>
      <c r="B28" s="73" t="str">
        <f>IFERROR(IF(19&lt;Stock!$R$2,"",IF(OR(INDEX(Stock!$B$5:$B$500,MATCH(19-Stock!$R$2+1,Stock!$S$5:$S$500,0))="",INDEX(Stock!$B$5:$B$500,MATCH(19-Stock!$R$2+1,Stock!$S$5:$S$500,0))=0,INDEX(Stock!$B$5:$B$500,MATCH(19-Stock!$R$2+1,Stock!$S$5:$S$500,0))="0"),"",INDEX(Stock!$B$5:$B$500,MATCH(19-Stock!$R$2+1,Stock!$S$5:$S$500,0)))&amp;IF(AND(IF(OR(INDEX(Stock!$B$5:$B$500,MATCH(19-Stock!$R$2+1,Stock!$S$5:$S$500,0))="",INDEX(Stock!$B$5:$B$500,MATCH(19-Stock!$R$2+1,Stock!$S$5:$S$500,0))=0,INDEX(Stock!$B$5:$B$500,MATCH(19-Stock!$R$2+1,Stock!$S$5:$S$500,0))="0"),"",INDEX(Stock!$B$5:$B$500,MATCH(19-Stock!$R$2+1,Stock!$S$5:$S$500,0)))&lt;&gt;"",IF(OR(INDEX(Stock!$G$5:$G$500,MATCH(19-Stock!$R$2+1,Stock!$S$5:$S$500,0))="",INDEX(Stock!$G$5:$G$500,MATCH(19-Stock!$R$2+1,Stock!$S$5:$S$500,0))=0,INDEX(Stock!$G$5:$G$500,MATCH(19-Stock!$R$2+1,Stock!$S$5:$S$500,0))="0"),"",INDEX(Stock!$G$5:$G$500,MATCH(19-Stock!$R$2+1,Stock!$S$5:$S$500,0)))&lt;&gt;"")," · ","")&amp;IF(OR(INDEX(Stock!$G$5:$G$500,MATCH(19-Stock!$R$2+1,Stock!$S$5:$S$500,0))="",INDEX(Stock!$G$5:$G$500,MATCH(19-Stock!$R$2+1,Stock!$S$5:$S$500,0))=0,INDEX(Stock!$G$5:$G$500,MATCH(19-Stock!$R$2+1,Stock!$S$5:$S$500,0))="0"),"",INDEX(Stock!$G$5:$G$500,MATCH(19-Stock!$R$2+1,Stock!$S$5:$S$500,0)))),"")</f>
        <v/>
      </c>
      <c r="C28" s="72"/>
      <c r="D28" s="74" t="str">
        <f>IFERROR(IF(20&lt;Stock!$R$2,"",IF(OR(INDEX(Stock!$B$5:$B$500,MATCH(20-Stock!$R$2+1,Stock!$S$5:$S$500,0))="",INDEX(Stock!$B$5:$B$500,MATCH(20-Stock!$R$2+1,Stock!$S$5:$S$500,0))=0,INDEX(Stock!$B$5:$B$500,MATCH(20-Stock!$R$2+1,Stock!$S$5:$S$500,0))="0"),"",INDEX(Stock!$B$5:$B$500,MATCH(20-Stock!$R$2+1,Stock!$S$5:$S$500,0)))&amp;IF(AND(IF(OR(INDEX(Stock!$B$5:$B$500,MATCH(20-Stock!$R$2+1,Stock!$S$5:$S$500,0))="",INDEX(Stock!$B$5:$B$500,MATCH(20-Stock!$R$2+1,Stock!$S$5:$S$500,0))=0,INDEX(Stock!$B$5:$B$500,MATCH(20-Stock!$R$2+1,Stock!$S$5:$S$500,0))="0"),"",INDEX(Stock!$B$5:$B$500,MATCH(20-Stock!$R$2+1,Stock!$S$5:$S$500,0)))&lt;&gt;"",IF(OR(INDEX(Stock!$G$5:$G$500,MATCH(20-Stock!$R$2+1,Stock!$S$5:$S$500,0))="",INDEX(Stock!$G$5:$G$500,MATCH(20-Stock!$R$2+1,Stock!$S$5:$S$500,0))=0,INDEX(Stock!$G$5:$G$500,MATCH(20-Stock!$R$2+1,Stock!$S$5:$S$500,0))="0"),"",INDEX(Stock!$G$5:$G$500,MATCH(20-Stock!$R$2+1,Stock!$S$5:$S$500,0)))&lt;&gt;"")," · ","")&amp;IF(OR(INDEX(Stock!$G$5:$G$500,MATCH(20-Stock!$R$2+1,Stock!$S$5:$S$500,0))="",INDEX(Stock!$G$5:$G$500,MATCH(20-Stock!$R$2+1,Stock!$S$5:$S$500,0))=0,INDEX(Stock!$G$5:$G$500,MATCH(20-Stock!$R$2+1,Stock!$S$5:$S$500,0))="0"),"",INDEX(Stock!$G$5:$G$500,MATCH(20-Stock!$R$2+1,Stock!$S$5:$S$500,0)))),"")</f>
        <v/>
      </c>
      <c r="E28" s="65"/>
      <c r="F28" s="74" t="str">
        <f>IFERROR(IF(21&lt;Stock!$R$2,"",IF(OR(INDEX(Stock!$B$5:$B$500,MATCH(21-Stock!$R$2+1,Stock!$S$5:$S$500,0))="",INDEX(Stock!$B$5:$B$500,MATCH(21-Stock!$R$2+1,Stock!$S$5:$S$500,0))=0,INDEX(Stock!$B$5:$B$500,MATCH(21-Stock!$R$2+1,Stock!$S$5:$S$500,0))="0"),"",INDEX(Stock!$B$5:$B$500,MATCH(21-Stock!$R$2+1,Stock!$S$5:$S$500,0)))&amp;IF(AND(IF(OR(INDEX(Stock!$B$5:$B$500,MATCH(21-Stock!$R$2+1,Stock!$S$5:$S$500,0))="",INDEX(Stock!$B$5:$B$500,MATCH(21-Stock!$R$2+1,Stock!$S$5:$S$500,0))=0,INDEX(Stock!$B$5:$B$500,MATCH(21-Stock!$R$2+1,Stock!$S$5:$S$500,0))="0"),"",INDEX(Stock!$B$5:$B$500,MATCH(21-Stock!$R$2+1,Stock!$S$5:$S$500,0)))&lt;&gt;"",IF(OR(INDEX(Stock!$G$5:$G$500,MATCH(21-Stock!$R$2+1,Stock!$S$5:$S$500,0))="",INDEX(Stock!$G$5:$G$500,MATCH(21-Stock!$R$2+1,Stock!$S$5:$S$500,0))=0,INDEX(Stock!$G$5:$G$500,MATCH(21-Stock!$R$2+1,Stock!$S$5:$S$500,0))="0"),"",INDEX(Stock!$G$5:$G$500,MATCH(21-Stock!$R$2+1,Stock!$S$5:$S$500,0)))&lt;&gt;"")," · ","")&amp;IF(OR(INDEX(Stock!$G$5:$G$500,MATCH(21-Stock!$R$2+1,Stock!$S$5:$S$500,0))="",INDEX(Stock!$G$5:$G$500,MATCH(21-Stock!$R$2+1,Stock!$S$5:$S$500,0))=0,INDEX(Stock!$G$5:$G$500,MATCH(21-Stock!$R$2+1,Stock!$S$5:$S$500,0))="0"),"",INDEX(Stock!$G$5:$G$500,MATCH(21-Stock!$R$2+1,Stock!$S$5:$S$500,0)))),"")</f>
        <v/>
      </c>
    </row>
    <row r="29" spans="1:6" ht="22" customHeight="1" x14ac:dyDescent="0.2">
      <c r="A29" s="62"/>
      <c r="B29" s="63" t="str">
        <f>IFERROR(IF(22&lt;Stock!$R$2,"",INDEX(Stock!$A$5:$A$500,MATCH(22-Stock!$R$2+1,Stock!$S$5:$S$500,0))),"")</f>
        <v/>
      </c>
      <c r="C29" s="62"/>
      <c r="D29" s="64" t="str">
        <f>IFERROR(IF(23&lt;Stock!$R$2,"",INDEX(Stock!$A$5:$A$500,MATCH(23-Stock!$R$2+1,Stock!$S$5:$S$500,0))),"")</f>
        <v/>
      </c>
      <c r="E29" s="65"/>
      <c r="F29" s="64" t="str">
        <f>IFERROR(IF(24&lt;Stock!$R$2,"",INDEX(Stock!$A$5:$A$500,MATCH(24-Stock!$R$2+1,Stock!$S$5:$S$500,0))),"")</f>
        <v/>
      </c>
    </row>
    <row r="30" spans="1:6" ht="28" customHeight="1" x14ac:dyDescent="0.15">
      <c r="A30" s="66"/>
      <c r="B30" s="67" t="str">
        <f>IFERROR(IF(22&lt;Stock!$R$2,"",IF(IF(OR(INDEX(Stock!$D$5:$D$500,MATCH(22-Stock!$R$2+1,Stock!$S$5:$S$500,0))="",INDEX(Stock!$D$5:$D$500,MATCH(22-Stock!$R$2+1,Stock!$S$5:$S$500,0))=0,INDEX(Stock!$D$5:$D$500,MATCH(22-Stock!$R$2+1,Stock!$S$5:$S$500,0))="0"),"",INDEX(Stock!$D$5:$D$500,MATCH(22-Stock!$R$2+1,Stock!$S$5:$S$500,0)))&lt;&gt;"",IF(OR(INDEX(Stock!$D$5:$D$500,MATCH(22-Stock!$R$2+1,Stock!$S$5:$S$500,0))="",INDEX(Stock!$D$5:$D$500,MATCH(22-Stock!$R$2+1,Stock!$S$5:$S$500,0))=0,INDEX(Stock!$D$5:$D$500,MATCH(22-Stock!$R$2+1,Stock!$S$5:$S$500,0))="0"),"",INDEX(Stock!$D$5:$D$500,MATCH(22-Stock!$R$2+1,Stock!$S$5:$S$500,0))),IF(OR(INDEX(Stock!$C$5:$C$500,MATCH(22-Stock!$R$2+1,Stock!$S$5:$S$500,0))="",INDEX(Stock!$C$5:$C$500,MATCH(22-Stock!$R$2+1,Stock!$S$5:$S$500,0))=0,INDEX(Stock!$C$5:$C$500,MATCH(22-Stock!$R$2+1,Stock!$S$5:$S$500,0))="0"),"",INDEX(Stock!$C$5:$C$500,MATCH(22-Stock!$R$2+1,Stock!$S$5:$S$500,0))))),"")</f>
        <v/>
      </c>
      <c r="C30" s="66"/>
      <c r="D30" s="68" t="str">
        <f>IFERROR(IF(23&lt;Stock!$R$2,"",IF(IF(OR(INDEX(Stock!$D$5:$D$500,MATCH(23-Stock!$R$2+1,Stock!$S$5:$S$500,0))="",INDEX(Stock!$D$5:$D$500,MATCH(23-Stock!$R$2+1,Stock!$S$5:$S$500,0))=0,INDEX(Stock!$D$5:$D$500,MATCH(23-Stock!$R$2+1,Stock!$S$5:$S$500,0))="0"),"",INDEX(Stock!$D$5:$D$500,MATCH(23-Stock!$R$2+1,Stock!$S$5:$S$500,0)))&lt;&gt;"",IF(OR(INDEX(Stock!$D$5:$D$500,MATCH(23-Stock!$R$2+1,Stock!$S$5:$S$500,0))="",INDEX(Stock!$D$5:$D$500,MATCH(23-Stock!$R$2+1,Stock!$S$5:$S$500,0))=0,INDEX(Stock!$D$5:$D$500,MATCH(23-Stock!$R$2+1,Stock!$S$5:$S$500,0))="0"),"",INDEX(Stock!$D$5:$D$500,MATCH(23-Stock!$R$2+1,Stock!$S$5:$S$500,0))),IF(OR(INDEX(Stock!$C$5:$C$500,MATCH(23-Stock!$R$2+1,Stock!$S$5:$S$500,0))="",INDEX(Stock!$C$5:$C$500,MATCH(23-Stock!$R$2+1,Stock!$S$5:$S$500,0))=0,INDEX(Stock!$C$5:$C$500,MATCH(23-Stock!$R$2+1,Stock!$S$5:$S$500,0))="0"),"",INDEX(Stock!$C$5:$C$500,MATCH(23-Stock!$R$2+1,Stock!$S$5:$S$500,0))))),"")</f>
        <v/>
      </c>
      <c r="E30" s="65"/>
      <c r="F30" s="68" t="str">
        <f>IFERROR(IF(24&lt;Stock!$R$2,"",IF(IF(OR(INDEX(Stock!$D$5:$D$500,MATCH(24-Stock!$R$2+1,Stock!$S$5:$S$500,0))="",INDEX(Stock!$D$5:$D$500,MATCH(24-Stock!$R$2+1,Stock!$S$5:$S$500,0))=0,INDEX(Stock!$D$5:$D$500,MATCH(24-Stock!$R$2+1,Stock!$S$5:$S$500,0))="0"),"",INDEX(Stock!$D$5:$D$500,MATCH(24-Stock!$R$2+1,Stock!$S$5:$S$500,0)))&lt;&gt;"",IF(OR(INDEX(Stock!$D$5:$D$500,MATCH(24-Stock!$R$2+1,Stock!$S$5:$S$500,0))="",INDEX(Stock!$D$5:$D$500,MATCH(24-Stock!$R$2+1,Stock!$S$5:$S$500,0))=0,INDEX(Stock!$D$5:$D$500,MATCH(24-Stock!$R$2+1,Stock!$S$5:$S$500,0))="0"),"",INDEX(Stock!$D$5:$D$500,MATCH(24-Stock!$R$2+1,Stock!$S$5:$S$500,0))),IF(OR(INDEX(Stock!$C$5:$C$500,MATCH(24-Stock!$R$2+1,Stock!$S$5:$S$500,0))="",INDEX(Stock!$C$5:$C$500,MATCH(24-Stock!$R$2+1,Stock!$S$5:$S$500,0))=0,INDEX(Stock!$C$5:$C$500,MATCH(24-Stock!$R$2+1,Stock!$S$5:$S$500,0))="0"),"",INDEX(Stock!$C$5:$C$500,MATCH(24-Stock!$R$2+1,Stock!$S$5:$S$500,0))))),"")</f>
        <v/>
      </c>
    </row>
    <row r="31" spans="1:6" ht="26" customHeight="1" x14ac:dyDescent="0.15">
      <c r="A31" s="69"/>
      <c r="B31" s="70" t="str">
        <f>IFERROR(IF(22&lt;Stock!$R$2,"",IF(IF(OR(INDEX(Stock!$D$5:$D$500,MATCH(22-Stock!$R$2+1,Stock!$S$5:$S$500,0))="",INDEX(Stock!$D$5:$D$500,MATCH(22-Stock!$R$2+1,Stock!$S$5:$S$500,0))=0,INDEX(Stock!$D$5:$D$500,MATCH(22-Stock!$R$2+1,Stock!$S$5:$S$500,0))="0"),"",INDEX(Stock!$D$5:$D$500,MATCH(22-Stock!$R$2+1,Stock!$S$5:$S$500,0)))&lt;&gt;"",IF(OR(INDEX(Stock!$C$5:$C$500,MATCH(22-Stock!$R$2+1,Stock!$S$5:$S$500,0))="",INDEX(Stock!$C$5:$C$500,MATCH(22-Stock!$R$2+1,Stock!$S$5:$S$500,0))=0,INDEX(Stock!$C$5:$C$500,MATCH(22-Stock!$R$2+1,Stock!$S$5:$S$500,0))="0"),"",INDEX(Stock!$C$5:$C$500,MATCH(22-Stock!$R$2+1,Stock!$S$5:$S$500,0))),IF(OR(INDEX(Stock!$E$5:$E$500,MATCH(22-Stock!$R$2+1,Stock!$S$5:$S$500,0))="",INDEX(Stock!$E$5:$E$500,MATCH(22-Stock!$R$2+1,Stock!$S$5:$S$500,0))=0,INDEX(Stock!$E$5:$E$500,MATCH(22-Stock!$R$2+1,Stock!$S$5:$S$500,0))="0"),"",INDEX(Stock!$E$5:$E$500,MATCH(22-Stock!$R$2+1,Stock!$S$5:$S$500,0))))),"")</f>
        <v/>
      </c>
      <c r="C31" s="69"/>
      <c r="D31" s="71" t="str">
        <f>IFERROR(IF(23&lt;Stock!$R$2,"",IF(IF(OR(INDEX(Stock!$D$5:$D$500,MATCH(23-Stock!$R$2+1,Stock!$S$5:$S$500,0))="",INDEX(Stock!$D$5:$D$500,MATCH(23-Stock!$R$2+1,Stock!$S$5:$S$500,0))=0,INDEX(Stock!$D$5:$D$500,MATCH(23-Stock!$R$2+1,Stock!$S$5:$S$500,0))="0"),"",INDEX(Stock!$D$5:$D$500,MATCH(23-Stock!$R$2+1,Stock!$S$5:$S$500,0)))&lt;&gt;"",IF(OR(INDEX(Stock!$C$5:$C$500,MATCH(23-Stock!$R$2+1,Stock!$S$5:$S$500,0))="",INDEX(Stock!$C$5:$C$500,MATCH(23-Stock!$R$2+1,Stock!$S$5:$S$500,0))=0,INDEX(Stock!$C$5:$C$500,MATCH(23-Stock!$R$2+1,Stock!$S$5:$S$500,0))="0"),"",INDEX(Stock!$C$5:$C$500,MATCH(23-Stock!$R$2+1,Stock!$S$5:$S$500,0))),IF(OR(INDEX(Stock!$E$5:$E$500,MATCH(23-Stock!$R$2+1,Stock!$S$5:$S$500,0))="",INDEX(Stock!$E$5:$E$500,MATCH(23-Stock!$R$2+1,Stock!$S$5:$S$500,0))=0,INDEX(Stock!$E$5:$E$500,MATCH(23-Stock!$R$2+1,Stock!$S$5:$S$500,0))="0"),"",INDEX(Stock!$E$5:$E$500,MATCH(23-Stock!$R$2+1,Stock!$S$5:$S$500,0))))),"")</f>
        <v/>
      </c>
      <c r="E31" s="65"/>
      <c r="F31" s="71" t="str">
        <f>IFERROR(IF(24&lt;Stock!$R$2,"",IF(IF(OR(INDEX(Stock!$D$5:$D$500,MATCH(24-Stock!$R$2+1,Stock!$S$5:$S$500,0))="",INDEX(Stock!$D$5:$D$500,MATCH(24-Stock!$R$2+1,Stock!$S$5:$S$500,0))=0,INDEX(Stock!$D$5:$D$500,MATCH(24-Stock!$R$2+1,Stock!$S$5:$S$500,0))="0"),"",INDEX(Stock!$D$5:$D$500,MATCH(24-Stock!$R$2+1,Stock!$S$5:$S$500,0)))&lt;&gt;"",IF(OR(INDEX(Stock!$C$5:$C$500,MATCH(24-Stock!$R$2+1,Stock!$S$5:$S$500,0))="",INDEX(Stock!$C$5:$C$500,MATCH(24-Stock!$R$2+1,Stock!$S$5:$S$500,0))=0,INDEX(Stock!$C$5:$C$500,MATCH(24-Stock!$R$2+1,Stock!$S$5:$S$500,0))="0"),"",INDEX(Stock!$C$5:$C$500,MATCH(24-Stock!$R$2+1,Stock!$S$5:$S$500,0))),IF(OR(INDEX(Stock!$E$5:$E$500,MATCH(24-Stock!$R$2+1,Stock!$S$5:$S$500,0))="",INDEX(Stock!$E$5:$E$500,MATCH(24-Stock!$R$2+1,Stock!$S$5:$S$500,0))=0,INDEX(Stock!$E$5:$E$500,MATCH(24-Stock!$R$2+1,Stock!$S$5:$S$500,0))="0"),"",INDEX(Stock!$E$5:$E$500,MATCH(24-Stock!$R$2+1,Stock!$S$5:$S$500,0))))),"")</f>
        <v/>
      </c>
    </row>
    <row r="32" spans="1:6" ht="29" customHeight="1" x14ac:dyDescent="0.15">
      <c r="A32" s="72"/>
      <c r="B32" s="73" t="str">
        <f>IFERROR(IF(22&lt;Stock!$R$2,"",IF(OR(INDEX(Stock!$B$5:$B$500,MATCH(22-Stock!$R$2+1,Stock!$S$5:$S$500,0))="",INDEX(Stock!$B$5:$B$500,MATCH(22-Stock!$R$2+1,Stock!$S$5:$S$500,0))=0,INDEX(Stock!$B$5:$B$500,MATCH(22-Stock!$R$2+1,Stock!$S$5:$S$500,0))="0"),"",INDEX(Stock!$B$5:$B$500,MATCH(22-Stock!$R$2+1,Stock!$S$5:$S$500,0)))&amp;IF(AND(IF(OR(INDEX(Stock!$B$5:$B$500,MATCH(22-Stock!$R$2+1,Stock!$S$5:$S$500,0))="",INDEX(Stock!$B$5:$B$500,MATCH(22-Stock!$R$2+1,Stock!$S$5:$S$500,0))=0,INDEX(Stock!$B$5:$B$500,MATCH(22-Stock!$R$2+1,Stock!$S$5:$S$500,0))="0"),"",INDEX(Stock!$B$5:$B$500,MATCH(22-Stock!$R$2+1,Stock!$S$5:$S$500,0)))&lt;&gt;"",IF(OR(INDEX(Stock!$G$5:$G$500,MATCH(22-Stock!$R$2+1,Stock!$S$5:$S$500,0))="",INDEX(Stock!$G$5:$G$500,MATCH(22-Stock!$R$2+1,Stock!$S$5:$S$500,0))=0,INDEX(Stock!$G$5:$G$500,MATCH(22-Stock!$R$2+1,Stock!$S$5:$S$500,0))="0"),"",INDEX(Stock!$G$5:$G$500,MATCH(22-Stock!$R$2+1,Stock!$S$5:$S$500,0)))&lt;&gt;"")," · ","")&amp;IF(OR(INDEX(Stock!$G$5:$G$500,MATCH(22-Stock!$R$2+1,Stock!$S$5:$S$500,0))="",INDEX(Stock!$G$5:$G$500,MATCH(22-Stock!$R$2+1,Stock!$S$5:$S$500,0))=0,INDEX(Stock!$G$5:$G$500,MATCH(22-Stock!$R$2+1,Stock!$S$5:$S$500,0))="0"),"",INDEX(Stock!$G$5:$G$500,MATCH(22-Stock!$R$2+1,Stock!$S$5:$S$500,0)))),"")</f>
        <v/>
      </c>
      <c r="C32" s="72"/>
      <c r="D32" s="74" t="str">
        <f>IFERROR(IF(23&lt;Stock!$R$2,"",IF(OR(INDEX(Stock!$B$5:$B$500,MATCH(23-Stock!$R$2+1,Stock!$S$5:$S$500,0))="",INDEX(Stock!$B$5:$B$500,MATCH(23-Stock!$R$2+1,Stock!$S$5:$S$500,0))=0,INDEX(Stock!$B$5:$B$500,MATCH(23-Stock!$R$2+1,Stock!$S$5:$S$500,0))="0"),"",INDEX(Stock!$B$5:$B$500,MATCH(23-Stock!$R$2+1,Stock!$S$5:$S$500,0)))&amp;IF(AND(IF(OR(INDEX(Stock!$B$5:$B$500,MATCH(23-Stock!$R$2+1,Stock!$S$5:$S$500,0))="",INDEX(Stock!$B$5:$B$500,MATCH(23-Stock!$R$2+1,Stock!$S$5:$S$500,0))=0,INDEX(Stock!$B$5:$B$500,MATCH(23-Stock!$R$2+1,Stock!$S$5:$S$500,0))="0"),"",INDEX(Stock!$B$5:$B$500,MATCH(23-Stock!$R$2+1,Stock!$S$5:$S$500,0)))&lt;&gt;"",IF(OR(INDEX(Stock!$G$5:$G$500,MATCH(23-Stock!$R$2+1,Stock!$S$5:$S$500,0))="",INDEX(Stock!$G$5:$G$500,MATCH(23-Stock!$R$2+1,Stock!$S$5:$S$500,0))=0,INDEX(Stock!$G$5:$G$500,MATCH(23-Stock!$R$2+1,Stock!$S$5:$S$500,0))="0"),"",INDEX(Stock!$G$5:$G$500,MATCH(23-Stock!$R$2+1,Stock!$S$5:$S$500,0)))&lt;&gt;"")," · ","")&amp;IF(OR(INDEX(Stock!$G$5:$G$500,MATCH(23-Stock!$R$2+1,Stock!$S$5:$S$500,0))="",INDEX(Stock!$G$5:$G$500,MATCH(23-Stock!$R$2+1,Stock!$S$5:$S$500,0))=0,INDEX(Stock!$G$5:$G$500,MATCH(23-Stock!$R$2+1,Stock!$S$5:$S$500,0))="0"),"",INDEX(Stock!$G$5:$G$500,MATCH(23-Stock!$R$2+1,Stock!$S$5:$S$500,0)))),"")</f>
        <v/>
      </c>
      <c r="E32" s="65"/>
      <c r="F32" s="74" t="str">
        <f>IFERROR(IF(24&lt;Stock!$R$2,"",IF(OR(INDEX(Stock!$B$5:$B$500,MATCH(24-Stock!$R$2+1,Stock!$S$5:$S$500,0))="",INDEX(Stock!$B$5:$B$500,MATCH(24-Stock!$R$2+1,Stock!$S$5:$S$500,0))=0,INDEX(Stock!$B$5:$B$500,MATCH(24-Stock!$R$2+1,Stock!$S$5:$S$500,0))="0"),"",INDEX(Stock!$B$5:$B$500,MATCH(24-Stock!$R$2+1,Stock!$S$5:$S$500,0)))&amp;IF(AND(IF(OR(INDEX(Stock!$B$5:$B$500,MATCH(24-Stock!$R$2+1,Stock!$S$5:$S$500,0))="",INDEX(Stock!$B$5:$B$500,MATCH(24-Stock!$R$2+1,Stock!$S$5:$S$500,0))=0,INDEX(Stock!$B$5:$B$500,MATCH(24-Stock!$R$2+1,Stock!$S$5:$S$500,0))="0"),"",INDEX(Stock!$B$5:$B$500,MATCH(24-Stock!$R$2+1,Stock!$S$5:$S$500,0)))&lt;&gt;"",IF(OR(INDEX(Stock!$G$5:$G$500,MATCH(24-Stock!$R$2+1,Stock!$S$5:$S$500,0))="",INDEX(Stock!$G$5:$G$500,MATCH(24-Stock!$R$2+1,Stock!$S$5:$S$500,0))=0,INDEX(Stock!$G$5:$G$500,MATCH(24-Stock!$R$2+1,Stock!$S$5:$S$500,0))="0"),"",INDEX(Stock!$G$5:$G$500,MATCH(24-Stock!$R$2+1,Stock!$S$5:$S$500,0)))&lt;&gt;"")," · ","")&amp;IF(OR(INDEX(Stock!$G$5:$G$500,MATCH(24-Stock!$R$2+1,Stock!$S$5:$S$500,0))="",INDEX(Stock!$G$5:$G$500,MATCH(24-Stock!$R$2+1,Stock!$S$5:$S$500,0))=0,INDEX(Stock!$G$5:$G$500,MATCH(24-Stock!$R$2+1,Stock!$S$5:$S$500,0))="0"),"",INDEX(Stock!$G$5:$G$500,MATCH(24-Stock!$R$2+1,Stock!$S$5:$S$500,0)))),"")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29"/>
  <sheetViews>
    <sheetView showGridLines="0" topLeftCell="A2" workbookViewId="0">
      <selection activeCell="D10" sqref="D10"/>
    </sheetView>
  </sheetViews>
  <sheetFormatPr baseColWidth="10" defaultColWidth="8.6640625" defaultRowHeight="13" x14ac:dyDescent="0.15"/>
  <cols>
    <col min="1" max="1" width="14" customWidth="1"/>
    <col min="2" max="2" width="18" customWidth="1"/>
    <col min="3" max="3" width="24" customWidth="1"/>
    <col min="4" max="4" width="48" customWidth="1"/>
    <col min="5" max="6" width="16" customWidth="1"/>
    <col min="7" max="7" width="18" customWidth="1"/>
    <col min="8" max="8" width="12" customWidth="1"/>
    <col min="9" max="9" width="16" customWidth="1"/>
    <col min="10" max="10" width="35" customWidth="1"/>
    <col min="11" max="11" width="19.33203125" customWidth="1"/>
    <col min="12" max="12" width="12.5" customWidth="1"/>
  </cols>
  <sheetData>
    <row r="1" spans="1:12" ht="30" customHeight="1" x14ac:dyDescent="0.15">
      <c r="A1" s="75" t="s">
        <v>0</v>
      </c>
      <c r="B1" s="75" t="s">
        <v>59</v>
      </c>
      <c r="C1" s="75" t="s">
        <v>60</v>
      </c>
      <c r="D1" s="75" t="s">
        <v>66</v>
      </c>
      <c r="E1" s="75" t="s">
        <v>28</v>
      </c>
      <c r="F1" s="75" t="s">
        <v>216</v>
      </c>
      <c r="G1" s="75" t="s">
        <v>62</v>
      </c>
      <c r="H1" s="75" t="s">
        <v>217</v>
      </c>
      <c r="I1" s="75" t="s">
        <v>218</v>
      </c>
      <c r="J1" s="75" t="s">
        <v>11</v>
      </c>
      <c r="K1" s="76" t="s">
        <v>219</v>
      </c>
      <c r="L1" s="76" t="s">
        <v>220</v>
      </c>
    </row>
    <row r="2" spans="1:12" ht="70" customHeight="1" x14ac:dyDescent="0.15">
      <c r="A2" s="103" t="s">
        <v>84</v>
      </c>
      <c r="B2" s="103" t="s">
        <v>225</v>
      </c>
      <c r="C2" s="103"/>
      <c r="D2" s="103" t="s">
        <v>1158</v>
      </c>
      <c r="E2" s="104">
        <v>15.3</v>
      </c>
      <c r="F2" s="103" t="s">
        <v>1159</v>
      </c>
      <c r="G2" s="103">
        <v>10</v>
      </c>
      <c r="H2" s="103" t="s">
        <v>223</v>
      </c>
      <c r="I2" s="105"/>
      <c r="J2" s="103"/>
      <c r="K2" s="106" t="str">
        <f t="shared" ref="K2:K33" si="0">A2&amp;"|"&amp;B2</f>
        <v>ENP-00001|eBay</v>
      </c>
      <c r="L2" s="106" t="str">
        <f t="shared" ref="L2:L33" si="1">A2&amp;"|"&amp;H2</f>
        <v>ENP-00001|Ja</v>
      </c>
    </row>
    <row r="3" spans="1:12" ht="70" customHeight="1" x14ac:dyDescent="0.15">
      <c r="A3" s="103" t="s">
        <v>88</v>
      </c>
      <c r="B3" s="103" t="s">
        <v>225</v>
      </c>
      <c r="C3" s="103"/>
      <c r="D3" s="103" t="s">
        <v>1160</v>
      </c>
      <c r="E3" s="104">
        <v>6.69</v>
      </c>
      <c r="F3" s="103" t="s">
        <v>1159</v>
      </c>
      <c r="G3" s="103">
        <v>10</v>
      </c>
      <c r="H3" s="103" t="s">
        <v>223</v>
      </c>
      <c r="I3" s="105"/>
      <c r="J3" s="103"/>
      <c r="K3" s="106" t="str">
        <f t="shared" si="0"/>
        <v>ENP-00002|eBay</v>
      </c>
      <c r="L3" s="106" t="str">
        <f t="shared" si="1"/>
        <v>ENP-00002|Ja</v>
      </c>
    </row>
    <row r="4" spans="1:12" ht="70" customHeight="1" x14ac:dyDescent="0.15">
      <c r="A4" s="103" t="s">
        <v>90</v>
      </c>
      <c r="B4" s="103" t="s">
        <v>230</v>
      </c>
      <c r="C4" s="103" t="s">
        <v>1161</v>
      </c>
      <c r="D4" s="103" t="s">
        <v>1162</v>
      </c>
      <c r="E4" s="104">
        <v>0.81</v>
      </c>
      <c r="F4" s="103" t="s">
        <v>1159</v>
      </c>
      <c r="G4" s="103"/>
      <c r="H4" s="103" t="s">
        <v>223</v>
      </c>
      <c r="I4" s="105" t="s">
        <v>1163</v>
      </c>
      <c r="J4" s="103" t="s">
        <v>1164</v>
      </c>
      <c r="K4" s="106" t="str">
        <f t="shared" si="0"/>
        <v>ENP-00003|Reichelt</v>
      </c>
      <c r="L4" s="106" t="str">
        <f t="shared" si="1"/>
        <v>ENP-00003|Ja</v>
      </c>
    </row>
    <row r="5" spans="1:12" ht="70" customHeight="1" x14ac:dyDescent="0.15">
      <c r="A5" s="103" t="s">
        <v>93</v>
      </c>
      <c r="B5" s="103" t="s">
        <v>230</v>
      </c>
      <c r="C5" s="103" t="s">
        <v>1165</v>
      </c>
      <c r="D5" s="103" t="s">
        <v>1166</v>
      </c>
      <c r="E5" s="104">
        <v>2.5499999999999998</v>
      </c>
      <c r="F5" s="103" t="s">
        <v>1159</v>
      </c>
      <c r="G5" s="103"/>
      <c r="H5" s="103" t="s">
        <v>223</v>
      </c>
      <c r="I5" s="105"/>
      <c r="J5" s="103"/>
      <c r="K5" s="106" t="str">
        <f t="shared" si="0"/>
        <v>ENP-00004|Reichelt</v>
      </c>
      <c r="L5" s="106" t="str">
        <f t="shared" si="1"/>
        <v>ENP-00004|Ja</v>
      </c>
    </row>
    <row r="6" spans="1:12" ht="70" customHeight="1" x14ac:dyDescent="0.15">
      <c r="A6" s="103" t="s">
        <v>94</v>
      </c>
      <c r="B6" s="103" t="s">
        <v>230</v>
      </c>
      <c r="C6" s="103" t="s">
        <v>1167</v>
      </c>
      <c r="D6" s="103" t="s">
        <v>1168</v>
      </c>
      <c r="E6" s="104">
        <v>0.15</v>
      </c>
      <c r="F6" s="103" t="s">
        <v>1159</v>
      </c>
      <c r="G6" s="103"/>
      <c r="H6" s="103" t="s">
        <v>223</v>
      </c>
      <c r="I6" s="105"/>
      <c r="J6" s="103"/>
      <c r="K6" s="106" t="str">
        <f t="shared" si="0"/>
        <v>ENP-00005|Reichelt</v>
      </c>
      <c r="L6" s="106" t="str">
        <f t="shared" si="1"/>
        <v>ENP-00005|Ja</v>
      </c>
    </row>
    <row r="7" spans="1:12" ht="70" customHeight="1" x14ac:dyDescent="0.15">
      <c r="A7" s="103" t="s">
        <v>95</v>
      </c>
      <c r="B7" s="103" t="s">
        <v>230</v>
      </c>
      <c r="C7" s="103" t="s">
        <v>1169</v>
      </c>
      <c r="D7" s="103" t="s">
        <v>1170</v>
      </c>
      <c r="E7" s="104">
        <v>0.24</v>
      </c>
      <c r="F7" s="103" t="s">
        <v>1159</v>
      </c>
      <c r="G7" s="103">
        <v>10</v>
      </c>
      <c r="H7" s="103" t="s">
        <v>223</v>
      </c>
      <c r="I7" s="105" t="s">
        <v>1163</v>
      </c>
      <c r="J7" s="103" t="s">
        <v>1164</v>
      </c>
      <c r="K7" s="106" t="str">
        <f t="shared" si="0"/>
        <v>ENP-00006|Reichelt</v>
      </c>
      <c r="L7" s="106" t="str">
        <f t="shared" si="1"/>
        <v>ENP-00006|Ja</v>
      </c>
    </row>
    <row r="8" spans="1:12" ht="70" customHeight="1" x14ac:dyDescent="0.15">
      <c r="A8" s="103" t="s">
        <v>97</v>
      </c>
      <c r="B8" s="103" t="s">
        <v>230</v>
      </c>
      <c r="C8" s="103" t="s">
        <v>299</v>
      </c>
      <c r="D8" s="103" t="s">
        <v>1171</v>
      </c>
      <c r="E8" s="104">
        <v>0.11</v>
      </c>
      <c r="F8" s="103" t="s">
        <v>1159</v>
      </c>
      <c r="G8" s="103">
        <v>10</v>
      </c>
      <c r="H8" s="103" t="s">
        <v>223</v>
      </c>
      <c r="I8" s="105"/>
      <c r="J8" s="103"/>
      <c r="K8" s="106" t="str">
        <f t="shared" si="0"/>
        <v>ENP-00007|Reichelt</v>
      </c>
      <c r="L8" s="106" t="str">
        <f t="shared" si="1"/>
        <v>ENP-00007|Ja</v>
      </c>
    </row>
    <row r="9" spans="1:12" ht="70" customHeight="1" x14ac:dyDescent="0.15">
      <c r="A9" s="103" t="s">
        <v>98</v>
      </c>
      <c r="B9" s="103" t="s">
        <v>230</v>
      </c>
      <c r="C9" s="103" t="s">
        <v>1172</v>
      </c>
      <c r="D9" s="103" t="s">
        <v>1173</v>
      </c>
      <c r="E9" s="104">
        <v>0.28999999999999998</v>
      </c>
      <c r="F9" s="103" t="s">
        <v>1159</v>
      </c>
      <c r="G9" s="103"/>
      <c r="H9" s="103" t="s">
        <v>223</v>
      </c>
      <c r="I9" s="105"/>
      <c r="J9" s="103"/>
      <c r="K9" s="106" t="str">
        <f t="shared" si="0"/>
        <v>ENP-00008|Reichelt</v>
      </c>
      <c r="L9" s="106" t="str">
        <f t="shared" si="1"/>
        <v>ENP-00008|Ja</v>
      </c>
    </row>
    <row r="10" spans="1:12" ht="70" customHeight="1" x14ac:dyDescent="0.15">
      <c r="A10" s="103" t="s">
        <v>99</v>
      </c>
      <c r="B10" s="103" t="s">
        <v>230</v>
      </c>
      <c r="C10" s="103" t="s">
        <v>1379</v>
      </c>
      <c r="D10" s="103" t="s">
        <v>1174</v>
      </c>
      <c r="E10" s="104">
        <v>1</v>
      </c>
      <c r="F10" s="103" t="s">
        <v>1159</v>
      </c>
      <c r="G10" s="103">
        <v>3</v>
      </c>
      <c r="H10" s="103" t="s">
        <v>223</v>
      </c>
      <c r="I10" s="105"/>
      <c r="J10" s="103"/>
      <c r="K10" s="106" t="str">
        <f t="shared" si="0"/>
        <v>ENP-00009|Reichelt</v>
      </c>
      <c r="L10" s="106" t="str">
        <f t="shared" si="1"/>
        <v>ENP-00009|Ja</v>
      </c>
    </row>
    <row r="11" spans="1:12" ht="70" customHeight="1" x14ac:dyDescent="0.15">
      <c r="A11" s="103" t="s">
        <v>100</v>
      </c>
      <c r="B11" s="116" t="s">
        <v>1375</v>
      </c>
      <c r="C11" s="103" t="s">
        <v>1376</v>
      </c>
      <c r="D11" s="103" t="s">
        <v>1374</v>
      </c>
      <c r="E11" s="104">
        <f>14.99/3</f>
        <v>4.996666666666667</v>
      </c>
      <c r="F11" s="103" t="s">
        <v>1159</v>
      </c>
      <c r="G11" s="103">
        <v>1</v>
      </c>
      <c r="H11" s="103" t="s">
        <v>223</v>
      </c>
      <c r="I11" s="105"/>
      <c r="J11" s="103" t="s">
        <v>326</v>
      </c>
      <c r="K11" s="106" t="str">
        <f t="shared" si="0"/>
        <v>ENP-00010|Amazon</v>
      </c>
      <c r="L11" s="106" t="str">
        <f t="shared" si="1"/>
        <v>ENP-00010|Ja</v>
      </c>
    </row>
    <row r="12" spans="1:12" ht="70" customHeight="1" x14ac:dyDescent="0.15">
      <c r="A12" s="103" t="s">
        <v>101</v>
      </c>
      <c r="B12" s="103" t="s">
        <v>226</v>
      </c>
      <c r="C12" s="103"/>
      <c r="D12" s="103" t="s">
        <v>1175</v>
      </c>
      <c r="E12" s="104">
        <v>7.85</v>
      </c>
      <c r="F12" s="103" t="s">
        <v>1159</v>
      </c>
      <c r="G12" s="103">
        <v>5</v>
      </c>
      <c r="H12" s="103" t="s">
        <v>223</v>
      </c>
      <c r="I12" s="105"/>
      <c r="J12" s="103"/>
      <c r="K12" s="106" t="str">
        <f t="shared" si="0"/>
        <v>ENP-00011|JLCPCB</v>
      </c>
      <c r="L12" s="106" t="str">
        <f t="shared" si="1"/>
        <v>ENP-00011|Ja</v>
      </c>
    </row>
    <row r="13" spans="1:12" ht="70" customHeight="1" x14ac:dyDescent="0.15">
      <c r="A13" s="103" t="s">
        <v>102</v>
      </c>
      <c r="B13" s="103" t="s">
        <v>230</v>
      </c>
      <c r="C13" s="103" t="s">
        <v>1176</v>
      </c>
      <c r="D13" s="103" t="s">
        <v>1177</v>
      </c>
      <c r="E13" s="104">
        <v>1.3</v>
      </c>
      <c r="F13" s="103" t="s">
        <v>1159</v>
      </c>
      <c r="G13" s="103"/>
      <c r="H13" s="103" t="s">
        <v>223</v>
      </c>
      <c r="I13" s="105"/>
      <c r="J13" s="103"/>
      <c r="K13" s="106" t="str">
        <f t="shared" si="0"/>
        <v>ENP-00012|Reichelt</v>
      </c>
      <c r="L13" s="106" t="str">
        <f t="shared" si="1"/>
        <v>ENP-00012|Ja</v>
      </c>
    </row>
    <row r="14" spans="1:12" ht="70" customHeight="1" x14ac:dyDescent="0.15">
      <c r="A14" s="103" t="s">
        <v>103</v>
      </c>
      <c r="B14" s="103" t="s">
        <v>230</v>
      </c>
      <c r="C14" s="103" t="s">
        <v>344</v>
      </c>
      <c r="D14" s="103" t="s">
        <v>1178</v>
      </c>
      <c r="E14" s="104">
        <v>0.18</v>
      </c>
      <c r="F14" s="103" t="s">
        <v>1159</v>
      </c>
      <c r="G14" s="103"/>
      <c r="H14" s="103" t="s">
        <v>223</v>
      </c>
      <c r="I14" s="105" t="s">
        <v>1163</v>
      </c>
      <c r="J14" s="103" t="s">
        <v>1164</v>
      </c>
      <c r="K14" s="106" t="str">
        <f t="shared" si="0"/>
        <v>ENP-00013|Reichelt</v>
      </c>
      <c r="L14" s="106" t="str">
        <f t="shared" si="1"/>
        <v>ENP-00013|Ja</v>
      </c>
    </row>
    <row r="15" spans="1:12" ht="70" customHeight="1" x14ac:dyDescent="0.15">
      <c r="A15" s="103" t="s">
        <v>104</v>
      </c>
      <c r="B15" s="103" t="s">
        <v>230</v>
      </c>
      <c r="C15" s="103" t="s">
        <v>1179</v>
      </c>
      <c r="D15" s="103" t="s">
        <v>1180</v>
      </c>
      <c r="E15" s="104">
        <v>5.3</v>
      </c>
      <c r="F15" s="103" t="s">
        <v>1159</v>
      </c>
      <c r="G15" s="103"/>
      <c r="H15" s="103" t="s">
        <v>223</v>
      </c>
      <c r="I15" s="105"/>
      <c r="J15" s="103"/>
      <c r="K15" s="106" t="str">
        <f t="shared" si="0"/>
        <v>ENP-00014|Reichelt</v>
      </c>
      <c r="L15" s="106" t="str">
        <f t="shared" si="1"/>
        <v>ENP-00014|Ja</v>
      </c>
    </row>
    <row r="16" spans="1:12" ht="70" customHeight="1" x14ac:dyDescent="0.15">
      <c r="A16" s="103" t="s">
        <v>105</v>
      </c>
      <c r="B16" s="103" t="s">
        <v>230</v>
      </c>
      <c r="C16" s="103" t="s">
        <v>1181</v>
      </c>
      <c r="D16" s="103" t="s">
        <v>1182</v>
      </c>
      <c r="E16" s="104">
        <v>8.85</v>
      </c>
      <c r="F16" s="103" t="s">
        <v>1159</v>
      </c>
      <c r="G16" s="103"/>
      <c r="H16" s="103" t="s">
        <v>223</v>
      </c>
      <c r="I16" s="105"/>
      <c r="J16" s="103"/>
      <c r="K16" s="106" t="str">
        <f t="shared" si="0"/>
        <v>ENP-00015|Reichelt</v>
      </c>
      <c r="L16" s="106" t="str">
        <f t="shared" si="1"/>
        <v>ENP-00015|Ja</v>
      </c>
    </row>
    <row r="17" spans="1:12" ht="70" customHeight="1" x14ac:dyDescent="0.15">
      <c r="A17" s="103" t="s">
        <v>107</v>
      </c>
      <c r="B17" s="103" t="s">
        <v>230</v>
      </c>
      <c r="C17" s="103" t="s">
        <v>1183</v>
      </c>
      <c r="D17" s="103" t="s">
        <v>1184</v>
      </c>
      <c r="E17" s="104">
        <v>0.83</v>
      </c>
      <c r="F17" s="103" t="s">
        <v>1159</v>
      </c>
      <c r="G17" s="103"/>
      <c r="H17" s="103" t="s">
        <v>223</v>
      </c>
      <c r="I17" s="105" t="s">
        <v>1163</v>
      </c>
      <c r="J17" s="103" t="s">
        <v>1164</v>
      </c>
      <c r="K17" s="106" t="str">
        <f t="shared" si="0"/>
        <v>ENP-00016|Reichelt</v>
      </c>
      <c r="L17" s="106" t="str">
        <f t="shared" si="1"/>
        <v>ENP-00016|Ja</v>
      </c>
    </row>
    <row r="18" spans="1:12" ht="70" customHeight="1" x14ac:dyDescent="0.15">
      <c r="A18" s="103" t="s">
        <v>108</v>
      </c>
      <c r="B18" s="103" t="s">
        <v>230</v>
      </c>
      <c r="C18" s="103" t="s">
        <v>1185</v>
      </c>
      <c r="D18" s="103" t="s">
        <v>1186</v>
      </c>
      <c r="E18" s="104">
        <v>0.06</v>
      </c>
      <c r="F18" s="103" t="s">
        <v>1159</v>
      </c>
      <c r="G18" s="103"/>
      <c r="H18" s="103" t="s">
        <v>223</v>
      </c>
      <c r="I18" s="105" t="s">
        <v>1163</v>
      </c>
      <c r="J18" s="103" t="s">
        <v>1164</v>
      </c>
      <c r="K18" s="106" t="str">
        <f t="shared" si="0"/>
        <v>ENP-00017|Reichelt</v>
      </c>
      <c r="L18" s="106" t="str">
        <f t="shared" si="1"/>
        <v>ENP-00017|Ja</v>
      </c>
    </row>
    <row r="19" spans="1:12" ht="70" customHeight="1" x14ac:dyDescent="0.15">
      <c r="A19" s="103" t="s">
        <v>109</v>
      </c>
      <c r="B19" s="103" t="s">
        <v>230</v>
      </c>
      <c r="C19" s="103" t="s">
        <v>1187</v>
      </c>
      <c r="D19" s="103" t="s">
        <v>1188</v>
      </c>
      <c r="E19" s="104">
        <v>0.75</v>
      </c>
      <c r="F19" s="103" t="s">
        <v>1159</v>
      </c>
      <c r="G19" s="103"/>
      <c r="H19" s="103" t="s">
        <v>223</v>
      </c>
      <c r="I19" s="105" t="s">
        <v>1163</v>
      </c>
      <c r="J19" s="103" t="s">
        <v>1164</v>
      </c>
      <c r="K19" s="106" t="str">
        <f t="shared" si="0"/>
        <v>ENP-00018|Reichelt</v>
      </c>
      <c r="L19" s="106" t="str">
        <f t="shared" si="1"/>
        <v>ENP-00018|Ja</v>
      </c>
    </row>
    <row r="20" spans="1:12" ht="70" customHeight="1" x14ac:dyDescent="0.15">
      <c r="A20" s="103" t="s">
        <v>110</v>
      </c>
      <c r="B20" s="103" t="s">
        <v>230</v>
      </c>
      <c r="C20" s="103" t="s">
        <v>1189</v>
      </c>
      <c r="D20" s="103" t="s">
        <v>1190</v>
      </c>
      <c r="E20" s="104">
        <v>0.31</v>
      </c>
      <c r="F20" s="103" t="s">
        <v>1159</v>
      </c>
      <c r="G20" s="103"/>
      <c r="H20" s="103" t="s">
        <v>223</v>
      </c>
      <c r="I20" s="105"/>
      <c r="J20" s="103"/>
      <c r="K20" s="106" t="str">
        <f t="shared" si="0"/>
        <v>ENP-00019|Reichelt</v>
      </c>
      <c r="L20" s="106" t="str">
        <f t="shared" si="1"/>
        <v>ENP-00019|Ja</v>
      </c>
    </row>
    <row r="21" spans="1:12" ht="70" customHeight="1" x14ac:dyDescent="0.15">
      <c r="A21" s="103" t="s">
        <v>111</v>
      </c>
      <c r="B21" s="103" t="s">
        <v>230</v>
      </c>
      <c r="C21" s="103" t="s">
        <v>1191</v>
      </c>
      <c r="D21" s="103" t="s">
        <v>1192</v>
      </c>
      <c r="E21" s="104">
        <v>1.1000000000000001</v>
      </c>
      <c r="F21" s="103" t="s">
        <v>1159</v>
      </c>
      <c r="G21" s="103"/>
      <c r="H21" s="103" t="s">
        <v>223</v>
      </c>
      <c r="I21" s="105" t="s">
        <v>1163</v>
      </c>
      <c r="J21" s="103" t="s">
        <v>1164</v>
      </c>
      <c r="K21" s="106" t="str">
        <f t="shared" si="0"/>
        <v>ENP-00020|Reichelt</v>
      </c>
      <c r="L21" s="106" t="str">
        <f t="shared" si="1"/>
        <v>ENP-00020|Ja</v>
      </c>
    </row>
    <row r="22" spans="1:12" ht="70" customHeight="1" x14ac:dyDescent="0.15">
      <c r="A22" s="103" t="s">
        <v>112</v>
      </c>
      <c r="B22" s="103" t="s">
        <v>230</v>
      </c>
      <c r="C22" s="103" t="s">
        <v>1193</v>
      </c>
      <c r="D22" s="103" t="s">
        <v>1194</v>
      </c>
      <c r="E22" s="104">
        <v>1.7</v>
      </c>
      <c r="F22" s="103" t="s">
        <v>1159</v>
      </c>
      <c r="G22" s="103"/>
      <c r="H22" s="103" t="s">
        <v>223</v>
      </c>
      <c r="I22" s="105"/>
      <c r="J22" s="103"/>
      <c r="K22" s="106" t="str">
        <f t="shared" si="0"/>
        <v>ENP-00021|Reichelt</v>
      </c>
      <c r="L22" s="106" t="str">
        <f t="shared" si="1"/>
        <v>ENP-00021|Ja</v>
      </c>
    </row>
    <row r="23" spans="1:12" ht="70" customHeight="1" x14ac:dyDescent="0.15">
      <c r="A23" s="103" t="s">
        <v>113</v>
      </c>
      <c r="B23" s="103" t="s">
        <v>230</v>
      </c>
      <c r="C23" s="103" t="s">
        <v>1195</v>
      </c>
      <c r="D23" s="103" t="s">
        <v>1196</v>
      </c>
      <c r="E23" s="104">
        <v>0.02</v>
      </c>
      <c r="F23" s="103" t="s">
        <v>1159</v>
      </c>
      <c r="G23" s="103"/>
      <c r="H23" s="103" t="s">
        <v>223</v>
      </c>
      <c r="I23" s="105"/>
      <c r="J23" s="103"/>
      <c r="K23" s="106" t="str">
        <f t="shared" si="0"/>
        <v>ENP-00022|Reichelt</v>
      </c>
      <c r="L23" s="106" t="str">
        <f t="shared" si="1"/>
        <v>ENP-00022|Ja</v>
      </c>
    </row>
    <row r="24" spans="1:12" ht="70" customHeight="1" x14ac:dyDescent="0.15">
      <c r="A24" s="103" t="s">
        <v>114</v>
      </c>
      <c r="B24" s="103" t="s">
        <v>230</v>
      </c>
      <c r="C24" s="103" t="s">
        <v>1197</v>
      </c>
      <c r="D24" s="103" t="s">
        <v>1198</v>
      </c>
      <c r="E24" s="104">
        <v>5.8</v>
      </c>
      <c r="F24" s="103" t="s">
        <v>1159</v>
      </c>
      <c r="G24" s="103"/>
      <c r="H24" s="103" t="s">
        <v>223</v>
      </c>
      <c r="I24" s="105"/>
      <c r="J24" s="103"/>
      <c r="K24" s="106" t="str">
        <f t="shared" si="0"/>
        <v>ENP-00023|Reichelt</v>
      </c>
      <c r="L24" s="106" t="str">
        <f t="shared" si="1"/>
        <v>ENP-00023|Ja</v>
      </c>
    </row>
    <row r="25" spans="1:12" ht="70" customHeight="1" x14ac:dyDescent="0.15">
      <c r="A25" s="103" t="s">
        <v>115</v>
      </c>
      <c r="B25" s="103" t="s">
        <v>224</v>
      </c>
      <c r="C25" s="103" t="s">
        <v>1199</v>
      </c>
      <c r="D25" s="103" t="s">
        <v>1200</v>
      </c>
      <c r="E25" s="104">
        <v>0.32</v>
      </c>
      <c r="F25" s="103" t="s">
        <v>1159</v>
      </c>
      <c r="G25" s="103">
        <v>1</v>
      </c>
      <c r="H25" s="103" t="s">
        <v>223</v>
      </c>
      <c r="I25" s="105"/>
      <c r="J25" s="103"/>
      <c r="K25" s="106" t="str">
        <f t="shared" si="0"/>
        <v>ENP-00024|DigiKey</v>
      </c>
      <c r="L25" s="106" t="str">
        <f t="shared" si="1"/>
        <v>ENP-00024|Ja</v>
      </c>
    </row>
    <row r="26" spans="1:12" ht="70" customHeight="1" x14ac:dyDescent="0.15">
      <c r="A26" s="103" t="s">
        <v>116</v>
      </c>
      <c r="B26" s="103" t="s">
        <v>230</v>
      </c>
      <c r="C26" s="103" t="s">
        <v>1201</v>
      </c>
      <c r="D26" s="103" t="s">
        <v>1202</v>
      </c>
      <c r="E26" s="104">
        <v>0.17</v>
      </c>
      <c r="F26" s="103" t="s">
        <v>1159</v>
      </c>
      <c r="G26" s="103"/>
      <c r="H26" s="103" t="s">
        <v>223</v>
      </c>
      <c r="I26" s="105"/>
      <c r="J26" s="103"/>
      <c r="K26" s="106" t="str">
        <f t="shared" si="0"/>
        <v>ENP-00025|Reichelt</v>
      </c>
      <c r="L26" s="106" t="str">
        <f t="shared" si="1"/>
        <v>ENP-00025|Ja</v>
      </c>
    </row>
    <row r="27" spans="1:12" ht="70" customHeight="1" x14ac:dyDescent="0.15">
      <c r="A27" s="103" t="s">
        <v>117</v>
      </c>
      <c r="B27" s="103" t="s">
        <v>224</v>
      </c>
      <c r="C27" s="103" t="s">
        <v>1203</v>
      </c>
      <c r="D27" s="103" t="s">
        <v>1204</v>
      </c>
      <c r="E27" s="104">
        <v>0.45</v>
      </c>
      <c r="F27" s="103" t="s">
        <v>1159</v>
      </c>
      <c r="G27" s="103"/>
      <c r="H27" s="103" t="s">
        <v>223</v>
      </c>
      <c r="I27" s="105" t="s">
        <v>1205</v>
      </c>
      <c r="J27" s="103" t="s">
        <v>1206</v>
      </c>
      <c r="K27" s="106" t="str">
        <f t="shared" si="0"/>
        <v>ENP-00026|DigiKey</v>
      </c>
      <c r="L27" s="106" t="str">
        <f t="shared" si="1"/>
        <v>ENP-00026|Ja</v>
      </c>
    </row>
    <row r="28" spans="1:12" ht="70" customHeight="1" x14ac:dyDescent="0.15">
      <c r="A28" s="103" t="s">
        <v>118</v>
      </c>
      <c r="B28" s="103" t="s">
        <v>224</v>
      </c>
      <c r="C28" s="103" t="s">
        <v>1207</v>
      </c>
      <c r="D28" s="103" t="s">
        <v>1208</v>
      </c>
      <c r="E28" s="104">
        <v>6.4</v>
      </c>
      <c r="F28" s="103" t="s">
        <v>1159</v>
      </c>
      <c r="G28" s="103"/>
      <c r="H28" s="103" t="s">
        <v>223</v>
      </c>
      <c r="I28" s="105"/>
      <c r="J28" s="103"/>
      <c r="K28" s="106" t="str">
        <f t="shared" si="0"/>
        <v>ENP-00027|DigiKey</v>
      </c>
      <c r="L28" s="106" t="str">
        <f t="shared" si="1"/>
        <v>ENP-00027|Ja</v>
      </c>
    </row>
    <row r="29" spans="1:12" ht="70" customHeight="1" x14ac:dyDescent="0.15">
      <c r="A29" s="103" t="s">
        <v>119</v>
      </c>
      <c r="B29" s="103" t="s">
        <v>230</v>
      </c>
      <c r="C29" s="103" t="s">
        <v>444</v>
      </c>
      <c r="D29" s="103" t="s">
        <v>1209</v>
      </c>
      <c r="E29" s="104">
        <v>0.16</v>
      </c>
      <c r="F29" s="103" t="s">
        <v>1159</v>
      </c>
      <c r="G29" s="103"/>
      <c r="H29" s="103" t="s">
        <v>223</v>
      </c>
      <c r="I29" s="105"/>
      <c r="J29" s="103"/>
      <c r="K29" s="106" t="str">
        <f t="shared" si="0"/>
        <v>ENP-00028|Reichelt</v>
      </c>
      <c r="L29" s="106" t="str">
        <f t="shared" si="1"/>
        <v>ENP-00028|Ja</v>
      </c>
    </row>
    <row r="30" spans="1:12" ht="70" customHeight="1" x14ac:dyDescent="0.15">
      <c r="A30" s="103" t="s">
        <v>120</v>
      </c>
      <c r="B30" s="103" t="s">
        <v>230</v>
      </c>
      <c r="C30" s="103" t="s">
        <v>1210</v>
      </c>
      <c r="D30" s="103" t="s">
        <v>1211</v>
      </c>
      <c r="E30" s="104">
        <v>0.04</v>
      </c>
      <c r="F30" s="103" t="s">
        <v>1159</v>
      </c>
      <c r="G30" s="103"/>
      <c r="H30" s="103" t="s">
        <v>223</v>
      </c>
      <c r="I30" s="105"/>
      <c r="J30" s="103"/>
      <c r="K30" s="106" t="str">
        <f t="shared" si="0"/>
        <v>ENP-00029|Reichelt</v>
      </c>
      <c r="L30" s="106" t="str">
        <f t="shared" si="1"/>
        <v>ENP-00029|Ja</v>
      </c>
    </row>
    <row r="31" spans="1:12" ht="70" customHeight="1" x14ac:dyDescent="0.15">
      <c r="A31" s="103" t="s">
        <v>121</v>
      </c>
      <c r="B31" s="103" t="s">
        <v>228</v>
      </c>
      <c r="C31" s="103"/>
      <c r="D31" s="103"/>
      <c r="E31" s="104"/>
      <c r="F31" s="103" t="s">
        <v>1159</v>
      </c>
      <c r="G31" s="103"/>
      <c r="H31" s="103" t="s">
        <v>223</v>
      </c>
      <c r="I31" s="105"/>
      <c r="J31" s="103" t="s">
        <v>458</v>
      </c>
      <c r="K31" s="106" t="str">
        <f t="shared" si="0"/>
        <v>ENP-00030|Noch festlegen</v>
      </c>
      <c r="L31" s="106" t="str">
        <f t="shared" si="1"/>
        <v>ENP-00030|Ja</v>
      </c>
    </row>
    <row r="32" spans="1:12" ht="70" customHeight="1" x14ac:dyDescent="0.15">
      <c r="A32" s="103" t="s">
        <v>122</v>
      </c>
      <c r="B32" s="103" t="s">
        <v>230</v>
      </c>
      <c r="C32" s="103">
        <v>31101103</v>
      </c>
      <c r="D32" s="103" t="s">
        <v>1212</v>
      </c>
      <c r="E32" s="104">
        <v>0.39</v>
      </c>
      <c r="F32" s="103" t="s">
        <v>1159</v>
      </c>
      <c r="G32" s="103"/>
      <c r="H32" s="103" t="s">
        <v>223</v>
      </c>
      <c r="I32" s="105"/>
      <c r="J32" s="103"/>
      <c r="K32" s="106" t="str">
        <f t="shared" si="0"/>
        <v>ENP-00031|Reichelt</v>
      </c>
      <c r="L32" s="106" t="str">
        <f t="shared" si="1"/>
        <v>ENP-00031|Ja</v>
      </c>
    </row>
    <row r="33" spans="1:12" ht="70" customHeight="1" x14ac:dyDescent="0.15">
      <c r="A33" s="103" t="s">
        <v>123</v>
      </c>
      <c r="B33" s="103" t="s">
        <v>224</v>
      </c>
      <c r="C33" s="103" t="s">
        <v>1213</v>
      </c>
      <c r="D33" s="103" t="s">
        <v>1214</v>
      </c>
      <c r="E33" s="104">
        <v>0.88</v>
      </c>
      <c r="F33" s="103" t="s">
        <v>1159</v>
      </c>
      <c r="G33" s="103"/>
      <c r="H33" s="103" t="s">
        <v>223</v>
      </c>
      <c r="I33" s="105" t="s">
        <v>1215</v>
      </c>
      <c r="J33" s="103" t="s">
        <v>1216</v>
      </c>
      <c r="K33" s="106" t="str">
        <f t="shared" si="0"/>
        <v>ENP-00032|DigiKey</v>
      </c>
      <c r="L33" s="106" t="str">
        <f t="shared" si="1"/>
        <v>ENP-00032|Ja</v>
      </c>
    </row>
    <row r="34" spans="1:12" ht="70" customHeight="1" x14ac:dyDescent="0.15">
      <c r="A34" s="103" t="s">
        <v>124</v>
      </c>
      <c r="B34" s="103" t="s">
        <v>230</v>
      </c>
      <c r="C34" s="103" t="s">
        <v>1217</v>
      </c>
      <c r="D34" s="103" t="s">
        <v>1218</v>
      </c>
      <c r="E34" s="104">
        <v>0.02</v>
      </c>
      <c r="F34" s="103" t="s">
        <v>1159</v>
      </c>
      <c r="G34" s="103"/>
      <c r="H34" s="103" t="s">
        <v>223</v>
      </c>
      <c r="I34" s="105"/>
      <c r="J34" s="103"/>
      <c r="K34" s="106" t="str">
        <f t="shared" ref="K34:K65" si="2">A34&amp;"|"&amp;B34</f>
        <v>ENP-00033|Reichelt</v>
      </c>
      <c r="L34" s="106" t="str">
        <f t="shared" ref="L34:L65" si="3">A34&amp;"|"&amp;H34</f>
        <v>ENP-00033|Ja</v>
      </c>
    </row>
    <row r="35" spans="1:12" ht="70" customHeight="1" x14ac:dyDescent="0.15">
      <c r="A35" s="103" t="s">
        <v>125</v>
      </c>
      <c r="B35" s="103" t="s">
        <v>230</v>
      </c>
      <c r="C35" s="103" t="s">
        <v>1219</v>
      </c>
      <c r="D35" s="103" t="s">
        <v>1212</v>
      </c>
      <c r="E35" s="104">
        <v>0.39</v>
      </c>
      <c r="F35" s="103" t="s">
        <v>1159</v>
      </c>
      <c r="G35" s="103"/>
      <c r="H35" s="103" t="s">
        <v>223</v>
      </c>
      <c r="I35" s="105"/>
      <c r="J35" s="103"/>
      <c r="K35" s="106" t="str">
        <f t="shared" si="2"/>
        <v>ENP-00034|Reichelt</v>
      </c>
      <c r="L35" s="106" t="str">
        <f t="shared" si="3"/>
        <v>ENP-00034|Ja</v>
      </c>
    </row>
    <row r="36" spans="1:12" ht="70" customHeight="1" x14ac:dyDescent="0.15">
      <c r="A36" s="103" t="s">
        <v>126</v>
      </c>
      <c r="B36" s="103" t="s">
        <v>230</v>
      </c>
      <c r="C36" s="103" t="s">
        <v>1220</v>
      </c>
      <c r="D36" s="103" t="s">
        <v>1221</v>
      </c>
      <c r="E36" s="104">
        <v>0.02</v>
      </c>
      <c r="F36" s="103" t="s">
        <v>1159</v>
      </c>
      <c r="G36" s="103"/>
      <c r="H36" s="103" t="s">
        <v>223</v>
      </c>
      <c r="I36" s="105"/>
      <c r="J36" s="103"/>
      <c r="K36" s="106" t="str">
        <f t="shared" si="2"/>
        <v>ENP-00035|Reichelt</v>
      </c>
      <c r="L36" s="106" t="str">
        <f t="shared" si="3"/>
        <v>ENP-00035|Ja</v>
      </c>
    </row>
    <row r="37" spans="1:12" ht="70" customHeight="1" x14ac:dyDescent="0.15">
      <c r="A37" s="103" t="s">
        <v>127</v>
      </c>
      <c r="B37" s="103" t="s">
        <v>230</v>
      </c>
      <c r="C37" s="103" t="s">
        <v>1222</v>
      </c>
      <c r="D37" s="103" t="s">
        <v>1223</v>
      </c>
      <c r="E37" s="104">
        <v>0.14000000000000001</v>
      </c>
      <c r="F37" s="103" t="s">
        <v>1159</v>
      </c>
      <c r="G37" s="103"/>
      <c r="H37" s="103" t="s">
        <v>223</v>
      </c>
      <c r="I37" s="105"/>
      <c r="J37" s="103"/>
      <c r="K37" s="106" t="str">
        <f t="shared" si="2"/>
        <v>ENP-00036|Reichelt</v>
      </c>
      <c r="L37" s="106" t="str">
        <f t="shared" si="3"/>
        <v>ENP-00036|Ja</v>
      </c>
    </row>
    <row r="38" spans="1:12" ht="70" customHeight="1" x14ac:dyDescent="0.15">
      <c r="A38" s="103" t="s">
        <v>128</v>
      </c>
      <c r="B38" s="103" t="s">
        <v>230</v>
      </c>
      <c r="C38" s="103" t="s">
        <v>1224</v>
      </c>
      <c r="D38" s="103" t="s">
        <v>1225</v>
      </c>
      <c r="E38" s="104">
        <v>0.61</v>
      </c>
      <c r="F38" s="103" t="s">
        <v>1159</v>
      </c>
      <c r="G38" s="103"/>
      <c r="H38" s="103" t="s">
        <v>223</v>
      </c>
      <c r="I38" s="105"/>
      <c r="J38" s="103"/>
      <c r="K38" s="106" t="str">
        <f t="shared" si="2"/>
        <v>ENP-00037|Reichelt</v>
      </c>
      <c r="L38" s="106" t="str">
        <f t="shared" si="3"/>
        <v>ENP-00037|Ja</v>
      </c>
    </row>
    <row r="39" spans="1:12" ht="70" customHeight="1" x14ac:dyDescent="0.15">
      <c r="A39" s="103" t="s">
        <v>129</v>
      </c>
      <c r="B39" s="103" t="s">
        <v>230</v>
      </c>
      <c r="C39" s="103" t="s">
        <v>1226</v>
      </c>
      <c r="D39" s="103" t="s">
        <v>1227</v>
      </c>
      <c r="E39" s="104">
        <v>0.25</v>
      </c>
      <c r="F39" s="103" t="s">
        <v>1159</v>
      </c>
      <c r="G39" s="103"/>
      <c r="H39" s="103" t="s">
        <v>223</v>
      </c>
      <c r="I39" s="105"/>
      <c r="J39" s="103"/>
      <c r="K39" s="106" t="str">
        <f t="shared" si="2"/>
        <v>ENP-00038|Reichelt</v>
      </c>
      <c r="L39" s="106" t="str">
        <f t="shared" si="3"/>
        <v>ENP-00038|Ja</v>
      </c>
    </row>
    <row r="40" spans="1:12" ht="70" customHeight="1" x14ac:dyDescent="0.15">
      <c r="A40" s="103" t="s">
        <v>130</v>
      </c>
      <c r="B40" s="103" t="s">
        <v>230</v>
      </c>
      <c r="C40" s="103" t="s">
        <v>1228</v>
      </c>
      <c r="D40" s="103" t="s">
        <v>1229</v>
      </c>
      <c r="E40" s="104">
        <v>0.3</v>
      </c>
      <c r="F40" s="103" t="s">
        <v>1159</v>
      </c>
      <c r="G40" s="103"/>
      <c r="H40" s="103" t="s">
        <v>223</v>
      </c>
      <c r="I40" s="105"/>
      <c r="J40" s="103"/>
      <c r="K40" s="106" t="str">
        <f t="shared" si="2"/>
        <v>ENP-00039|Reichelt</v>
      </c>
      <c r="L40" s="106" t="str">
        <f t="shared" si="3"/>
        <v>ENP-00039|Ja</v>
      </c>
    </row>
    <row r="41" spans="1:12" ht="70" customHeight="1" x14ac:dyDescent="0.15">
      <c r="A41" s="103" t="s">
        <v>131</v>
      </c>
      <c r="B41" s="103" t="s">
        <v>228</v>
      </c>
      <c r="C41" s="103"/>
      <c r="D41" s="103"/>
      <c r="E41" s="104"/>
      <c r="F41" s="103" t="s">
        <v>1159</v>
      </c>
      <c r="G41" s="103"/>
      <c r="H41" s="103" t="s">
        <v>223</v>
      </c>
      <c r="I41" s="105"/>
      <c r="J41" s="103" t="s">
        <v>520</v>
      </c>
      <c r="K41" s="106" t="str">
        <f t="shared" si="2"/>
        <v>ENP-00040|Noch festlegen</v>
      </c>
      <c r="L41" s="106" t="str">
        <f t="shared" si="3"/>
        <v>ENP-00040|Ja</v>
      </c>
    </row>
    <row r="42" spans="1:12" ht="70" customHeight="1" x14ac:dyDescent="0.15">
      <c r="A42" s="103" t="s">
        <v>132</v>
      </c>
      <c r="B42" s="103" t="s">
        <v>1230</v>
      </c>
      <c r="C42" s="103" t="s">
        <v>1231</v>
      </c>
      <c r="D42" s="103" t="s">
        <v>1232</v>
      </c>
      <c r="E42" s="104"/>
      <c r="F42" s="103" t="s">
        <v>1159</v>
      </c>
      <c r="G42" s="103">
        <v>1</v>
      </c>
      <c r="H42" s="103" t="s">
        <v>223</v>
      </c>
      <c r="I42" s="105">
        <v>46294</v>
      </c>
      <c r="J42" s="103" t="s">
        <v>1233</v>
      </c>
      <c r="K42" s="106" t="str">
        <f t="shared" si="2"/>
        <v>ENP-00041|Distrelec</v>
      </c>
      <c r="L42" s="106" t="str">
        <f t="shared" si="3"/>
        <v>ENP-00041|Ja</v>
      </c>
    </row>
    <row r="43" spans="1:12" ht="70" customHeight="1" x14ac:dyDescent="0.15">
      <c r="A43" s="103" t="s">
        <v>133</v>
      </c>
      <c r="B43" s="103" t="s">
        <v>230</v>
      </c>
      <c r="C43" s="103" t="s">
        <v>530</v>
      </c>
      <c r="D43" s="103" t="s">
        <v>1234</v>
      </c>
      <c r="E43" s="104">
        <v>6.85</v>
      </c>
      <c r="F43" s="103" t="s">
        <v>1159</v>
      </c>
      <c r="G43" s="103"/>
      <c r="H43" s="103" t="s">
        <v>223</v>
      </c>
      <c r="I43" s="105"/>
      <c r="J43" s="103"/>
      <c r="K43" s="106" t="str">
        <f t="shared" si="2"/>
        <v>ENP-00042|Reichelt</v>
      </c>
      <c r="L43" s="106" t="str">
        <f t="shared" si="3"/>
        <v>ENP-00042|Ja</v>
      </c>
    </row>
    <row r="44" spans="1:12" ht="70" customHeight="1" x14ac:dyDescent="0.15">
      <c r="A44" s="103" t="s">
        <v>134</v>
      </c>
      <c r="B44" s="103" t="s">
        <v>230</v>
      </c>
      <c r="C44" s="103" t="s">
        <v>535</v>
      </c>
      <c r="D44" s="103" t="s">
        <v>1235</v>
      </c>
      <c r="E44" s="104">
        <v>6.85</v>
      </c>
      <c r="F44" s="103" t="s">
        <v>1159</v>
      </c>
      <c r="G44" s="103"/>
      <c r="H44" s="103" t="s">
        <v>223</v>
      </c>
      <c r="I44" s="105"/>
      <c r="J44" s="103"/>
      <c r="K44" s="106" t="str">
        <f t="shared" si="2"/>
        <v>ENP-00043|Reichelt</v>
      </c>
      <c r="L44" s="106" t="str">
        <f t="shared" si="3"/>
        <v>ENP-00043|Ja</v>
      </c>
    </row>
    <row r="45" spans="1:12" ht="70" customHeight="1" x14ac:dyDescent="0.15">
      <c r="A45" s="103" t="s">
        <v>135</v>
      </c>
      <c r="B45" s="103" t="s">
        <v>230</v>
      </c>
      <c r="C45" s="103" t="s">
        <v>540</v>
      </c>
      <c r="D45" s="103" t="s">
        <v>1236</v>
      </c>
      <c r="E45" s="104">
        <v>0.12</v>
      </c>
      <c r="F45" s="103" t="s">
        <v>1159</v>
      </c>
      <c r="G45" s="103"/>
      <c r="H45" s="103" t="s">
        <v>223</v>
      </c>
      <c r="I45" s="105"/>
      <c r="J45" s="103"/>
      <c r="K45" s="106" t="str">
        <f t="shared" si="2"/>
        <v>ENP-00044|Reichelt</v>
      </c>
      <c r="L45" s="106" t="str">
        <f t="shared" si="3"/>
        <v>ENP-00044|Ja</v>
      </c>
    </row>
    <row r="46" spans="1:12" ht="70" customHeight="1" x14ac:dyDescent="0.15">
      <c r="A46" s="103" t="s">
        <v>136</v>
      </c>
      <c r="B46" s="103" t="s">
        <v>230</v>
      </c>
      <c r="C46" s="103" t="s">
        <v>1237</v>
      </c>
      <c r="D46" s="103" t="s">
        <v>1238</v>
      </c>
      <c r="E46" s="104">
        <v>0.08</v>
      </c>
      <c r="F46" s="103" t="s">
        <v>1159</v>
      </c>
      <c r="G46" s="103"/>
      <c r="H46" s="103" t="s">
        <v>223</v>
      </c>
      <c r="I46" s="105"/>
      <c r="J46" s="103"/>
      <c r="K46" s="106" t="str">
        <f t="shared" si="2"/>
        <v>ENP-00045|Reichelt</v>
      </c>
      <c r="L46" s="106" t="str">
        <f t="shared" si="3"/>
        <v>ENP-00045|Ja</v>
      </c>
    </row>
    <row r="47" spans="1:12" ht="70" customHeight="1" x14ac:dyDescent="0.15">
      <c r="A47" s="103" t="s">
        <v>137</v>
      </c>
      <c r="B47" s="103" t="s">
        <v>224</v>
      </c>
      <c r="C47" s="103" t="s">
        <v>1239</v>
      </c>
      <c r="D47" s="103" t="s">
        <v>1240</v>
      </c>
      <c r="E47" s="104">
        <v>2.93</v>
      </c>
      <c r="F47" s="103" t="s">
        <v>1159</v>
      </c>
      <c r="G47" s="103"/>
      <c r="H47" s="103" t="s">
        <v>223</v>
      </c>
      <c r="I47" s="105" t="s">
        <v>1215</v>
      </c>
      <c r="J47" s="103" t="s">
        <v>1241</v>
      </c>
      <c r="K47" s="106" t="str">
        <f t="shared" si="2"/>
        <v>ENP-00046|DigiKey</v>
      </c>
      <c r="L47" s="106" t="str">
        <f t="shared" si="3"/>
        <v>ENP-00046|Ja</v>
      </c>
    </row>
    <row r="48" spans="1:12" ht="70" customHeight="1" x14ac:dyDescent="0.15">
      <c r="A48" s="103" t="s">
        <v>138</v>
      </c>
      <c r="B48" s="103" t="s">
        <v>224</v>
      </c>
      <c r="C48" s="103" t="s">
        <v>1242</v>
      </c>
      <c r="D48" s="103" t="s">
        <v>1243</v>
      </c>
      <c r="E48" s="104">
        <v>1.25</v>
      </c>
      <c r="F48" s="103" t="s">
        <v>1159</v>
      </c>
      <c r="G48" s="103">
        <v>1</v>
      </c>
      <c r="H48" s="103" t="s">
        <v>223</v>
      </c>
      <c r="I48" s="105">
        <v>46294</v>
      </c>
      <c r="J48" s="103" t="s">
        <v>1244</v>
      </c>
      <c r="K48" s="106" t="str">
        <f t="shared" si="2"/>
        <v>ENP-00047|DigiKey</v>
      </c>
      <c r="L48" s="106" t="str">
        <f t="shared" si="3"/>
        <v>ENP-00047|Ja</v>
      </c>
    </row>
    <row r="49" spans="1:12" ht="70" customHeight="1" x14ac:dyDescent="0.15">
      <c r="A49" s="103" t="s">
        <v>139</v>
      </c>
      <c r="B49" s="103" t="s">
        <v>226</v>
      </c>
      <c r="C49" s="103"/>
      <c r="D49" s="103"/>
      <c r="E49" s="104"/>
      <c r="F49" s="103" t="s">
        <v>1159</v>
      </c>
      <c r="G49" s="103">
        <v>5</v>
      </c>
      <c r="H49" s="103" t="s">
        <v>223</v>
      </c>
      <c r="I49" s="105"/>
      <c r="J49" s="103"/>
      <c r="K49" s="106" t="str">
        <f t="shared" si="2"/>
        <v>ENP-00048|JLCPCB</v>
      </c>
      <c r="L49" s="106" t="str">
        <f t="shared" si="3"/>
        <v>ENP-00048|Ja</v>
      </c>
    </row>
    <row r="50" spans="1:12" ht="70" customHeight="1" x14ac:dyDescent="0.15">
      <c r="A50" s="103" t="s">
        <v>140</v>
      </c>
      <c r="B50" s="103" t="s">
        <v>226</v>
      </c>
      <c r="C50" s="103"/>
      <c r="D50" s="103" t="s">
        <v>1245</v>
      </c>
      <c r="E50" s="104"/>
      <c r="F50" s="103" t="s">
        <v>1159</v>
      </c>
      <c r="G50" s="103">
        <v>5</v>
      </c>
      <c r="H50" s="103" t="s">
        <v>223</v>
      </c>
      <c r="I50" s="105">
        <v>46294</v>
      </c>
      <c r="J50" s="103" t="s">
        <v>1246</v>
      </c>
      <c r="K50" s="106" t="str">
        <f t="shared" si="2"/>
        <v>ENP-00049|JLCPCB</v>
      </c>
      <c r="L50" s="106" t="str">
        <f t="shared" si="3"/>
        <v>ENP-00049|Ja</v>
      </c>
    </row>
    <row r="51" spans="1:12" ht="70" customHeight="1" x14ac:dyDescent="0.15">
      <c r="A51" s="103" t="s">
        <v>141</v>
      </c>
      <c r="B51" s="103" t="s">
        <v>226</v>
      </c>
      <c r="C51" s="103"/>
      <c r="D51" s="103" t="s">
        <v>1245</v>
      </c>
      <c r="E51" s="104"/>
      <c r="F51" s="103" t="s">
        <v>1159</v>
      </c>
      <c r="G51" s="103">
        <v>5</v>
      </c>
      <c r="H51" s="103" t="s">
        <v>223</v>
      </c>
      <c r="I51" s="105">
        <v>46294</v>
      </c>
      <c r="J51" s="103" t="s">
        <v>1246</v>
      </c>
      <c r="K51" s="106" t="str">
        <f t="shared" si="2"/>
        <v>ENP-00050|JLCPCB</v>
      </c>
      <c r="L51" s="106" t="str">
        <f t="shared" si="3"/>
        <v>ENP-00050|Ja</v>
      </c>
    </row>
    <row r="52" spans="1:12" ht="70" customHeight="1" x14ac:dyDescent="0.15">
      <c r="A52" s="103" t="s">
        <v>142</v>
      </c>
      <c r="B52" s="103" t="s">
        <v>226</v>
      </c>
      <c r="C52" s="103"/>
      <c r="D52" s="103" t="s">
        <v>1245</v>
      </c>
      <c r="E52" s="104"/>
      <c r="F52" s="103" t="s">
        <v>1159</v>
      </c>
      <c r="G52" s="103">
        <v>5</v>
      </c>
      <c r="H52" s="103" t="s">
        <v>223</v>
      </c>
      <c r="I52" s="105">
        <v>46294</v>
      </c>
      <c r="J52" s="103" t="s">
        <v>1246</v>
      </c>
      <c r="K52" s="106" t="str">
        <f t="shared" si="2"/>
        <v>ENP-00051|JLCPCB</v>
      </c>
      <c r="L52" s="106" t="str">
        <f t="shared" si="3"/>
        <v>ENP-00051|Ja</v>
      </c>
    </row>
    <row r="53" spans="1:12" ht="70" customHeight="1" x14ac:dyDescent="0.15">
      <c r="A53" s="103" t="s">
        <v>143</v>
      </c>
      <c r="B53" s="103" t="s">
        <v>226</v>
      </c>
      <c r="C53" s="103"/>
      <c r="D53" s="103" t="s">
        <v>1245</v>
      </c>
      <c r="E53" s="104"/>
      <c r="F53" s="103" t="s">
        <v>1159</v>
      </c>
      <c r="G53" s="103">
        <v>5</v>
      </c>
      <c r="H53" s="103" t="s">
        <v>223</v>
      </c>
      <c r="I53" s="105">
        <v>46294</v>
      </c>
      <c r="J53" s="103" t="s">
        <v>1246</v>
      </c>
      <c r="K53" s="106" t="str">
        <f t="shared" si="2"/>
        <v>ENP-00052|JLCPCB</v>
      </c>
      <c r="L53" s="106" t="str">
        <f t="shared" si="3"/>
        <v>ENP-00052|Ja</v>
      </c>
    </row>
    <row r="54" spans="1:12" ht="70" customHeight="1" x14ac:dyDescent="0.15">
      <c r="A54" s="103" t="s">
        <v>144</v>
      </c>
      <c r="B54" s="103" t="s">
        <v>226</v>
      </c>
      <c r="C54" s="103"/>
      <c r="D54" s="103" t="s">
        <v>1245</v>
      </c>
      <c r="E54" s="104">
        <v>1.73</v>
      </c>
      <c r="F54" s="103" t="s">
        <v>1159</v>
      </c>
      <c r="G54" s="103">
        <v>5</v>
      </c>
      <c r="H54" s="103" t="s">
        <v>223</v>
      </c>
      <c r="I54" s="105">
        <v>46294</v>
      </c>
      <c r="J54" s="103" t="s">
        <v>1246</v>
      </c>
      <c r="K54" s="106" t="str">
        <f t="shared" si="2"/>
        <v>ENP-00053|JLCPCB</v>
      </c>
      <c r="L54" s="106" t="str">
        <f t="shared" si="3"/>
        <v>ENP-00053|Ja</v>
      </c>
    </row>
    <row r="55" spans="1:12" ht="70" customHeight="1" x14ac:dyDescent="0.15">
      <c r="A55" s="103" t="s">
        <v>145</v>
      </c>
      <c r="B55" s="103" t="s">
        <v>230</v>
      </c>
      <c r="C55" s="103" t="s">
        <v>1247</v>
      </c>
      <c r="D55" s="103" t="s">
        <v>1248</v>
      </c>
      <c r="E55" s="104">
        <v>0.43</v>
      </c>
      <c r="F55" s="103" t="s">
        <v>1159</v>
      </c>
      <c r="G55" s="103"/>
      <c r="H55" s="103" t="s">
        <v>223</v>
      </c>
      <c r="I55" s="105" t="s">
        <v>1205</v>
      </c>
      <c r="J55" s="103" t="s">
        <v>1249</v>
      </c>
      <c r="K55" s="106" t="str">
        <f t="shared" si="2"/>
        <v>ENP-00054|Reichelt</v>
      </c>
      <c r="L55" s="106" t="str">
        <f t="shared" si="3"/>
        <v>ENP-00054|Ja</v>
      </c>
    </row>
    <row r="56" spans="1:12" ht="70" customHeight="1" x14ac:dyDescent="0.15">
      <c r="A56" s="103" t="s">
        <v>146</v>
      </c>
      <c r="B56" s="103" t="s">
        <v>230</v>
      </c>
      <c r="C56" s="103" t="s">
        <v>1250</v>
      </c>
      <c r="D56" s="103" t="s">
        <v>1251</v>
      </c>
      <c r="E56" s="104">
        <v>0.18</v>
      </c>
      <c r="F56" s="103" t="s">
        <v>1159</v>
      </c>
      <c r="G56" s="103"/>
      <c r="H56" s="103" t="s">
        <v>223</v>
      </c>
      <c r="I56" s="105"/>
      <c r="J56" s="103"/>
      <c r="K56" s="106" t="str">
        <f t="shared" si="2"/>
        <v>ENP-00055|Reichelt</v>
      </c>
      <c r="L56" s="106" t="str">
        <f t="shared" si="3"/>
        <v>ENP-00055|Ja</v>
      </c>
    </row>
    <row r="57" spans="1:12" ht="70" customHeight="1" x14ac:dyDescent="0.15">
      <c r="A57" s="103" t="s">
        <v>147</v>
      </c>
      <c r="B57" s="103" t="s">
        <v>230</v>
      </c>
      <c r="C57" s="103" t="s">
        <v>1252</v>
      </c>
      <c r="D57" s="103" t="s">
        <v>1253</v>
      </c>
      <c r="E57" s="104">
        <v>0.18</v>
      </c>
      <c r="F57" s="103" t="s">
        <v>1159</v>
      </c>
      <c r="G57" s="103"/>
      <c r="H57" s="103" t="s">
        <v>223</v>
      </c>
      <c r="I57" s="105"/>
      <c r="J57" s="103"/>
      <c r="K57" s="106" t="str">
        <f t="shared" si="2"/>
        <v>ENP-00056|Reichelt</v>
      </c>
      <c r="L57" s="106" t="str">
        <f t="shared" si="3"/>
        <v>ENP-00056|Ja</v>
      </c>
    </row>
    <row r="58" spans="1:12" ht="70" customHeight="1" x14ac:dyDescent="0.15">
      <c r="A58" s="103" t="s">
        <v>148</v>
      </c>
      <c r="B58" s="103" t="s">
        <v>226</v>
      </c>
      <c r="C58" s="103"/>
      <c r="D58" s="103"/>
      <c r="E58" s="104"/>
      <c r="F58" s="103" t="s">
        <v>1159</v>
      </c>
      <c r="G58" s="103">
        <v>5</v>
      </c>
      <c r="H58" s="103" t="s">
        <v>223</v>
      </c>
      <c r="I58" s="105"/>
      <c r="J58" s="103"/>
      <c r="K58" s="106" t="str">
        <f t="shared" si="2"/>
        <v>ENP-00057|JLCPCB</v>
      </c>
      <c r="L58" s="106" t="str">
        <f t="shared" si="3"/>
        <v>ENP-00057|Ja</v>
      </c>
    </row>
    <row r="59" spans="1:12" ht="70" customHeight="1" x14ac:dyDescent="0.15">
      <c r="A59" s="103" t="s">
        <v>149</v>
      </c>
      <c r="B59" s="103" t="s">
        <v>224</v>
      </c>
      <c r="C59" s="103" t="s">
        <v>1254</v>
      </c>
      <c r="D59" s="103" t="s">
        <v>1255</v>
      </c>
      <c r="E59" s="104">
        <v>2.31</v>
      </c>
      <c r="F59" s="103" t="s">
        <v>1159</v>
      </c>
      <c r="G59" s="103"/>
      <c r="H59" s="103" t="s">
        <v>223</v>
      </c>
      <c r="I59" s="105"/>
      <c r="J59" s="103"/>
      <c r="K59" s="106" t="str">
        <f t="shared" si="2"/>
        <v>ENP-00058|DigiKey</v>
      </c>
      <c r="L59" s="106" t="str">
        <f t="shared" si="3"/>
        <v>ENP-00058|Ja</v>
      </c>
    </row>
    <row r="60" spans="1:12" ht="70" customHeight="1" x14ac:dyDescent="0.15">
      <c r="A60" s="103" t="s">
        <v>150</v>
      </c>
      <c r="B60" s="103" t="s">
        <v>230</v>
      </c>
      <c r="C60" s="103" t="s">
        <v>1256</v>
      </c>
      <c r="D60" s="103" t="s">
        <v>1257</v>
      </c>
      <c r="E60" s="104">
        <v>0.3</v>
      </c>
      <c r="F60" s="103" t="s">
        <v>1159</v>
      </c>
      <c r="G60" s="103"/>
      <c r="H60" s="103" t="s">
        <v>223</v>
      </c>
      <c r="I60" s="105"/>
      <c r="J60" s="103"/>
      <c r="K60" s="106" t="str">
        <f t="shared" si="2"/>
        <v>ENP-00059|Reichelt</v>
      </c>
      <c r="L60" s="106" t="str">
        <f t="shared" si="3"/>
        <v>ENP-00059|Ja</v>
      </c>
    </row>
    <row r="61" spans="1:12" ht="70" customHeight="1" x14ac:dyDescent="0.15">
      <c r="A61" s="103" t="s">
        <v>151</v>
      </c>
      <c r="B61" s="103" t="s">
        <v>226</v>
      </c>
      <c r="C61" s="103"/>
      <c r="D61" s="103" t="s">
        <v>1245</v>
      </c>
      <c r="E61" s="104"/>
      <c r="F61" s="103" t="s">
        <v>1159</v>
      </c>
      <c r="G61" s="103">
        <v>5</v>
      </c>
      <c r="H61" s="103" t="s">
        <v>223</v>
      </c>
      <c r="I61" s="105">
        <v>46294</v>
      </c>
      <c r="J61" s="103" t="s">
        <v>1246</v>
      </c>
      <c r="K61" s="106" t="str">
        <f t="shared" si="2"/>
        <v>ENP-00060|JLCPCB</v>
      </c>
      <c r="L61" s="106" t="str">
        <f t="shared" si="3"/>
        <v>ENP-00060|Ja</v>
      </c>
    </row>
    <row r="62" spans="1:12" ht="70" customHeight="1" x14ac:dyDescent="0.15">
      <c r="A62" s="103" t="s">
        <v>152</v>
      </c>
      <c r="B62" s="103" t="s">
        <v>226</v>
      </c>
      <c r="C62" s="103"/>
      <c r="D62" s="103" t="s">
        <v>1245</v>
      </c>
      <c r="E62" s="104"/>
      <c r="F62" s="103" t="s">
        <v>1159</v>
      </c>
      <c r="G62" s="103">
        <v>5</v>
      </c>
      <c r="H62" s="103" t="s">
        <v>223</v>
      </c>
      <c r="I62" s="105">
        <v>46294</v>
      </c>
      <c r="J62" s="103" t="s">
        <v>1246</v>
      </c>
      <c r="K62" s="106" t="str">
        <f t="shared" si="2"/>
        <v>ENP-00061|JLCPCB</v>
      </c>
      <c r="L62" s="106" t="str">
        <f t="shared" si="3"/>
        <v>ENP-00061|Ja</v>
      </c>
    </row>
    <row r="63" spans="1:12" ht="70" customHeight="1" x14ac:dyDescent="0.15">
      <c r="A63" s="103" t="s">
        <v>153</v>
      </c>
      <c r="B63" s="103" t="s">
        <v>226</v>
      </c>
      <c r="C63" s="103"/>
      <c r="D63" s="103" t="s">
        <v>1245</v>
      </c>
      <c r="E63" s="104"/>
      <c r="F63" s="103" t="s">
        <v>1159</v>
      </c>
      <c r="G63" s="103">
        <v>5</v>
      </c>
      <c r="H63" s="103" t="s">
        <v>223</v>
      </c>
      <c r="I63" s="105">
        <v>46294</v>
      </c>
      <c r="J63" s="103" t="s">
        <v>1246</v>
      </c>
      <c r="K63" s="106" t="str">
        <f t="shared" si="2"/>
        <v>ENP-00062|JLCPCB</v>
      </c>
      <c r="L63" s="106" t="str">
        <f t="shared" si="3"/>
        <v>ENP-00062|Ja</v>
      </c>
    </row>
    <row r="64" spans="1:12" ht="70" customHeight="1" x14ac:dyDescent="0.15">
      <c r="A64" s="103" t="s">
        <v>154</v>
      </c>
      <c r="B64" s="103" t="s">
        <v>226</v>
      </c>
      <c r="C64" s="103"/>
      <c r="D64" s="103" t="s">
        <v>1245</v>
      </c>
      <c r="E64" s="104"/>
      <c r="F64" s="103" t="s">
        <v>1159</v>
      </c>
      <c r="G64" s="103">
        <v>5</v>
      </c>
      <c r="H64" s="103" t="s">
        <v>223</v>
      </c>
      <c r="I64" s="105">
        <v>46294</v>
      </c>
      <c r="J64" s="103" t="s">
        <v>1246</v>
      </c>
      <c r="K64" s="106" t="str">
        <f t="shared" si="2"/>
        <v>ENP-00063|JLCPCB</v>
      </c>
      <c r="L64" s="106" t="str">
        <f t="shared" si="3"/>
        <v>ENP-00063|Ja</v>
      </c>
    </row>
    <row r="65" spans="1:12" ht="70" customHeight="1" x14ac:dyDescent="0.15">
      <c r="A65" s="103" t="s">
        <v>155</v>
      </c>
      <c r="B65" s="103" t="s">
        <v>230</v>
      </c>
      <c r="C65" s="103" t="s">
        <v>1258</v>
      </c>
      <c r="D65" s="103" t="s">
        <v>1259</v>
      </c>
      <c r="E65" s="104">
        <v>0.11</v>
      </c>
      <c r="F65" s="103" t="s">
        <v>1159</v>
      </c>
      <c r="G65" s="103"/>
      <c r="H65" s="103" t="s">
        <v>223</v>
      </c>
      <c r="I65" s="105"/>
      <c r="J65" s="103"/>
      <c r="K65" s="106" t="str">
        <f t="shared" si="2"/>
        <v>ENP-00064|Reichelt</v>
      </c>
      <c r="L65" s="106" t="str">
        <f t="shared" si="3"/>
        <v>ENP-00064|Ja</v>
      </c>
    </row>
    <row r="66" spans="1:12" ht="70" customHeight="1" x14ac:dyDescent="0.15">
      <c r="A66" s="103" t="s">
        <v>156</v>
      </c>
      <c r="B66" s="103" t="s">
        <v>230</v>
      </c>
      <c r="C66" s="103" t="s">
        <v>1260</v>
      </c>
      <c r="D66" s="103" t="s">
        <v>1261</v>
      </c>
      <c r="E66" s="104">
        <v>0.14000000000000001</v>
      </c>
      <c r="F66" s="103" t="s">
        <v>1159</v>
      </c>
      <c r="G66" s="103"/>
      <c r="H66" s="103" t="s">
        <v>223</v>
      </c>
      <c r="I66" s="105"/>
      <c r="J66" s="103"/>
      <c r="K66" s="106" t="str">
        <f t="shared" ref="K66:K97" si="4">A66&amp;"|"&amp;B66</f>
        <v>ENP-00065|Reichelt</v>
      </c>
      <c r="L66" s="106" t="str">
        <f t="shared" ref="L66:L97" si="5">A66&amp;"|"&amp;H66</f>
        <v>ENP-00065|Ja</v>
      </c>
    </row>
    <row r="67" spans="1:12" ht="70" customHeight="1" x14ac:dyDescent="0.15">
      <c r="A67" s="103" t="s">
        <v>157</v>
      </c>
      <c r="B67" s="103" t="s">
        <v>226</v>
      </c>
      <c r="C67" s="103"/>
      <c r="D67" s="103"/>
      <c r="E67" s="104"/>
      <c r="F67" s="103" t="s">
        <v>1159</v>
      </c>
      <c r="G67" s="103">
        <v>5</v>
      </c>
      <c r="H67" s="103" t="s">
        <v>223</v>
      </c>
      <c r="I67" s="105"/>
      <c r="J67" s="103"/>
      <c r="K67" s="106" t="str">
        <f t="shared" si="4"/>
        <v>ENP-00066|JLCPCB</v>
      </c>
      <c r="L67" s="106" t="str">
        <f t="shared" si="5"/>
        <v>ENP-00066|Ja</v>
      </c>
    </row>
    <row r="68" spans="1:12" ht="70" customHeight="1" x14ac:dyDescent="0.15">
      <c r="A68" s="103" t="s">
        <v>158</v>
      </c>
      <c r="B68" s="103" t="s">
        <v>230</v>
      </c>
      <c r="C68" s="103" t="s">
        <v>681</v>
      </c>
      <c r="D68" s="103" t="s">
        <v>1262</v>
      </c>
      <c r="E68" s="104">
        <v>0.14000000000000001</v>
      </c>
      <c r="F68" s="103" t="s">
        <v>1159</v>
      </c>
      <c r="G68" s="103"/>
      <c r="H68" s="103" t="s">
        <v>223</v>
      </c>
      <c r="I68" s="105"/>
      <c r="J68" s="103"/>
      <c r="K68" s="106" t="str">
        <f t="shared" si="4"/>
        <v>ENP-00067|Reichelt</v>
      </c>
      <c r="L68" s="106" t="str">
        <f t="shared" si="5"/>
        <v>ENP-00067|Ja</v>
      </c>
    </row>
    <row r="69" spans="1:12" ht="70" customHeight="1" x14ac:dyDescent="0.15">
      <c r="A69" s="103" t="s">
        <v>159</v>
      </c>
      <c r="B69" s="103" t="s">
        <v>230</v>
      </c>
      <c r="C69" s="103" t="s">
        <v>688</v>
      </c>
      <c r="D69" s="103" t="s">
        <v>1263</v>
      </c>
      <c r="E69" s="104">
        <v>1.19</v>
      </c>
      <c r="F69" s="103" t="s">
        <v>1159</v>
      </c>
      <c r="G69" s="103"/>
      <c r="H69" s="103" t="s">
        <v>223</v>
      </c>
      <c r="I69" s="105"/>
      <c r="J69" s="103"/>
      <c r="K69" s="106" t="str">
        <f t="shared" si="4"/>
        <v>ENP-00068|Reichelt</v>
      </c>
      <c r="L69" s="106" t="str">
        <f t="shared" si="5"/>
        <v>ENP-00068|Ja</v>
      </c>
    </row>
    <row r="70" spans="1:12" ht="70" customHeight="1" x14ac:dyDescent="0.15">
      <c r="A70" s="103" t="s">
        <v>160</v>
      </c>
      <c r="B70" s="103" t="s">
        <v>228</v>
      </c>
      <c r="C70" s="103"/>
      <c r="D70" s="103"/>
      <c r="E70" s="104"/>
      <c r="F70" s="103" t="s">
        <v>1159</v>
      </c>
      <c r="G70" s="103"/>
      <c r="H70" s="103" t="s">
        <v>223</v>
      </c>
      <c r="I70" s="105"/>
      <c r="J70" s="103" t="s">
        <v>697</v>
      </c>
      <c r="K70" s="106" t="str">
        <f t="shared" si="4"/>
        <v>ENP-00069|Noch festlegen</v>
      </c>
      <c r="L70" s="106" t="str">
        <f t="shared" si="5"/>
        <v>ENP-00069|Ja</v>
      </c>
    </row>
    <row r="71" spans="1:12" ht="70" customHeight="1" x14ac:dyDescent="0.15">
      <c r="A71" s="103" t="s">
        <v>161</v>
      </c>
      <c r="B71" s="103" t="s">
        <v>224</v>
      </c>
      <c r="C71" s="103" t="s">
        <v>1264</v>
      </c>
      <c r="D71" s="103"/>
      <c r="E71" s="104">
        <v>1.79</v>
      </c>
      <c r="F71" s="103" t="s">
        <v>1159</v>
      </c>
      <c r="G71" s="103"/>
      <c r="H71" s="103" t="s">
        <v>223</v>
      </c>
      <c r="I71" s="105" t="s">
        <v>1215</v>
      </c>
      <c r="J71" s="103" t="s">
        <v>1265</v>
      </c>
      <c r="K71" s="106" t="str">
        <f t="shared" si="4"/>
        <v>ENP-00070|DigiKey</v>
      </c>
      <c r="L71" s="106" t="str">
        <f t="shared" si="5"/>
        <v>ENP-00070|Ja</v>
      </c>
    </row>
    <row r="72" spans="1:12" ht="70" customHeight="1" x14ac:dyDescent="0.15">
      <c r="A72" s="103" t="s">
        <v>162</v>
      </c>
      <c r="B72" s="103" t="s">
        <v>230</v>
      </c>
      <c r="C72" s="103" t="s">
        <v>1266</v>
      </c>
      <c r="D72" s="103" t="s">
        <v>1267</v>
      </c>
      <c r="E72" s="104">
        <v>0.18</v>
      </c>
      <c r="F72" s="103" t="s">
        <v>1159</v>
      </c>
      <c r="G72" s="103"/>
      <c r="H72" s="103" t="s">
        <v>223</v>
      </c>
      <c r="I72" s="105"/>
      <c r="J72" s="103"/>
      <c r="K72" s="106" t="str">
        <f t="shared" si="4"/>
        <v>ENP-00071|Reichelt</v>
      </c>
      <c r="L72" s="106" t="str">
        <f t="shared" si="5"/>
        <v>ENP-00071|Ja</v>
      </c>
    </row>
    <row r="73" spans="1:12" ht="70" customHeight="1" x14ac:dyDescent="0.15">
      <c r="A73" s="103" t="s">
        <v>163</v>
      </c>
      <c r="B73" s="103" t="s">
        <v>224</v>
      </c>
      <c r="C73" s="103" t="s">
        <v>1268</v>
      </c>
      <c r="D73" s="103" t="s">
        <v>1269</v>
      </c>
      <c r="E73" s="104">
        <v>0.09</v>
      </c>
      <c r="F73" s="103" t="s">
        <v>1159</v>
      </c>
      <c r="G73" s="103"/>
      <c r="H73" s="103" t="s">
        <v>223</v>
      </c>
      <c r="I73" s="105" t="s">
        <v>1215</v>
      </c>
      <c r="J73" s="103"/>
      <c r="K73" s="106" t="str">
        <f t="shared" si="4"/>
        <v>ENP-00072|DigiKey</v>
      </c>
      <c r="L73" s="106" t="str">
        <f t="shared" si="5"/>
        <v>ENP-00072|Ja</v>
      </c>
    </row>
    <row r="74" spans="1:12" ht="70" customHeight="1" x14ac:dyDescent="0.15">
      <c r="A74" s="103" t="s">
        <v>164</v>
      </c>
      <c r="B74" s="103" t="s">
        <v>224</v>
      </c>
      <c r="C74" s="103" t="s">
        <v>1270</v>
      </c>
      <c r="D74" s="103" t="s">
        <v>1271</v>
      </c>
      <c r="E74" s="104">
        <v>7.0000000000000007E-2</v>
      </c>
      <c r="F74" s="103" t="s">
        <v>1159</v>
      </c>
      <c r="G74" s="103"/>
      <c r="H74" s="103" t="s">
        <v>223</v>
      </c>
      <c r="I74" s="105" t="s">
        <v>1215</v>
      </c>
      <c r="J74" s="103" t="s">
        <v>1272</v>
      </c>
      <c r="K74" s="106" t="str">
        <f t="shared" si="4"/>
        <v>ENP-00073|DigiKey</v>
      </c>
      <c r="L74" s="106" t="str">
        <f t="shared" si="5"/>
        <v>ENP-00073|Ja</v>
      </c>
    </row>
    <row r="75" spans="1:12" ht="70" customHeight="1" x14ac:dyDescent="0.15">
      <c r="A75" s="103" t="s">
        <v>165</v>
      </c>
      <c r="B75" s="103" t="s">
        <v>224</v>
      </c>
      <c r="C75" s="103" t="s">
        <v>1273</v>
      </c>
      <c r="D75" s="103" t="s">
        <v>1274</v>
      </c>
      <c r="E75" s="104"/>
      <c r="F75" s="103" t="s">
        <v>1159</v>
      </c>
      <c r="G75" s="103"/>
      <c r="H75" s="103" t="s">
        <v>223</v>
      </c>
      <c r="I75" s="105" t="s">
        <v>1215</v>
      </c>
      <c r="J75" s="103" t="s">
        <v>1275</v>
      </c>
      <c r="K75" s="106" t="str">
        <f t="shared" si="4"/>
        <v>ENP-00074|DigiKey</v>
      </c>
      <c r="L75" s="106" t="str">
        <f t="shared" si="5"/>
        <v>ENP-00074|Ja</v>
      </c>
    </row>
    <row r="76" spans="1:12" ht="70" customHeight="1" x14ac:dyDescent="0.15">
      <c r="A76" s="103" t="s">
        <v>166</v>
      </c>
      <c r="B76" s="103" t="s">
        <v>224</v>
      </c>
      <c r="C76" s="103" t="s">
        <v>1276</v>
      </c>
      <c r="D76" s="103" t="s">
        <v>1277</v>
      </c>
      <c r="E76" s="104">
        <v>7.25</v>
      </c>
      <c r="F76" s="103" t="s">
        <v>1159</v>
      </c>
      <c r="G76" s="103"/>
      <c r="H76" s="103" t="s">
        <v>223</v>
      </c>
      <c r="I76" s="105" t="s">
        <v>1215</v>
      </c>
      <c r="J76" s="103" t="s">
        <v>1275</v>
      </c>
      <c r="K76" s="106" t="str">
        <f t="shared" si="4"/>
        <v>ENP-00075|DigiKey</v>
      </c>
      <c r="L76" s="106" t="str">
        <f t="shared" si="5"/>
        <v>ENP-00075|Ja</v>
      </c>
    </row>
    <row r="77" spans="1:12" ht="70" customHeight="1" x14ac:dyDescent="0.15">
      <c r="A77" s="103" t="s">
        <v>167</v>
      </c>
      <c r="B77" s="103" t="s">
        <v>226</v>
      </c>
      <c r="C77" s="103"/>
      <c r="D77" s="103"/>
      <c r="E77" s="104"/>
      <c r="F77" s="103" t="s">
        <v>1159</v>
      </c>
      <c r="G77" s="103">
        <v>5</v>
      </c>
      <c r="H77" s="103" t="s">
        <v>223</v>
      </c>
      <c r="I77" s="105"/>
      <c r="J77" s="103"/>
      <c r="K77" s="106" t="str">
        <f t="shared" si="4"/>
        <v>ENP-00076|JLCPCB</v>
      </c>
      <c r="L77" s="106" t="str">
        <f t="shared" si="5"/>
        <v>ENP-00076|Ja</v>
      </c>
    </row>
    <row r="78" spans="1:12" ht="70" customHeight="1" x14ac:dyDescent="0.15">
      <c r="A78" s="103" t="s">
        <v>168</v>
      </c>
      <c r="B78" s="103" t="s">
        <v>230</v>
      </c>
      <c r="C78" s="103" t="s">
        <v>1278</v>
      </c>
      <c r="D78" s="103" t="s">
        <v>1279</v>
      </c>
      <c r="E78" s="104">
        <v>2.25</v>
      </c>
      <c r="F78" s="103" t="s">
        <v>1159</v>
      </c>
      <c r="G78" s="103"/>
      <c r="H78" s="103" t="s">
        <v>223</v>
      </c>
      <c r="I78" s="105"/>
      <c r="J78" s="103"/>
      <c r="K78" s="106" t="str">
        <f t="shared" si="4"/>
        <v>ENP-00077|Reichelt</v>
      </c>
      <c r="L78" s="106" t="str">
        <f t="shared" si="5"/>
        <v>ENP-00077|Ja</v>
      </c>
    </row>
    <row r="79" spans="1:12" ht="70" customHeight="1" x14ac:dyDescent="0.15">
      <c r="A79" s="103" t="s">
        <v>170</v>
      </c>
      <c r="B79" s="103" t="s">
        <v>230</v>
      </c>
      <c r="C79" s="103" t="s">
        <v>1280</v>
      </c>
      <c r="D79" s="103" t="s">
        <v>1281</v>
      </c>
      <c r="E79" s="104">
        <v>0.17</v>
      </c>
      <c r="F79" s="103" t="s">
        <v>1159</v>
      </c>
      <c r="G79" s="103"/>
      <c r="H79" s="103" t="s">
        <v>223</v>
      </c>
      <c r="I79" s="105"/>
      <c r="J79" s="103"/>
      <c r="K79" s="106" t="str">
        <f t="shared" si="4"/>
        <v>ENP-00078|Reichelt</v>
      </c>
      <c r="L79" s="106" t="str">
        <f t="shared" si="5"/>
        <v>ENP-00078|Ja</v>
      </c>
    </row>
    <row r="80" spans="1:12" ht="70" customHeight="1" x14ac:dyDescent="0.15">
      <c r="A80" s="103" t="s">
        <v>171</v>
      </c>
      <c r="B80" s="103" t="s">
        <v>230</v>
      </c>
      <c r="C80" s="103" t="s">
        <v>1282</v>
      </c>
      <c r="D80" s="103" t="s">
        <v>1283</v>
      </c>
      <c r="E80" s="104">
        <v>0.17</v>
      </c>
      <c r="F80" s="103" t="s">
        <v>1159</v>
      </c>
      <c r="G80" s="103"/>
      <c r="H80" s="103" t="s">
        <v>223</v>
      </c>
      <c r="I80" s="105"/>
      <c r="J80" s="103"/>
      <c r="K80" s="106" t="str">
        <f t="shared" si="4"/>
        <v>ENP-00079|Reichelt</v>
      </c>
      <c r="L80" s="106" t="str">
        <f t="shared" si="5"/>
        <v>ENP-00079|Ja</v>
      </c>
    </row>
    <row r="81" spans="1:12" ht="70" customHeight="1" x14ac:dyDescent="0.15">
      <c r="A81" s="103" t="s">
        <v>172</v>
      </c>
      <c r="B81" s="103" t="s">
        <v>232</v>
      </c>
      <c r="C81" s="103" t="s">
        <v>1284</v>
      </c>
      <c r="D81" s="103" t="s">
        <v>1285</v>
      </c>
      <c r="E81" s="104">
        <v>3.59</v>
      </c>
      <c r="F81" s="103" t="s">
        <v>1159</v>
      </c>
      <c r="G81" s="103">
        <v>1</v>
      </c>
      <c r="H81" s="103" t="s">
        <v>223</v>
      </c>
      <c r="I81" s="105">
        <v>46294</v>
      </c>
      <c r="J81" s="103" t="s">
        <v>1286</v>
      </c>
      <c r="K81" s="106" t="str">
        <f t="shared" si="4"/>
        <v>ENP-00080|TME</v>
      </c>
      <c r="L81" s="106" t="str">
        <f t="shared" si="5"/>
        <v>ENP-00080|Ja</v>
      </c>
    </row>
    <row r="82" spans="1:12" ht="70" customHeight="1" x14ac:dyDescent="0.15">
      <c r="A82" s="103" t="s">
        <v>173</v>
      </c>
      <c r="B82" s="103" t="s">
        <v>232</v>
      </c>
      <c r="C82" s="103" t="s">
        <v>1287</v>
      </c>
      <c r="D82" s="103" t="s">
        <v>1288</v>
      </c>
      <c r="E82" s="104">
        <v>3.6</v>
      </c>
      <c r="F82" s="103" t="s">
        <v>1159</v>
      </c>
      <c r="G82" s="103">
        <v>1</v>
      </c>
      <c r="H82" s="103" t="s">
        <v>223</v>
      </c>
      <c r="I82" s="105">
        <v>46294</v>
      </c>
      <c r="J82" s="103" t="s">
        <v>1289</v>
      </c>
      <c r="K82" s="106" t="str">
        <f t="shared" si="4"/>
        <v>ENP-00081|TME</v>
      </c>
      <c r="L82" s="106" t="str">
        <f t="shared" si="5"/>
        <v>ENP-00081|Ja</v>
      </c>
    </row>
    <row r="83" spans="1:12" ht="70" customHeight="1" x14ac:dyDescent="0.15">
      <c r="A83" s="103" t="s">
        <v>174</v>
      </c>
      <c r="B83" s="103" t="s">
        <v>232</v>
      </c>
      <c r="C83" s="103" t="s">
        <v>1290</v>
      </c>
      <c r="D83" s="103" t="s">
        <v>1291</v>
      </c>
      <c r="E83" s="104">
        <v>3.92</v>
      </c>
      <c r="F83" s="103" t="s">
        <v>1159</v>
      </c>
      <c r="G83" s="103">
        <v>1</v>
      </c>
      <c r="H83" s="103" t="s">
        <v>223</v>
      </c>
      <c r="I83" s="105">
        <v>46294</v>
      </c>
      <c r="J83" s="103" t="s">
        <v>1286</v>
      </c>
      <c r="K83" s="106" t="str">
        <f t="shared" si="4"/>
        <v>ENP-00082|TME</v>
      </c>
      <c r="L83" s="106" t="str">
        <f t="shared" si="5"/>
        <v>ENP-00082|Ja</v>
      </c>
    </row>
    <row r="84" spans="1:12" ht="70" customHeight="1" x14ac:dyDescent="0.15">
      <c r="A84" s="103" t="s">
        <v>175</v>
      </c>
      <c r="B84" s="103" t="s">
        <v>232</v>
      </c>
      <c r="C84" s="103" t="s">
        <v>1292</v>
      </c>
      <c r="D84" s="103" t="s">
        <v>1293</v>
      </c>
      <c r="E84" s="104">
        <v>3.93</v>
      </c>
      <c r="F84" s="103" t="s">
        <v>1159</v>
      </c>
      <c r="G84" s="103">
        <v>1</v>
      </c>
      <c r="H84" s="103" t="s">
        <v>223</v>
      </c>
      <c r="I84" s="105">
        <v>46294</v>
      </c>
      <c r="J84" s="103" t="s">
        <v>1289</v>
      </c>
      <c r="K84" s="106" t="str">
        <f t="shared" si="4"/>
        <v>ENP-00083|TME</v>
      </c>
      <c r="L84" s="106" t="str">
        <f t="shared" si="5"/>
        <v>ENP-00083|Ja</v>
      </c>
    </row>
    <row r="85" spans="1:12" ht="70" customHeight="1" x14ac:dyDescent="0.15">
      <c r="A85" s="103" t="s">
        <v>176</v>
      </c>
      <c r="B85" s="103" t="s">
        <v>232</v>
      </c>
      <c r="C85" s="103" t="s">
        <v>1294</v>
      </c>
      <c r="D85" s="103" t="s">
        <v>1291</v>
      </c>
      <c r="E85" s="104">
        <v>3.92</v>
      </c>
      <c r="F85" s="103" t="s">
        <v>1159</v>
      </c>
      <c r="G85" s="103">
        <v>1</v>
      </c>
      <c r="H85" s="103" t="s">
        <v>223</v>
      </c>
      <c r="I85" s="105">
        <v>46294</v>
      </c>
      <c r="J85" s="103" t="s">
        <v>1295</v>
      </c>
      <c r="K85" s="106" t="str">
        <f t="shared" si="4"/>
        <v>ENP-00084|TME</v>
      </c>
      <c r="L85" s="106" t="str">
        <f t="shared" si="5"/>
        <v>ENP-00084|Ja</v>
      </c>
    </row>
    <row r="86" spans="1:12" ht="70" customHeight="1" x14ac:dyDescent="0.15">
      <c r="A86" s="103" t="s">
        <v>177</v>
      </c>
      <c r="B86" s="103" t="s">
        <v>232</v>
      </c>
      <c r="C86" s="103" t="s">
        <v>1296</v>
      </c>
      <c r="D86" s="103" t="s">
        <v>1291</v>
      </c>
      <c r="E86" s="104">
        <v>3.92</v>
      </c>
      <c r="F86" s="103" t="s">
        <v>1159</v>
      </c>
      <c r="G86" s="103">
        <v>1</v>
      </c>
      <c r="H86" s="103" t="s">
        <v>223</v>
      </c>
      <c r="I86" s="105">
        <v>46294</v>
      </c>
      <c r="J86" s="103" t="s">
        <v>1289</v>
      </c>
      <c r="K86" s="106" t="str">
        <f t="shared" si="4"/>
        <v>ENP-00085|TME</v>
      </c>
      <c r="L86" s="106" t="str">
        <f t="shared" si="5"/>
        <v>ENP-00085|Ja</v>
      </c>
    </row>
    <row r="87" spans="1:12" ht="70" customHeight="1" x14ac:dyDescent="0.15">
      <c r="A87" s="103" t="s">
        <v>178</v>
      </c>
      <c r="B87" s="103" t="s">
        <v>232</v>
      </c>
      <c r="C87" s="103" t="s">
        <v>1297</v>
      </c>
      <c r="D87" s="103" t="s">
        <v>1291</v>
      </c>
      <c r="E87" s="104">
        <v>3.92</v>
      </c>
      <c r="F87" s="103" t="s">
        <v>1159</v>
      </c>
      <c r="G87" s="103">
        <v>1</v>
      </c>
      <c r="H87" s="103" t="s">
        <v>223</v>
      </c>
      <c r="I87" s="105">
        <v>46294</v>
      </c>
      <c r="J87" s="103" t="s">
        <v>1295</v>
      </c>
      <c r="K87" s="106" t="str">
        <f t="shared" si="4"/>
        <v>ENP-00086|TME</v>
      </c>
      <c r="L87" s="106" t="str">
        <f t="shared" si="5"/>
        <v>ENP-00086|Ja</v>
      </c>
    </row>
    <row r="88" spans="1:12" ht="70" customHeight="1" x14ac:dyDescent="0.15">
      <c r="A88" s="103" t="s">
        <v>179</v>
      </c>
      <c r="B88" s="103" t="s">
        <v>232</v>
      </c>
      <c r="C88" s="103" t="s">
        <v>1298</v>
      </c>
      <c r="D88" s="103" t="s">
        <v>1299</v>
      </c>
      <c r="E88" s="104">
        <v>3.92</v>
      </c>
      <c r="F88" s="103" t="s">
        <v>1159</v>
      </c>
      <c r="G88" s="103">
        <v>1</v>
      </c>
      <c r="H88" s="103" t="s">
        <v>223</v>
      </c>
      <c r="I88" s="105">
        <v>46294</v>
      </c>
      <c r="J88" s="103" t="s">
        <v>1289</v>
      </c>
      <c r="K88" s="106" t="str">
        <f t="shared" si="4"/>
        <v>ENP-00087|TME</v>
      </c>
      <c r="L88" s="106" t="str">
        <f t="shared" si="5"/>
        <v>ENP-00087|Ja</v>
      </c>
    </row>
    <row r="89" spans="1:12" ht="70" customHeight="1" x14ac:dyDescent="0.15">
      <c r="A89" s="103" t="s">
        <v>180</v>
      </c>
      <c r="B89" s="103" t="s">
        <v>230</v>
      </c>
      <c r="C89" s="103" t="s">
        <v>1300</v>
      </c>
      <c r="D89" s="103" t="s">
        <v>1301</v>
      </c>
      <c r="E89" s="104">
        <v>5.75</v>
      </c>
      <c r="F89" s="103" t="s">
        <v>1159</v>
      </c>
      <c r="G89" s="103"/>
      <c r="H89" s="103" t="s">
        <v>223</v>
      </c>
      <c r="I89" s="105"/>
      <c r="J89" s="103"/>
      <c r="K89" s="106" t="str">
        <f t="shared" si="4"/>
        <v>ENP-00088|Reichelt</v>
      </c>
      <c r="L89" s="106" t="str">
        <f t="shared" si="5"/>
        <v>ENP-00088|Ja</v>
      </c>
    </row>
    <row r="90" spans="1:12" ht="70" customHeight="1" x14ac:dyDescent="0.15">
      <c r="A90" s="103" t="s">
        <v>182</v>
      </c>
      <c r="B90" s="103" t="s">
        <v>224</v>
      </c>
      <c r="C90" s="103" t="s">
        <v>1302</v>
      </c>
      <c r="D90" s="103" t="s">
        <v>1303</v>
      </c>
      <c r="E90" s="104">
        <v>0.68</v>
      </c>
      <c r="F90" s="103" t="s">
        <v>1159</v>
      </c>
      <c r="G90" s="103"/>
      <c r="H90" s="103" t="s">
        <v>223</v>
      </c>
      <c r="I90" s="105"/>
      <c r="J90" s="103"/>
      <c r="K90" s="106" t="str">
        <f t="shared" si="4"/>
        <v>ENP-00089|DigiKey</v>
      </c>
      <c r="L90" s="106" t="str">
        <f t="shared" si="5"/>
        <v>ENP-00089|Ja</v>
      </c>
    </row>
    <row r="91" spans="1:12" ht="70" customHeight="1" x14ac:dyDescent="0.15">
      <c r="A91" s="103" t="s">
        <v>183</v>
      </c>
      <c r="B91" s="103" t="s">
        <v>230</v>
      </c>
      <c r="C91" s="103" t="s">
        <v>1304</v>
      </c>
      <c r="D91" s="103" t="s">
        <v>1305</v>
      </c>
      <c r="E91" s="104">
        <v>0.06</v>
      </c>
      <c r="F91" s="103" t="s">
        <v>1159</v>
      </c>
      <c r="G91" s="103"/>
      <c r="H91" s="103" t="s">
        <v>223</v>
      </c>
      <c r="I91" s="105" t="s">
        <v>1205</v>
      </c>
      <c r="J91" s="103" t="s">
        <v>1306</v>
      </c>
      <c r="K91" s="106" t="str">
        <f t="shared" si="4"/>
        <v>ENP-00090|Reichelt</v>
      </c>
      <c r="L91" s="106" t="str">
        <f t="shared" si="5"/>
        <v>ENP-00090|Ja</v>
      </c>
    </row>
    <row r="92" spans="1:12" ht="70" customHeight="1" x14ac:dyDescent="0.15">
      <c r="A92" s="103" t="s">
        <v>184</v>
      </c>
      <c r="B92" s="103" t="s">
        <v>230</v>
      </c>
      <c r="C92" s="103" t="s">
        <v>1307</v>
      </c>
      <c r="D92" s="103" t="s">
        <v>1308</v>
      </c>
      <c r="E92" s="104">
        <v>0.85</v>
      </c>
      <c r="F92" s="103" t="s">
        <v>1159</v>
      </c>
      <c r="G92" s="103"/>
      <c r="H92" s="103" t="s">
        <v>223</v>
      </c>
      <c r="I92" s="105"/>
      <c r="J92" s="103"/>
      <c r="K92" s="106" t="str">
        <f t="shared" si="4"/>
        <v>ENP-00091|Reichelt</v>
      </c>
      <c r="L92" s="106" t="str">
        <f t="shared" si="5"/>
        <v>ENP-00091|Ja</v>
      </c>
    </row>
    <row r="93" spans="1:12" ht="70" customHeight="1" x14ac:dyDescent="0.15">
      <c r="A93" s="103" t="s">
        <v>185</v>
      </c>
      <c r="B93" s="103" t="s">
        <v>230</v>
      </c>
      <c r="C93" s="103" t="s">
        <v>1309</v>
      </c>
      <c r="D93" s="103" t="s">
        <v>1310</v>
      </c>
      <c r="E93" s="104">
        <v>0.52</v>
      </c>
      <c r="F93" s="103" t="s">
        <v>1159</v>
      </c>
      <c r="G93" s="103"/>
      <c r="H93" s="103" t="s">
        <v>223</v>
      </c>
      <c r="I93" s="105"/>
      <c r="J93" s="103"/>
      <c r="K93" s="106" t="str">
        <f t="shared" si="4"/>
        <v>ENP-00092|Reichelt</v>
      </c>
      <c r="L93" s="106" t="str">
        <f t="shared" si="5"/>
        <v>ENP-00092|Ja</v>
      </c>
    </row>
    <row r="94" spans="1:12" ht="70" customHeight="1" x14ac:dyDescent="0.15">
      <c r="A94" s="103" t="s">
        <v>186</v>
      </c>
      <c r="B94" s="103" t="s">
        <v>230</v>
      </c>
      <c r="C94" s="103" t="s">
        <v>1311</v>
      </c>
      <c r="D94" s="103" t="s">
        <v>1312</v>
      </c>
      <c r="E94" s="104">
        <v>0.04</v>
      </c>
      <c r="F94" s="103" t="s">
        <v>1159</v>
      </c>
      <c r="G94" s="103"/>
      <c r="H94" s="103" t="s">
        <v>223</v>
      </c>
      <c r="I94" s="105"/>
      <c r="J94" s="103"/>
      <c r="K94" s="106" t="str">
        <f t="shared" si="4"/>
        <v>ENP-00093|Reichelt</v>
      </c>
      <c r="L94" s="106" t="str">
        <f t="shared" si="5"/>
        <v>ENP-00093|Ja</v>
      </c>
    </row>
    <row r="95" spans="1:12" ht="70" customHeight="1" x14ac:dyDescent="0.15">
      <c r="A95" s="103" t="s">
        <v>187</v>
      </c>
      <c r="B95" s="103" t="s">
        <v>230</v>
      </c>
      <c r="C95" s="103" t="s">
        <v>1313</v>
      </c>
      <c r="D95" s="103" t="s">
        <v>1314</v>
      </c>
      <c r="E95" s="104">
        <v>0.09</v>
      </c>
      <c r="F95" s="103" t="s">
        <v>1159</v>
      </c>
      <c r="G95" s="103"/>
      <c r="H95" s="103" t="s">
        <v>223</v>
      </c>
      <c r="I95" s="105"/>
      <c r="J95" s="103"/>
      <c r="K95" s="106" t="str">
        <f t="shared" si="4"/>
        <v>ENP-00094|Reichelt</v>
      </c>
      <c r="L95" s="106" t="str">
        <f t="shared" si="5"/>
        <v>ENP-00094|Ja</v>
      </c>
    </row>
    <row r="96" spans="1:12" ht="70" customHeight="1" x14ac:dyDescent="0.15">
      <c r="A96" s="103" t="s">
        <v>188</v>
      </c>
      <c r="B96" s="103" t="s">
        <v>230</v>
      </c>
      <c r="C96" s="103" t="s">
        <v>844</v>
      </c>
      <c r="D96" s="103" t="s">
        <v>1315</v>
      </c>
      <c r="E96" s="104">
        <v>0.22</v>
      </c>
      <c r="F96" s="103" t="s">
        <v>1159</v>
      </c>
      <c r="G96" s="103"/>
      <c r="H96" s="103" t="s">
        <v>223</v>
      </c>
      <c r="I96" s="105"/>
      <c r="J96" s="103"/>
      <c r="K96" s="106" t="str">
        <f t="shared" si="4"/>
        <v>ENP-00095|Reichelt</v>
      </c>
      <c r="L96" s="106" t="str">
        <f t="shared" si="5"/>
        <v>ENP-00095|Ja</v>
      </c>
    </row>
    <row r="97" spans="1:12" ht="70" customHeight="1" x14ac:dyDescent="0.15">
      <c r="A97" s="103" t="s">
        <v>189</v>
      </c>
      <c r="B97" s="103" t="s">
        <v>230</v>
      </c>
      <c r="C97" s="103" t="s">
        <v>1316</v>
      </c>
      <c r="D97" s="103" t="s">
        <v>1317</v>
      </c>
      <c r="E97" s="104">
        <v>0.22</v>
      </c>
      <c r="F97" s="103" t="s">
        <v>1159</v>
      </c>
      <c r="G97" s="103"/>
      <c r="H97" s="103" t="s">
        <v>223</v>
      </c>
      <c r="I97" s="105"/>
      <c r="J97" s="103"/>
      <c r="K97" s="106" t="str">
        <f t="shared" si="4"/>
        <v>ENP-00096|Reichelt</v>
      </c>
      <c r="L97" s="106" t="str">
        <f t="shared" si="5"/>
        <v>ENP-00096|Ja</v>
      </c>
    </row>
    <row r="98" spans="1:12" ht="70" customHeight="1" x14ac:dyDescent="0.15">
      <c r="A98" s="103" t="s">
        <v>190</v>
      </c>
      <c r="B98" s="103" t="s">
        <v>230</v>
      </c>
      <c r="C98" s="103" t="s">
        <v>1318</v>
      </c>
      <c r="D98" s="103" t="s">
        <v>1319</v>
      </c>
      <c r="E98" s="104">
        <v>0.26</v>
      </c>
      <c r="F98" s="103" t="s">
        <v>1159</v>
      </c>
      <c r="G98" s="103"/>
      <c r="H98" s="103" t="s">
        <v>223</v>
      </c>
      <c r="I98" s="105"/>
      <c r="J98" s="103"/>
      <c r="K98" s="106" t="str">
        <f t="shared" ref="K98:K103" si="6">A98&amp;"|"&amp;B98</f>
        <v>ENP-00097|Reichelt</v>
      </c>
      <c r="L98" s="106" t="str">
        <f t="shared" ref="L98:L103" si="7">A98&amp;"|"&amp;H98</f>
        <v>ENP-00097|Ja</v>
      </c>
    </row>
    <row r="99" spans="1:12" ht="70" customHeight="1" x14ac:dyDescent="0.15">
      <c r="A99" s="103" t="s">
        <v>191</v>
      </c>
      <c r="B99" s="103" t="s">
        <v>230</v>
      </c>
      <c r="C99" s="103" t="s">
        <v>1320</v>
      </c>
      <c r="D99" s="103" t="s">
        <v>1321</v>
      </c>
      <c r="E99" s="104">
        <v>0.23</v>
      </c>
      <c r="F99" s="103" t="s">
        <v>1159</v>
      </c>
      <c r="G99" s="103"/>
      <c r="H99" s="103" t="s">
        <v>223</v>
      </c>
      <c r="I99" s="105"/>
      <c r="J99" s="103"/>
      <c r="K99" s="106" t="str">
        <f t="shared" si="6"/>
        <v>ENP-00098|Reichelt</v>
      </c>
      <c r="L99" s="106" t="str">
        <f t="shared" si="7"/>
        <v>ENP-00098|Ja</v>
      </c>
    </row>
    <row r="100" spans="1:12" ht="70" customHeight="1" x14ac:dyDescent="0.15">
      <c r="A100" s="103" t="s">
        <v>192</v>
      </c>
      <c r="B100" s="103" t="s">
        <v>230</v>
      </c>
      <c r="C100" s="103" t="s">
        <v>1322</v>
      </c>
      <c r="D100" s="103" t="s">
        <v>1323</v>
      </c>
      <c r="E100" s="104">
        <v>0.02</v>
      </c>
      <c r="F100" s="103" t="s">
        <v>1159</v>
      </c>
      <c r="G100" s="103"/>
      <c r="H100" s="103" t="s">
        <v>223</v>
      </c>
      <c r="I100" s="105"/>
      <c r="J100" s="103"/>
      <c r="K100" s="106" t="str">
        <f t="shared" si="6"/>
        <v>ENP-00099|Reichelt</v>
      </c>
      <c r="L100" s="106" t="str">
        <f t="shared" si="7"/>
        <v>ENP-00099|Ja</v>
      </c>
    </row>
    <row r="101" spans="1:12" ht="70" customHeight="1" x14ac:dyDescent="0.15">
      <c r="A101" s="103" t="s">
        <v>193</v>
      </c>
      <c r="B101" s="103" t="s">
        <v>230</v>
      </c>
      <c r="C101" s="103" t="s">
        <v>1324</v>
      </c>
      <c r="D101" s="103" t="s">
        <v>1325</v>
      </c>
      <c r="E101" s="104">
        <v>7.0000000000000007E-2</v>
      </c>
      <c r="F101" s="103" t="s">
        <v>1159</v>
      </c>
      <c r="G101" s="103"/>
      <c r="H101" s="103" t="s">
        <v>223</v>
      </c>
      <c r="I101" s="105"/>
      <c r="J101" s="103"/>
      <c r="K101" s="106" t="str">
        <f t="shared" si="6"/>
        <v>ENP-00100|Reichelt</v>
      </c>
      <c r="L101" s="106" t="str">
        <f t="shared" si="7"/>
        <v>ENP-00100|Ja</v>
      </c>
    </row>
    <row r="102" spans="1:12" ht="70" customHeight="1" x14ac:dyDescent="0.15">
      <c r="A102" s="103" t="s">
        <v>194</v>
      </c>
      <c r="B102" s="103" t="s">
        <v>230</v>
      </c>
      <c r="C102" s="103" t="s">
        <v>873</v>
      </c>
      <c r="D102" s="103" t="s">
        <v>1326</v>
      </c>
      <c r="E102" s="104">
        <v>0.03</v>
      </c>
      <c r="F102" s="103" t="s">
        <v>1159</v>
      </c>
      <c r="G102" s="103"/>
      <c r="H102" s="103" t="s">
        <v>223</v>
      </c>
      <c r="I102" s="105"/>
      <c r="J102" s="103"/>
      <c r="K102" s="106" t="str">
        <f t="shared" si="6"/>
        <v>ENP-00101|Reichelt</v>
      </c>
      <c r="L102" s="106" t="str">
        <f t="shared" si="7"/>
        <v>ENP-00101|Ja</v>
      </c>
    </row>
    <row r="103" spans="1:12" ht="70" customHeight="1" x14ac:dyDescent="0.15">
      <c r="A103" s="103" t="s">
        <v>195</v>
      </c>
      <c r="B103" s="103" t="s">
        <v>230</v>
      </c>
      <c r="C103" s="103" t="s">
        <v>877</v>
      </c>
      <c r="D103" s="103" t="s">
        <v>1327</v>
      </c>
      <c r="E103" s="104">
        <v>0.39</v>
      </c>
      <c r="F103" s="103" t="s">
        <v>1159</v>
      </c>
      <c r="G103" s="103"/>
      <c r="H103" s="103" t="s">
        <v>223</v>
      </c>
      <c r="I103" s="105" t="s">
        <v>1328</v>
      </c>
      <c r="J103" s="103" t="s">
        <v>1329</v>
      </c>
      <c r="K103" s="106" t="str">
        <f t="shared" si="6"/>
        <v>ENP-00102|Reichelt</v>
      </c>
      <c r="L103" s="106" t="str">
        <f t="shared" si="7"/>
        <v>ENP-00102|Ja</v>
      </c>
    </row>
    <row r="104" spans="1:12" ht="70" customHeight="1" x14ac:dyDescent="0.15">
      <c r="A104" s="103" t="s">
        <v>196</v>
      </c>
      <c r="B104" s="103" t="s">
        <v>226</v>
      </c>
      <c r="C104" s="103" t="s">
        <v>1330</v>
      </c>
      <c r="D104" s="103" t="s">
        <v>1331</v>
      </c>
      <c r="E104" s="104">
        <v>1.5</v>
      </c>
      <c r="F104" s="103" t="s">
        <v>1159</v>
      </c>
      <c r="G104" s="103">
        <v>5</v>
      </c>
      <c r="H104" s="103" t="s">
        <v>223</v>
      </c>
      <c r="I104" s="105"/>
      <c r="J104" s="103" t="s">
        <v>1332</v>
      </c>
      <c r="K104" s="106" t="str">
        <f t="shared" ref="K104:K129" si="8">A104&amp;"|"&amp;B104</f>
        <v>ENP-00103|JLCPCB</v>
      </c>
      <c r="L104" s="106" t="str">
        <f t="shared" ref="L104:L129" si="9">A104&amp;"|"&amp;H104</f>
        <v>ENP-00103|Ja</v>
      </c>
    </row>
    <row r="105" spans="1:12" ht="70" customHeight="1" x14ac:dyDescent="0.15">
      <c r="A105" s="103" t="s">
        <v>197</v>
      </c>
      <c r="B105" s="103" t="s">
        <v>226</v>
      </c>
      <c r="C105" s="103" t="s">
        <v>1333</v>
      </c>
      <c r="D105" s="103" t="s">
        <v>1331</v>
      </c>
      <c r="E105" s="104">
        <v>0.70399999999999996</v>
      </c>
      <c r="F105" s="103" t="s">
        <v>1159</v>
      </c>
      <c r="G105" s="103">
        <v>5</v>
      </c>
      <c r="H105" s="103" t="s">
        <v>223</v>
      </c>
      <c r="I105" s="105"/>
      <c r="J105" s="103" t="s">
        <v>1332</v>
      </c>
      <c r="K105" s="106" t="str">
        <f t="shared" si="8"/>
        <v>ENP-00104|JLCPCB</v>
      </c>
      <c r="L105" s="106" t="str">
        <f t="shared" si="9"/>
        <v>ENP-00104|Ja</v>
      </c>
    </row>
    <row r="106" spans="1:12" ht="70" customHeight="1" x14ac:dyDescent="0.15">
      <c r="A106" s="103" t="s">
        <v>198</v>
      </c>
      <c r="B106" s="103" t="s">
        <v>226</v>
      </c>
      <c r="C106" s="103" t="s">
        <v>1334</v>
      </c>
      <c r="D106" s="103" t="s">
        <v>1331</v>
      </c>
      <c r="E106" s="104">
        <v>0.70399999999999996</v>
      </c>
      <c r="F106" s="103" t="s">
        <v>1159</v>
      </c>
      <c r="G106" s="103">
        <v>5</v>
      </c>
      <c r="H106" s="103" t="s">
        <v>223</v>
      </c>
      <c r="I106" s="105"/>
      <c r="J106" s="103" t="s">
        <v>1332</v>
      </c>
      <c r="K106" s="106" t="str">
        <f t="shared" si="8"/>
        <v>ENP-00105|JLCPCB</v>
      </c>
      <c r="L106" s="106" t="str">
        <f t="shared" si="9"/>
        <v>ENP-00105|Ja</v>
      </c>
    </row>
    <row r="107" spans="1:12" ht="70" customHeight="1" x14ac:dyDescent="0.15">
      <c r="A107" s="103" t="s">
        <v>199</v>
      </c>
      <c r="B107" s="103" t="s">
        <v>230</v>
      </c>
      <c r="C107" s="103" t="s">
        <v>902</v>
      </c>
      <c r="D107" s="103" t="s">
        <v>1335</v>
      </c>
      <c r="E107" s="104">
        <v>0.23</v>
      </c>
      <c r="F107" s="103" t="s">
        <v>1159</v>
      </c>
      <c r="G107" s="103"/>
      <c r="H107" s="103" t="s">
        <v>223</v>
      </c>
      <c r="I107" s="105" t="s">
        <v>1205</v>
      </c>
      <c r="J107" s="103" t="s">
        <v>1336</v>
      </c>
      <c r="K107" s="106" t="str">
        <f t="shared" si="8"/>
        <v>ENP-00106|Reichelt</v>
      </c>
      <c r="L107" s="106" t="str">
        <f t="shared" si="9"/>
        <v>ENP-00106|Ja</v>
      </c>
    </row>
    <row r="108" spans="1:12" ht="70" customHeight="1" x14ac:dyDescent="0.15">
      <c r="A108" s="103" t="s">
        <v>200</v>
      </c>
      <c r="B108" s="103" t="s">
        <v>226</v>
      </c>
      <c r="C108" s="103" t="s">
        <v>907</v>
      </c>
      <c r="D108" s="103" t="s">
        <v>1245</v>
      </c>
      <c r="E108" s="104">
        <v>0.7</v>
      </c>
      <c r="F108" s="103" t="s">
        <v>1159</v>
      </c>
      <c r="G108" s="103">
        <v>5</v>
      </c>
      <c r="H108" s="103" t="s">
        <v>223</v>
      </c>
      <c r="I108" s="105" t="s">
        <v>1205</v>
      </c>
      <c r="J108" s="103" t="s">
        <v>1337</v>
      </c>
      <c r="K108" s="106" t="str">
        <f t="shared" si="8"/>
        <v>ENP-00107|JLCPCB</v>
      </c>
      <c r="L108" s="106" t="str">
        <f t="shared" si="9"/>
        <v>ENP-00107|Ja</v>
      </c>
    </row>
    <row r="109" spans="1:12" ht="70" customHeight="1" x14ac:dyDescent="0.15">
      <c r="A109" s="103" t="s">
        <v>201</v>
      </c>
      <c r="B109" s="103" t="s">
        <v>230</v>
      </c>
      <c r="C109" s="103" t="s">
        <v>1338</v>
      </c>
      <c r="D109" s="103" t="s">
        <v>1339</v>
      </c>
      <c r="E109" s="104">
        <v>0.13</v>
      </c>
      <c r="F109" s="103" t="s">
        <v>1159</v>
      </c>
      <c r="G109" s="103"/>
      <c r="H109" s="103" t="s">
        <v>223</v>
      </c>
      <c r="I109" s="105" t="s">
        <v>1163</v>
      </c>
      <c r="J109" s="103" t="s">
        <v>1340</v>
      </c>
      <c r="K109" s="106" t="str">
        <f t="shared" si="8"/>
        <v>ENP-00108|Reichelt</v>
      </c>
      <c r="L109" s="106" t="str">
        <f t="shared" si="9"/>
        <v>ENP-00108|Ja</v>
      </c>
    </row>
    <row r="110" spans="1:12" ht="70" customHeight="1" x14ac:dyDescent="0.15">
      <c r="A110" s="85" t="s">
        <v>202</v>
      </c>
      <c r="B110" s="85" t="s">
        <v>224</v>
      </c>
      <c r="C110" s="85" t="s">
        <v>1341</v>
      </c>
      <c r="D110" s="85"/>
      <c r="E110" s="85">
        <v>0.55000000000000004</v>
      </c>
      <c r="F110" s="85" t="s">
        <v>1159</v>
      </c>
      <c r="G110" s="85"/>
      <c r="H110" s="85" t="s">
        <v>223</v>
      </c>
      <c r="I110" s="107">
        <v>46275</v>
      </c>
      <c r="J110" s="85" t="s">
        <v>1342</v>
      </c>
      <c r="K110" s="85" t="str">
        <f t="shared" si="8"/>
        <v>ENP-00109|DigiKey</v>
      </c>
      <c r="L110" s="85" t="str">
        <f t="shared" si="9"/>
        <v>ENP-00109|Ja</v>
      </c>
    </row>
    <row r="111" spans="1:12" ht="70" customHeight="1" x14ac:dyDescent="0.15">
      <c r="A111" s="85" t="s">
        <v>203</v>
      </c>
      <c r="B111" s="85" t="s">
        <v>224</v>
      </c>
      <c r="C111" s="85" t="s">
        <v>1343</v>
      </c>
      <c r="D111" s="85"/>
      <c r="E111" s="85">
        <v>0.09</v>
      </c>
      <c r="F111" s="85" t="s">
        <v>1159</v>
      </c>
      <c r="G111" s="85"/>
      <c r="H111" s="85" t="s">
        <v>223</v>
      </c>
      <c r="I111" s="107">
        <v>46275</v>
      </c>
      <c r="J111" s="85" t="s">
        <v>1342</v>
      </c>
      <c r="K111" s="85" t="str">
        <f t="shared" si="8"/>
        <v>ENP-00110|DigiKey</v>
      </c>
      <c r="L111" s="85" t="str">
        <f t="shared" si="9"/>
        <v>ENP-00110|Ja</v>
      </c>
    </row>
    <row r="112" spans="1:12" ht="70" customHeight="1" x14ac:dyDescent="0.15">
      <c r="A112" s="85" t="s">
        <v>204</v>
      </c>
      <c r="B112" s="85" t="s">
        <v>230</v>
      </c>
      <c r="C112" s="85" t="s">
        <v>935</v>
      </c>
      <c r="D112" s="85" t="s">
        <v>1344</v>
      </c>
      <c r="E112" s="85">
        <v>0.54</v>
      </c>
      <c r="F112" s="85" t="s">
        <v>1345</v>
      </c>
      <c r="G112" s="85">
        <v>1</v>
      </c>
      <c r="H112" s="85" t="s">
        <v>223</v>
      </c>
      <c r="I112" s="107">
        <v>46279</v>
      </c>
      <c r="J112" s="85" t="s">
        <v>1346</v>
      </c>
      <c r="K112" s="85" t="str">
        <f t="shared" si="8"/>
        <v>ENP-00111|Reichelt</v>
      </c>
      <c r="L112" s="85" t="str">
        <f t="shared" si="9"/>
        <v>ENP-00111|Ja</v>
      </c>
    </row>
    <row r="113" spans="1:12" ht="70" customHeight="1" x14ac:dyDescent="0.15">
      <c r="A113" s="85" t="s">
        <v>205</v>
      </c>
      <c r="B113" s="85" t="s">
        <v>224</v>
      </c>
      <c r="C113" s="85" t="s">
        <v>1347</v>
      </c>
      <c r="D113" s="85" t="s">
        <v>1348</v>
      </c>
      <c r="E113" s="85"/>
      <c r="F113" s="85" t="s">
        <v>1159</v>
      </c>
      <c r="G113" s="85">
        <v>1</v>
      </c>
      <c r="H113" s="85" t="s">
        <v>223</v>
      </c>
      <c r="I113" s="107">
        <v>46279</v>
      </c>
      <c r="J113" s="85" t="s">
        <v>1349</v>
      </c>
      <c r="K113" s="85" t="str">
        <f t="shared" si="8"/>
        <v>ENP-00112|DigiKey</v>
      </c>
      <c r="L113" s="85" t="str">
        <f t="shared" si="9"/>
        <v>ENP-00112|Ja</v>
      </c>
    </row>
    <row r="114" spans="1:12" ht="70" customHeight="1" x14ac:dyDescent="0.15">
      <c r="A114" s="85" t="s">
        <v>206</v>
      </c>
      <c r="B114" s="85" t="s">
        <v>226</v>
      </c>
      <c r="C114" s="85" t="s">
        <v>946</v>
      </c>
      <c r="D114" s="85" t="s">
        <v>1245</v>
      </c>
      <c r="E114" s="85">
        <v>0.7</v>
      </c>
      <c r="F114" s="85" t="s">
        <v>1159</v>
      </c>
      <c r="G114" s="85">
        <v>5</v>
      </c>
      <c r="H114" s="85" t="s">
        <v>223</v>
      </c>
      <c r="I114" s="107">
        <v>46279</v>
      </c>
      <c r="J114" s="85" t="s">
        <v>1337</v>
      </c>
      <c r="K114" s="85" t="str">
        <f t="shared" si="8"/>
        <v>ENP-00113|JLCPCB</v>
      </c>
      <c r="L114" s="85" t="str">
        <f t="shared" si="9"/>
        <v>ENP-00113|Ja</v>
      </c>
    </row>
    <row r="115" spans="1:12" ht="70" customHeight="1" x14ac:dyDescent="0.15">
      <c r="A115" s="85" t="s">
        <v>207</v>
      </c>
      <c r="B115" s="85" t="s">
        <v>226</v>
      </c>
      <c r="C115" s="85" t="s">
        <v>954</v>
      </c>
      <c r="D115" s="85" t="s">
        <v>1245</v>
      </c>
      <c r="E115" s="85">
        <v>0.7</v>
      </c>
      <c r="F115" s="85" t="s">
        <v>1159</v>
      </c>
      <c r="G115" s="85">
        <v>5</v>
      </c>
      <c r="H115" s="85" t="s">
        <v>223</v>
      </c>
      <c r="I115" s="107">
        <v>46279</v>
      </c>
      <c r="J115" s="85" t="s">
        <v>1337</v>
      </c>
      <c r="K115" s="85" t="str">
        <f t="shared" si="8"/>
        <v>ENP-00114|JLCPCB</v>
      </c>
      <c r="L115" s="85" t="str">
        <f t="shared" si="9"/>
        <v>ENP-00114|Ja</v>
      </c>
    </row>
    <row r="116" spans="1:12" ht="70" customHeight="1" x14ac:dyDescent="0.15">
      <c r="A116" s="85" t="s">
        <v>208</v>
      </c>
      <c r="B116" s="85" t="s">
        <v>230</v>
      </c>
      <c r="C116" s="85" t="s">
        <v>1350</v>
      </c>
      <c r="D116" s="85" t="s">
        <v>1351</v>
      </c>
      <c r="E116" s="85">
        <v>0.02</v>
      </c>
      <c r="F116" s="85" t="s">
        <v>1159</v>
      </c>
      <c r="G116" s="85">
        <v>1</v>
      </c>
      <c r="H116" s="85" t="s">
        <v>223</v>
      </c>
      <c r="I116" s="107">
        <v>46279</v>
      </c>
      <c r="J116" s="85" t="s">
        <v>1352</v>
      </c>
      <c r="K116" s="85" t="str">
        <f t="shared" si="8"/>
        <v>ENP-00115|Reichelt</v>
      </c>
      <c r="L116" s="85" t="str">
        <f t="shared" si="9"/>
        <v>ENP-00115|Ja</v>
      </c>
    </row>
    <row r="117" spans="1:12" ht="70" customHeight="1" x14ac:dyDescent="0.15">
      <c r="A117" s="85" t="s">
        <v>209</v>
      </c>
      <c r="B117" s="85" t="s">
        <v>230</v>
      </c>
      <c r="C117" s="85" t="s">
        <v>1353</v>
      </c>
      <c r="D117" s="85" t="s">
        <v>1354</v>
      </c>
      <c r="E117" s="85">
        <v>0.71</v>
      </c>
      <c r="F117" s="85" t="s">
        <v>1159</v>
      </c>
      <c r="G117" s="85">
        <v>1</v>
      </c>
      <c r="H117" s="85" t="s">
        <v>223</v>
      </c>
      <c r="I117" s="107">
        <v>46279</v>
      </c>
      <c r="J117" s="85" t="s">
        <v>1355</v>
      </c>
      <c r="K117" s="85" t="str">
        <f t="shared" si="8"/>
        <v>ENP-00116|Reichelt</v>
      </c>
      <c r="L117" s="85" t="str">
        <f t="shared" si="9"/>
        <v>ENP-00116|Ja</v>
      </c>
    </row>
    <row r="118" spans="1:12" ht="70" customHeight="1" x14ac:dyDescent="0.15">
      <c r="A118" s="85" t="s">
        <v>210</v>
      </c>
      <c r="B118" s="117" t="s">
        <v>225</v>
      </c>
      <c r="C118" s="85" t="s">
        <v>1356</v>
      </c>
      <c r="D118" s="85" t="s">
        <v>1378</v>
      </c>
      <c r="E118" s="85">
        <v>2</v>
      </c>
      <c r="F118" s="85" t="s">
        <v>1159</v>
      </c>
      <c r="G118" s="85"/>
      <c r="H118" s="85" t="s">
        <v>223</v>
      </c>
      <c r="I118" s="107">
        <v>46284</v>
      </c>
      <c r="J118" s="85" t="s">
        <v>1357</v>
      </c>
      <c r="K118" s="85" t="str">
        <f t="shared" si="8"/>
        <v>ENP-00117|eBay</v>
      </c>
      <c r="L118" s="85" t="str">
        <f t="shared" si="9"/>
        <v>ENP-00117|Ja</v>
      </c>
    </row>
    <row r="119" spans="1:12" ht="70" customHeight="1" x14ac:dyDescent="0.15">
      <c r="A119" s="85" t="s">
        <v>211</v>
      </c>
      <c r="B119" s="85" t="s">
        <v>226</v>
      </c>
      <c r="C119" s="85" t="s">
        <v>981</v>
      </c>
      <c r="D119" s="85" t="s">
        <v>1245</v>
      </c>
      <c r="E119" s="85">
        <v>0.7</v>
      </c>
      <c r="F119" s="85" t="s">
        <v>1159</v>
      </c>
      <c r="G119" s="85">
        <v>5</v>
      </c>
      <c r="H119" s="85" t="s">
        <v>223</v>
      </c>
      <c r="I119" s="107">
        <v>46285</v>
      </c>
      <c r="J119" s="85" t="s">
        <v>1337</v>
      </c>
      <c r="K119" s="85" t="str">
        <f t="shared" si="8"/>
        <v>ENP-00118|JLCPCB</v>
      </c>
      <c r="L119" s="85" t="str">
        <f t="shared" si="9"/>
        <v>ENP-00118|Ja</v>
      </c>
    </row>
    <row r="120" spans="1:12" ht="70" customHeight="1" x14ac:dyDescent="0.15">
      <c r="A120" s="85" t="s">
        <v>212</v>
      </c>
      <c r="B120" s="85" t="s">
        <v>230</v>
      </c>
      <c r="C120" s="85" t="s">
        <v>1358</v>
      </c>
      <c r="D120" s="85" t="s">
        <v>1359</v>
      </c>
      <c r="E120" s="85"/>
      <c r="F120" s="85" t="s">
        <v>1159</v>
      </c>
      <c r="G120" s="85"/>
      <c r="H120" s="85" t="s">
        <v>39</v>
      </c>
      <c r="I120" s="107">
        <v>46286</v>
      </c>
      <c r="J120" s="85" t="s">
        <v>1360</v>
      </c>
      <c r="K120" s="85" t="str">
        <f t="shared" si="8"/>
        <v>ENP-00119|Reichelt</v>
      </c>
      <c r="L120" s="85" t="str">
        <f t="shared" si="9"/>
        <v>ENP-00119|Nein</v>
      </c>
    </row>
    <row r="121" spans="1:12" ht="70" customHeight="1" x14ac:dyDescent="0.15">
      <c r="A121" s="85" t="s">
        <v>215</v>
      </c>
      <c r="B121" s="85" t="s">
        <v>224</v>
      </c>
      <c r="C121" s="85" t="s">
        <v>1361</v>
      </c>
      <c r="D121" s="85" t="s">
        <v>1362</v>
      </c>
      <c r="E121" s="85">
        <v>0.45</v>
      </c>
      <c r="F121" s="85" t="s">
        <v>1159</v>
      </c>
      <c r="G121" s="85">
        <v>1</v>
      </c>
      <c r="H121" s="85" t="s">
        <v>223</v>
      </c>
      <c r="I121" s="107">
        <v>46294</v>
      </c>
      <c r="J121" s="85" t="s">
        <v>1363</v>
      </c>
      <c r="K121" s="85" t="str">
        <f t="shared" si="8"/>
        <v>ENP-00122|DigiKey</v>
      </c>
      <c r="L121" s="85" t="str">
        <f t="shared" si="9"/>
        <v>ENP-00122|Ja</v>
      </c>
    </row>
    <row r="122" spans="1:12" ht="70" customHeight="1" x14ac:dyDescent="0.15">
      <c r="A122" s="85" t="s">
        <v>1024</v>
      </c>
      <c r="B122" s="85" t="s">
        <v>232</v>
      </c>
      <c r="C122" s="85" t="s">
        <v>1364</v>
      </c>
      <c r="D122" s="85" t="s">
        <v>1365</v>
      </c>
      <c r="E122" s="85">
        <v>2.04</v>
      </c>
      <c r="F122" s="85" t="s">
        <v>1159</v>
      </c>
      <c r="G122" s="85">
        <v>1</v>
      </c>
      <c r="H122" s="85" t="s">
        <v>223</v>
      </c>
      <c r="I122" s="107">
        <v>46294</v>
      </c>
      <c r="J122" s="85" t="s">
        <v>1366</v>
      </c>
      <c r="K122" s="85" t="str">
        <f t="shared" si="8"/>
        <v>ENP-00125|TME</v>
      </c>
      <c r="L122" s="85" t="str">
        <f t="shared" si="9"/>
        <v>ENP-00125|Ja</v>
      </c>
    </row>
    <row r="123" spans="1:12" ht="70" customHeight="1" x14ac:dyDescent="0.15">
      <c r="A123" s="85" t="s">
        <v>212</v>
      </c>
      <c r="B123" s="85" t="s">
        <v>224</v>
      </c>
      <c r="C123" s="85" t="s">
        <v>1367</v>
      </c>
      <c r="D123" s="85" t="s">
        <v>1368</v>
      </c>
      <c r="E123" s="85">
        <v>0.59</v>
      </c>
      <c r="F123" s="85" t="s">
        <v>1159</v>
      </c>
      <c r="G123" s="85">
        <v>1</v>
      </c>
      <c r="H123" s="85" t="s">
        <v>223</v>
      </c>
      <c r="I123" s="107">
        <v>46294</v>
      </c>
      <c r="J123" s="85" t="s">
        <v>1369</v>
      </c>
      <c r="K123" s="85" t="str">
        <f t="shared" si="8"/>
        <v>ENP-00119|DigiKey</v>
      </c>
      <c r="L123" s="85" t="str">
        <f t="shared" si="9"/>
        <v>ENP-00119|Ja</v>
      </c>
    </row>
    <row r="124" spans="1:12" ht="70" customHeight="1" x14ac:dyDescent="0.15">
      <c r="A124" s="85" t="s">
        <v>213</v>
      </c>
      <c r="B124" s="85" t="s">
        <v>226</v>
      </c>
      <c r="C124" s="85" t="s">
        <v>995</v>
      </c>
      <c r="D124" s="85" t="s">
        <v>1245</v>
      </c>
      <c r="E124" s="85"/>
      <c r="F124" s="85" t="s">
        <v>1159</v>
      </c>
      <c r="G124" s="85">
        <v>5</v>
      </c>
      <c r="H124" s="85" t="s">
        <v>223</v>
      </c>
      <c r="I124" s="107">
        <v>46294</v>
      </c>
      <c r="J124" s="85" t="s">
        <v>1370</v>
      </c>
      <c r="K124" s="85" t="str">
        <f t="shared" si="8"/>
        <v>ENP-00120|JLCPCB</v>
      </c>
      <c r="L124" s="85" t="str">
        <f t="shared" si="9"/>
        <v>ENP-00120|Ja</v>
      </c>
    </row>
    <row r="125" spans="1:12" ht="70" customHeight="1" x14ac:dyDescent="0.15">
      <c r="A125" s="85" t="s">
        <v>214</v>
      </c>
      <c r="B125" s="85" t="s">
        <v>226</v>
      </c>
      <c r="C125" s="85"/>
      <c r="D125" s="85" t="s">
        <v>1245</v>
      </c>
      <c r="E125" s="85"/>
      <c r="F125" s="85" t="s">
        <v>1159</v>
      </c>
      <c r="G125" s="85">
        <v>5</v>
      </c>
      <c r="H125" s="85" t="s">
        <v>223</v>
      </c>
      <c r="I125" s="107">
        <v>46294</v>
      </c>
      <c r="J125" s="85" t="s">
        <v>1371</v>
      </c>
      <c r="K125" s="85" t="str">
        <f t="shared" si="8"/>
        <v>ENP-00121|JLCPCB</v>
      </c>
      <c r="L125" s="85" t="str">
        <f t="shared" si="9"/>
        <v>ENP-00121|Ja</v>
      </c>
    </row>
    <row r="126" spans="1:12" ht="70" customHeight="1" x14ac:dyDescent="0.15">
      <c r="A126" s="85" t="s">
        <v>1011</v>
      </c>
      <c r="B126" s="85" t="s">
        <v>226</v>
      </c>
      <c r="C126" s="85"/>
      <c r="D126" s="85" t="s">
        <v>1245</v>
      </c>
      <c r="E126" s="85"/>
      <c r="F126" s="85" t="s">
        <v>1159</v>
      </c>
      <c r="G126" s="85">
        <v>5</v>
      </c>
      <c r="H126" s="85" t="s">
        <v>223</v>
      </c>
      <c r="I126" s="107">
        <v>46294</v>
      </c>
      <c r="J126" s="85" t="s">
        <v>1246</v>
      </c>
      <c r="K126" s="85" t="str">
        <f t="shared" si="8"/>
        <v>ENP-00123|JLCPCB</v>
      </c>
      <c r="L126" s="85" t="str">
        <f t="shared" si="9"/>
        <v>ENP-00123|Ja</v>
      </c>
    </row>
    <row r="127" spans="1:12" ht="70" customHeight="1" x14ac:dyDescent="0.15">
      <c r="A127" s="85" t="s">
        <v>1018</v>
      </c>
      <c r="B127" s="85" t="s">
        <v>226</v>
      </c>
      <c r="C127" s="85"/>
      <c r="D127" s="85" t="s">
        <v>1245</v>
      </c>
      <c r="E127" s="85"/>
      <c r="F127" s="85" t="s">
        <v>1159</v>
      </c>
      <c r="G127" s="85">
        <v>5</v>
      </c>
      <c r="H127" s="85" t="s">
        <v>223</v>
      </c>
      <c r="I127" s="107">
        <v>46294</v>
      </c>
      <c r="J127" s="85" t="s">
        <v>1246</v>
      </c>
      <c r="K127" s="85" t="str">
        <f t="shared" si="8"/>
        <v>ENP-00124|JLCPCB</v>
      </c>
      <c r="L127" s="85" t="str">
        <f t="shared" si="9"/>
        <v>ENP-00124|Ja</v>
      </c>
    </row>
    <row r="128" spans="1:12" ht="70" customHeight="1" x14ac:dyDescent="0.15">
      <c r="A128" s="85" t="s">
        <v>1033</v>
      </c>
      <c r="B128" s="85" t="s">
        <v>226</v>
      </c>
      <c r="C128" s="85"/>
      <c r="D128" s="85" t="s">
        <v>1245</v>
      </c>
      <c r="E128" s="85"/>
      <c r="F128" s="85" t="s">
        <v>1159</v>
      </c>
      <c r="G128" s="85">
        <v>5</v>
      </c>
      <c r="H128" s="85" t="s">
        <v>223</v>
      </c>
      <c r="I128" s="107">
        <v>46294</v>
      </c>
      <c r="J128" s="85" t="s">
        <v>1246</v>
      </c>
      <c r="K128" s="85" t="str">
        <f t="shared" si="8"/>
        <v>ENP-00126|JLCPCB</v>
      </c>
      <c r="L128" s="85" t="str">
        <f t="shared" si="9"/>
        <v>ENP-00126|Ja</v>
      </c>
    </row>
    <row r="129" spans="1:12" ht="70" customHeight="1" x14ac:dyDescent="0.15">
      <c r="A129" s="85" t="s">
        <v>1039</v>
      </c>
      <c r="B129" s="85" t="s">
        <v>228</v>
      </c>
      <c r="C129" s="85"/>
      <c r="D129" s="85"/>
      <c r="E129" s="85"/>
      <c r="F129" s="85" t="s">
        <v>1159</v>
      </c>
      <c r="G129" s="85">
        <v>1</v>
      </c>
      <c r="H129" s="85" t="s">
        <v>223</v>
      </c>
      <c r="I129" s="107">
        <v>46294</v>
      </c>
      <c r="J129" s="85" t="s">
        <v>1372</v>
      </c>
      <c r="K129" s="85" t="str">
        <f t="shared" si="8"/>
        <v>ENP-00127|Noch festlegen</v>
      </c>
      <c r="L129" s="85" t="str">
        <f t="shared" si="9"/>
        <v>ENP-00127|Ja</v>
      </c>
    </row>
  </sheetData>
  <dataValidations count="1">
    <dataValidation type="list" sqref="H2:H102" xr:uid="{00000000-0002-0000-0600-000000000000}">
      <formula1>"Ja,Nein"</formula1>
      <formula2>0</formula2>
    </dataValidation>
  </dataValidations>
  <hyperlinks>
    <hyperlink ref="D113" r:id="rId1" xr:uid="{00000000-0004-0000-0600-000000000000}"/>
    <hyperlink ref="D116" r:id="rId2" xr:uid="{00000000-0004-0000-0600-000001000000}"/>
  </hyperlinks>
  <pageMargins left="0.7" right="0.7" top="0.75" bottom="0.75" header="0.3" footer="0.3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0"/>
  <sheetViews>
    <sheetView showGridLines="0" workbookViewId="0"/>
  </sheetViews>
  <sheetFormatPr baseColWidth="10" defaultColWidth="8.6640625" defaultRowHeight="13" x14ac:dyDescent="0.15"/>
  <cols>
    <col min="1" max="1" width="22" customWidth="1"/>
    <col min="2" max="2" width="12" customWidth="1"/>
    <col min="3" max="3" width="35" customWidth="1"/>
  </cols>
  <sheetData>
    <row r="1" spans="1:3" ht="26" customHeight="1" x14ac:dyDescent="0.15">
      <c r="A1" s="77" t="s">
        <v>59</v>
      </c>
      <c r="B1" s="77" t="s">
        <v>221</v>
      </c>
      <c r="C1" s="77" t="s">
        <v>11</v>
      </c>
    </row>
    <row r="2" spans="1:3" x14ac:dyDescent="0.15">
      <c r="A2" t="s">
        <v>222</v>
      </c>
      <c r="B2" s="78" t="s">
        <v>223</v>
      </c>
    </row>
    <row r="3" spans="1:3" x14ac:dyDescent="0.15">
      <c r="A3" t="s">
        <v>224</v>
      </c>
      <c r="B3" s="78" t="s">
        <v>223</v>
      </c>
    </row>
    <row r="4" spans="1:3" x14ac:dyDescent="0.15">
      <c r="A4" t="s">
        <v>225</v>
      </c>
      <c r="B4" s="78" t="s">
        <v>223</v>
      </c>
    </row>
    <row r="5" spans="1:3" x14ac:dyDescent="0.15">
      <c r="A5" t="s">
        <v>226</v>
      </c>
      <c r="B5" s="78" t="s">
        <v>223</v>
      </c>
    </row>
    <row r="6" spans="1:3" x14ac:dyDescent="0.15">
      <c r="A6" t="s">
        <v>227</v>
      </c>
      <c r="B6" s="78" t="s">
        <v>223</v>
      </c>
    </row>
    <row r="7" spans="1:3" x14ac:dyDescent="0.15">
      <c r="A7" t="s">
        <v>228</v>
      </c>
      <c r="B7" s="78" t="s">
        <v>223</v>
      </c>
      <c r="C7" t="s">
        <v>229</v>
      </c>
    </row>
    <row r="8" spans="1:3" x14ac:dyDescent="0.15">
      <c r="A8" t="s">
        <v>230</v>
      </c>
      <c r="B8" s="78" t="s">
        <v>223</v>
      </c>
    </row>
    <row r="9" spans="1:3" x14ac:dyDescent="0.15">
      <c r="A9" t="s">
        <v>231</v>
      </c>
      <c r="B9" s="78" t="s">
        <v>223</v>
      </c>
    </row>
    <row r="10" spans="1:3" x14ac:dyDescent="0.15">
      <c r="A10" t="s">
        <v>232</v>
      </c>
      <c r="B10" s="78" t="s">
        <v>223</v>
      </c>
    </row>
  </sheetData>
  <dataValidations count="1">
    <dataValidation type="list" sqref="B2:B10" xr:uid="{00000000-0002-0000-0700-000000000000}">
      <formula1>"Ja,Nein"</formula1>
      <formula2>0</formula2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4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3" x14ac:dyDescent="0.15"/>
  <cols>
    <col min="1" max="2" width="18" customWidth="1"/>
    <col min="3" max="3" width="22" customWidth="1"/>
    <col min="4" max="5" width="13" customWidth="1"/>
    <col min="6" max="6" width="9" customWidth="1"/>
    <col min="7" max="7" width="64" customWidth="1"/>
    <col min="8" max="9" width="18" customWidth="1"/>
    <col min="10" max="10" width="34" customWidth="1"/>
    <col min="11" max="11" width="28" customWidth="1"/>
  </cols>
  <sheetData>
    <row r="1" spans="1:11" ht="14" x14ac:dyDescent="0.15">
      <c r="A1" s="79" t="s">
        <v>233</v>
      </c>
      <c r="B1" s="79" t="s">
        <v>234</v>
      </c>
      <c r="C1" s="79" t="s">
        <v>235</v>
      </c>
      <c r="D1" s="79" t="s">
        <v>236</v>
      </c>
      <c r="E1" s="79" t="s">
        <v>237</v>
      </c>
      <c r="F1" s="79" t="s">
        <v>238</v>
      </c>
      <c r="G1" s="79" t="s">
        <v>11</v>
      </c>
      <c r="H1" s="79" t="s">
        <v>239</v>
      </c>
      <c r="I1" s="79" t="s">
        <v>240</v>
      </c>
      <c r="J1" s="79" t="s">
        <v>241</v>
      </c>
      <c r="K1" s="84" t="s">
        <v>242</v>
      </c>
    </row>
    <row r="2" spans="1:11" ht="14" x14ac:dyDescent="0.15">
      <c r="A2" s="80" t="s">
        <v>145</v>
      </c>
      <c r="B2" s="80" t="s">
        <v>202</v>
      </c>
      <c r="C2" s="80" t="s">
        <v>243</v>
      </c>
      <c r="D2" s="80" t="s">
        <v>244</v>
      </c>
      <c r="E2" s="80" t="s">
        <v>223</v>
      </c>
      <c r="F2" s="80">
        <v>1</v>
      </c>
      <c r="G2" s="81" t="s">
        <v>245</v>
      </c>
      <c r="H2" s="82">
        <f>IF($E2="Ja",IFERROR(VLOOKUP($B2,Stock!$A$5:$K$200,10,FALSE()),0),0)</f>
        <v>2</v>
      </c>
      <c r="I2" s="82">
        <f>IF($E2="Ja",IFERROR(VLOOKUP($B2,Stock!$A$5:$K$200,11,FALSE()),0),0)</f>
        <v>0</v>
      </c>
      <c r="J2" s="80" t="str">
        <f>IF($E2&lt;&gt;"Ja","",$B2&amp;" · "&amp;$C2)</f>
        <v>ENP-00109 · gleichwertig</v>
      </c>
      <c r="K2" s="83" t="str">
        <f>$A2&amp;"|"&amp;$B2</f>
        <v>ENP-00054|ENP-00109</v>
      </c>
    </row>
    <row r="3" spans="1:11" ht="14" x14ac:dyDescent="0.15">
      <c r="A3" s="80" t="s">
        <v>202</v>
      </c>
      <c r="B3" s="80" t="s">
        <v>145</v>
      </c>
      <c r="C3" s="80" t="s">
        <v>243</v>
      </c>
      <c r="D3" s="80" t="s">
        <v>244</v>
      </c>
      <c r="E3" s="80" t="s">
        <v>223</v>
      </c>
      <c r="F3" s="80">
        <v>1</v>
      </c>
      <c r="G3" s="81" t="s">
        <v>246</v>
      </c>
      <c r="H3" s="82">
        <f>IF($E3="Ja",IFERROR(VLOOKUP($B3,Stock!$A$5:$K$200,10,FALSE()),0),0)</f>
        <v>2</v>
      </c>
      <c r="I3" s="82">
        <f>IF($E3="Ja",IFERROR(VLOOKUP($B3,Stock!$A$5:$K$200,11,FALSE()),0),0)</f>
        <v>8</v>
      </c>
      <c r="J3" s="80" t="str">
        <f>IF($E3&lt;&gt;"Ja","",$B3&amp;" · "&amp;$C3)</f>
        <v>ENP-00054 · gleichwertig</v>
      </c>
      <c r="K3" s="83" t="str">
        <f>$A3&amp;"|"&amp;$B3</f>
        <v>ENP-00109|ENP-00054</v>
      </c>
    </row>
    <row r="4" spans="1:11" ht="28" x14ac:dyDescent="0.15">
      <c r="A4" s="80" t="s">
        <v>183</v>
      </c>
      <c r="B4" s="80" t="s">
        <v>203</v>
      </c>
      <c r="C4" s="80" t="s">
        <v>247</v>
      </c>
      <c r="D4" s="80" t="s">
        <v>244</v>
      </c>
      <c r="E4" s="80" t="s">
        <v>223</v>
      </c>
      <c r="F4" s="80">
        <v>1</v>
      </c>
      <c r="G4" s="81" t="s">
        <v>248</v>
      </c>
      <c r="H4" s="82">
        <f>IF($E4="Ja",IFERROR(VLOOKUP($B4,Stock!$A$5:$K$200,10,FALSE()),0),0)</f>
        <v>2</v>
      </c>
      <c r="I4" s="82">
        <f>IF($E4="Ja",IFERROR(VLOOKUP($B4,Stock!$A$5:$K$200,11,FALSE()),0),0)</f>
        <v>0</v>
      </c>
      <c r="J4" s="80" t="str">
        <f>IF($E4&lt;&gt;"Ja","",$B4&amp;" · "&amp;$C4)</f>
        <v>ENP-00110 · höherwertiger Ersatz</v>
      </c>
      <c r="K4" s="83" t="str">
        <f>$A4&amp;"|"&amp;$B4</f>
        <v>ENP-00090|ENP-00110</v>
      </c>
    </row>
  </sheetData>
  <dataValidations count="2">
    <dataValidation type="list" sqref="E2:E100" xr:uid="{00000000-0002-0000-0800-000000000000}">
      <formula1>"Ja,Nein"</formula1>
    </dataValidation>
    <dataValidation type="whole" sqref="F2:F100" xr:uid="{00000000-0002-0000-0800-000001000000}">
      <formula1>1</formula1>
      <formula2>99</formula2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Parts</vt:lpstr>
      <vt:lpstr>Kits</vt:lpstr>
      <vt:lpstr>Kit_BOM</vt:lpstr>
      <vt:lpstr>Order_List</vt:lpstr>
      <vt:lpstr>Stock</vt:lpstr>
      <vt:lpstr>Etiketten_Druck</vt:lpstr>
      <vt:lpstr>Part_Suppliers</vt:lpstr>
      <vt:lpstr>Suppliers</vt:lpstr>
      <vt:lpstr>Part_Alternatives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Lutz Thielemann</cp:lastModifiedBy>
  <dcterms:created xsi:type="dcterms:W3CDTF">2026-09-30T05:14:32Z</dcterms:created>
  <dcterms:modified xsi:type="dcterms:W3CDTF">2026-10-05T07:43:45Z</dcterms:modified>
</cp:coreProperties>
</file>