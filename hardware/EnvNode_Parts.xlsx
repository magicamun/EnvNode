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2010432aee4a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s" sheetId="1" r:id="R88300fdef6a04f9e"/>
  </x:sheets>
</x:workbook>
</file>

<file path=xl/sharedStrings.xml><?xml version="1.0" encoding="utf-8"?>
<x:sst xmlns:x="http://schemas.openxmlformats.org/spreadsheetml/2006/main">
  <x:si>
    <x:t xml:space="preserve">Part_ID</x:t>
  </x:si>
  <x:si>
    <x:t xml:space="preserve">Category</x:t>
  </x:si>
  <x:si>
    <x:t xml:space="preserve">Description</x:t>
  </x:si>
  <x:si>
    <x:t xml:space="preserve">Value_Rating</x:t>
  </x:si>
  <x:si>
    <x:t xml:space="preserve">Package_Footprint</x:t>
  </x:si>
  <x:si>
    <x:t xml:space="preserve">Manufacturer</x:t>
  </x:si>
  <x:si>
    <x:t xml:space="preserve">MPN</x:t>
  </x:si>
  <x:si>
    <x:t xml:space="preserve">Supplier</x:t>
  </x:si>
  <x:si>
    <x:t xml:space="preserve">Supplier_PN</x:t>
  </x:si>
  <x:si>
    <x:t xml:space="preserve">URL</x:t>
  </x:si>
  <x:si>
    <x:t xml:space="preserve">Unit_Price_EUR</x:t>
  </x:si>
  <x:si>
    <x:t xml:space="preserve">Purchase_Unit</x:t>
  </x:si>
  <x:si>
    <x:t xml:space="preserve">Packaging_Unit</x:t>
  </x:si>
  <x:si>
    <x:t xml:space="preserve">Found_In</x:t>
  </x:si>
  <x:si>
    <x:t xml:space="preserve">KiCad_References</x:t>
  </x:si>
  <x:si>
    <x:t xml:space="preserve">Source</x:t>
  </x:si>
  <x:si>
    <x:t xml:space="preserve">Review_Status</x:t>
  </x:si>
  <x:si>
    <x:t xml:space="preserve">Notes</x:t>
  </x:si>
  <x:si>
    <x:t xml:space="preserve">Duplicate_Check_Key</x:t>
  </x:si>
  <x:si>
    <x:t xml:space="preserve">ENP-00001</x:t>
  </x:si>
  <x:si>
    <x:t xml:space="preserve">Kabelsatz</x:t>
  </x:si>
  <x:si>
    <x:t xml:space="preserve">Set, SET JST-PH 4-polig 2.00mm vertikaler PCB-Stecker, Buchse THT</x:t>
  </x:si>
  <x:si>
    <x:t xml:space="preserve">JST-PH, 4-polig, Set</x:t>
  </x:si>
  <x:si>
    <x:t xml:space="preserve">JST</x:t>
  </x:si>
  <x:si>
    <x:t xml:space="preserve">eBay</x:t>
  </x:si>
  <x:si>
    <x:t xml:space="preserve"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x:t>
  </x:si>
  <x:si>
    <x:t xml:space="preserve">Stk</x:t>
  </x:si>
  <x:si>
    <x:t xml:space="preserve">EnvNode</x:t>
  </x:si>
  <x:si>
    <x:t xml:space="preserve">GPIO's</x:t>
  </x:si>
  <x:si>
    <x:t xml:space="preserve">BOM_Mainboard.xlsx</x:t>
  </x:si>
  <x:si>
    <x:t xml:space="preserve">OK</x:t>
  </x:si>
  <x:si>
    <x:t xml:space="preserve">GPIO-Anschlüsse; exakte Herstellerartikelnummer vor Bestellung gegen Footprint und Orientierung prüfen Set-Inhalt gegenüber dem separat aus KiCad abgeleiteten PCB-Header prüfen.</x:t>
  </x:si>
  <x:si>
    <x:t xml:space="preserve">ENP-00002</x:t>
  </x:si>
  <x:si>
    <x:t xml:space="preserve">Qwiic/JST-SH, 4-poliges Pigtail JST</x:t>
  </x:si>
  <x:si>
    <x:t xml:space="preserve">JST-SH/Qwiic, 4-polig</x:t>
  </x:si>
  <x:si>
    <x:t xml:space="preserve"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x:t>
  </x:si>
  <x:si>
    <x:t xml:space="preserve">I2CA0 1-3 I2C1 1-3</x:t>
  </x:si>
  <x:si>
    <x:t xml:space="preserve">Qwiic-Konvention: GND=schwarz, 3V3=rot, SDA=blau, SCL=gelb; Kabelbelegung vor Anschluss prüfen Pigtail ist ein Beschaffungsartikel und nicht der PCB-Steckverbinder.</x:t>
  </x:si>
  <x:si>
    <x:t xml:space="preserve">ENP-00003</x:t>
  </x:si>
  <x:si>
    <x:t xml:space="preserve">Steckverbinder</x:t>
  </x:si>
  <x:si>
    <x:t xml:space="preserve">PinSocket 1x4, 2.54 mm</x:t>
  </x:si>
  <x:si>
    <x:t xml:space="preserve">1x4, 2,54 mm</x:t>
  </x:si>
  <x:si>
    <x:t xml:space="preserve">PinSocket_1x04_P2.54mm_Vertical</x:t>
  </x:si>
  <x:si>
    <x:t xml:space="preserve">fischer Elektronik</x:t>
  </x:si>
  <x:si>
    <x:t xml:space="preserve">reichelt</x:t>
  </x:si>
  <x:si>
    <x:t xml:space="preserve">BKL 10120946</x:t>
  </x:si>
  <x:si>
    <x:t xml:space="preserve">https://www.reichelt.de/de/de/shop/produkt/buchsenleiste_2_54mm_1x4_gerade-266671</x:t>
  </x:si>
  <x:si>
    <x:t xml:space="preserve">EnvNode; RainDetector</x:t>
  </x:si>
  <x:si>
    <x:t xml:space="preserve">EnvNode I2C0_4,I2C1_4; RainDetector J3,J4</x:t>
  </x:si>
  <x:si>
    <x:t xml:space="preserve">Für interne Qwiic-Breakouts; Bauhöhe und Ausführung passend zur Mechanik wählen</x:t>
  </x:si>
  <x:si>
    <x:t xml:space="preserve">ENP-00004</x:t>
  </x:si>
  <x:si>
    <x:t xml:space="preserve">PinSocket 1x20, 2.54mm, cut to 19 Pins</x:t>
  </x:si>
  <x:si>
    <x:t xml:space="preserve">1x20, 2,54 mm, trennbar</x:t>
  </x:si>
  <x:si>
    <x:t xml:space="preserve">BL1.20 G</x:t>
  </x:si>
  <x:si>
    <x:t xml:space="preserve">FIS BL1 20 G</x:t>
  </x:si>
  <x:si>
    <x:t xml:space="preserve">https://www.reichelt.de/de/de/shop/produkt/buchsenleiste_2_54mm_1x20_trennbar_vergoldet-283787</x:t>
  </x:si>
  <x:si>
    <x:t xml:space="preserve">ESP32</x:t>
  </x:si>
  <x:si>
    <x:t xml:space="preserve">Für ESP32-DevKitC mit 38 Pins; alternativ eine geeignete 38-Pin-ESP32-Fassung verwenden</x:t>
  </x:si>
  <x:si>
    <x:t xml:space="preserve">ENP-00005</x:t>
  </x:si>
  <x:si>
    <x:t xml:space="preserve">Widerstand</x:t>
  </x:si>
  <x:si>
    <x:t xml:space="preserve">4.7 kOhm 1% SMD 1206</x:t>
  </x:si>
  <x:si>
    <x:t xml:space="preserve">4,7 kΩ, 1 %, 250 mW</x:t>
  </x:si>
  <x:si>
    <x:t xml:space="preserve">Resistor_SMD:R_1206_3216Metric_Pad1.30x1.75mm_HandSolder</x:t>
  </x:si>
  <x:si>
    <x:t xml:space="preserve">Vishay</x:t>
  </x:si>
  <x:si>
    <x:t xml:space="preserve">CRCW12064K70FKEA</x:t>
  </x:si>
  <x:si>
    <x:t xml:space="preserve">VIS CRCW12064K7</x:t>
  </x:si>
  <x:si>
    <x:t xml:space="preserve">https://www.reichelt.de/de/de/shop/produkt/smd-widerstand_1206_4_7_kohm_250_mw_1_-238119</x:t>
  </x:si>
  <x:si>
    <x:t xml:space="preserve">EnvNode; EnvNodeMini Rev 0.2; AnalogInput Rev 0.1; AnalogHydroPressure</x:t>
  </x:si>
  <x:si>
    <x:t xml:space="preserve">EnvNode R1-R4; EnvNodeMini Rev 0.2 R1-R4; AnalogInput Rev 0.1 R2; AnalogHydroPressure R2</x:t>
  </x:si>
  <x:si>
    <x:t xml:space="preserve">I2C-Pull-ups für die beiden I2C-Busse</x:t>
  </x:si>
  <x:si>
    <x:t xml:space="preserve">ENP-00006</x:t>
  </x:si>
  <x:si>
    <x:t xml:space="preserve">Kondensator</x:t>
  </x:si>
  <x:si>
    <x:t xml:space="preserve">100 nF Keramik SMD</x:t>
  </x:si>
  <x:si>
    <x:t xml:space="preserve">100 nF, 10 %, X7R, 100 V</x:t>
  </x:si>
  <x:si>
    <x:t xml:space="preserve">Capacitor_SMD:C_1206_3216Metric_Pad1.33x1.80mm_HandSolder</x:t>
  </x:si>
  <x:si>
    <x:t xml:space="preserve">Kyocera</x:t>
  </x:si>
  <x:si>
    <x:t xml:space="preserve">C1206F104K1RACTU</x:t>
  </x:si>
  <x:si>
    <x:t xml:space="preserve">KEM X7R1206A100N</x:t>
  </x:si>
  <x:si>
    <x:t xml:space="preserve">https://www.reichelt.de/de/de/shop/produkt/vielschicht_kerko_1206_100_nf_10_x7r_100_v_125_c-207151</x:t>
  </x:si>
  <x:si>
    <x:t xml:space="preserve">EnvNode; EnvNodeMini Rev 0.2; AnalogHydroPressure; RainDetector; SolarRadiation; Empty FullSize/HalfSize SMD/THT; DuoRelay Rev 0.2</x:t>
  </x:si>
  <x:si>
    <x:t xml:space="preserve">EnvNode C3,C4; EnvNodeMini Rev 0.2 C1,C4,C5; AnalogHydroPressure C1,C3,C8; RainDetector C1; SolarRadiation C1; Empty-Boards C1; DuoRelay Rev 0.2 C1</x:t>
  </x:si>
  <x:si>
    <x:t xml:space="preserve">Spannungsfestigkeit, Dielektrikum und Bauform vor Bestellung gegen Schaltplan und Footprint prüfen; C1 ist in allen vier aktuellen Empty-Schemata derzeit DNP; C1 ist im aktuellen DuoRelay-Schema derzeit DNP</x:t>
  </x:si>
  <x:si>
    <x:t xml:space="preserve">ENP-00007</x:t>
  </x:si>
  <x:si>
    <x:t xml:space="preserve">10 uF Keramik SMD</x:t>
  </x:si>
  <x:si>
    <x:t xml:space="preserve">10 µF, 25 V, X7R</x:t>
  </x:si>
  <x:si>
    <x:t xml:space="preserve">Kyocera AVX</x:t>
  </x:si>
  <x:si>
    <x:t xml:space="preserve">12063C106KAT2A</x:t>
  </x:si>
  <x:si>
    <x:t xml:space="preserve">https://www.reichelt.de/de/de/shop/produkt/mlcc_1206_10_f_25_v_-10_x7r-409262</x:t>
  </x:si>
  <x:si>
    <x:t xml:space="preserve">EnvNode; EnvNodeMini Rev 0.2</x:t>
  </x:si>
  <x:si>
    <x:t xml:space="preserve">EnvNode C1; EnvNodeMini Rev 0.2 C2</x:t>
  </x:si>
  <x:si>
    <x:t xml:space="preserve">Spannungsfestigkeit, Dielektrikum und Bauform vor Bestellung gegen Schaltplan und Footprint prüfen</x:t>
  </x:si>
  <x:si>
    <x:t xml:space="preserve">ENP-00008</x:t>
  </x:si>
  <x:si>
    <x:t xml:space="preserve">47 uF 10V Tantal</x:t>
  </x:si>
  <x:si>
    <x:t xml:space="preserve">47 µF, 10 V</x:t>
  </x:si>
  <x:si>
    <x:t xml:space="preserve">Capacitor_Tantalum_SMD:CP_EIA-3528-21_Kemet-B</x:t>
  </x:si>
  <x:si>
    <x:t xml:space="preserve">TAJB476K010RNJ</x:t>
  </x:si>
  <x:si>
    <x:t xml:space="preserve">TAJ 3528 47/10</x:t>
  </x:si>
  <x:si>
    <x:t xml:space="preserve">https://www.reichelt.de/de/de/shop/produkt/smd-tantal_kondensator_47_f_10_v-167014</x:t>
  </x:si>
  <x:si>
    <x:t xml:space="preserve">EnvNode C2; EnvNodeMini Rev 0.2 C3</x:t>
  </x:si>
  <x:si>
    <x:t xml:space="preserve">Polarisiert; Bauform B</x:t>
  </x:si>
  <x:si>
    <x:t xml:space="preserve">ENP-00009</x:t>
  </x:si>
  <x:si>
    <x:t xml:space="preserve">Spannungsregler</x:t>
  </x:si>
  <x:si>
    <x:t xml:space="preserve">LDO 3.3V SOT-223</x:t>
  </x:si>
  <x:si>
    <x:t xml:space="preserve">3,3 V, 1 A</x:t>
  </x:si>
  <x:si>
    <x:t xml:space="preserve">Package_TO_SOT_SMD:SOT-223-3_TabPin2</x:t>
  </x:si>
  <x:si>
    <x:t xml:space="preserve">Texas Instruments</x:t>
  </x:si>
  <x:si>
    <x:t xml:space="preserve">LM3940IMP-3.3/NOPB</x:t>
  </x:si>
  <x:si>
    <x:t xml:space="preserve">LM 3940 IMP-3</x:t>
  </x:si>
  <x:si>
    <x:t xml:space="preserve">https://www.reichelt.de/de/de/shop/produkt/ldo-spannungsregler_fix_3_3_vout_1_a_sot-223-109407?search=LM3940%2520&amp;</x:t>
  </x:si>
  <x:si>
    <x:t xml:space="preserve">EnvNode U1; EnvNodeMini Rev 0.2 U3</x:t>
  </x:si>
  <x:si>
    <x:t xml:space="preserve">Footprint und thermische Auslegung vor Bestückung prüfen</x:t>
  </x:si>
  <x:si>
    <x:t xml:space="preserve">ENP-00010</x:t>
  </x:si>
  <x:si>
    <x:t xml:space="preserve">Entwicklungsmodul</x:t>
  </x:si>
  <x:si>
    <x:t xml:space="preserve">ESP32-DevKitC</x:t>
  </x:si>
  <x:si>
    <x:t xml:space="preserve">38 Pin</x:t>
  </x:si>
  <x:si>
    <x:t xml:space="preserve">PCM_Espressif:ESP32-DevKitC</x:t>
  </x:si>
  <x:si>
    <x:t xml:space="preserve">Espressif Systems</x:t>
  </x:si>
  <x:si>
    <x:t xml:space="preserve">EnvNode U2; EnvNodeMini Rev 0.2 U1</x:t>
  </x:si>
  <x:si>
    <x:t xml:space="preserve">Exakte Modulvariante und Pinout vor Bestückung prüfen Hersteller/MPN aus verschobenen Altdaten korrigiert; genaue DevKitC-Variante fehlt.</x:t>
  </x:si>
  <x:si>
    <x:t xml:space="preserve">ENP-00011</x:t>
  </x:si>
  <x:si>
    <x:t xml:space="preserve">PCB</x:t>
  </x:si>
  <x:si>
    <x:t xml:space="preserve">EnvNode Mainboard Rev 0.1</x:t>
  </x:si>
  <x:si>
    <x:t xml:space="preserve">Revision 0.1</x:t>
  </x:si>
  <x:si>
    <x:t xml:space="preserve">JLCPCB</x:t>
  </x:si>
  <x:si>
    <x:t xml:space="preserve">https://jlcpcb.com/file/download?uuid=eef69d2d694441c8ab71168d8447cb4c&amp;businessType=example</x:t>
  </x:si>
  <x:si>
    <x:t xml:space="preserve">Unbestückte Leiterplatte; SMD-Lötjumper sind PCB-Strukturen und keine Kaufteile Historische PCB-Revision; aktueller KiCad-Stand ist Revision 0.2.</x:t>
  </x:si>
  <x:si>
    <x:t xml:space="preserve">ENP-00012</x:t>
  </x:si>
  <x:si>
    <x:t xml:space="preserve">JST - Stiftleiste, gerade, 1x2-polig - PH</x:t>
  </x:si>
  <x:si>
    <x:t xml:space="preserve">JST-PH, 2-polig, 2,00 mm</x:t>
  </x:si>
  <x:si>
    <x:t xml:space="preserve">Connector_JST:JST_PH_B2B-PH-K_1x02_P2.00mm_Vertical</x:t>
  </x:si>
  <x:si>
    <x:t xml:space="preserve">B2B-PH-K-S</x:t>
  </x:si>
  <x:si>
    <x:t xml:space="preserve">JST PH2P ST</x:t>
  </x:si>
  <x:si>
    <x:t xml:space="preserve">https://www.reichelt.de/de/de/shop/produkt/jst_-_stiftleiste_gerade_1x2-polig_-_ph-185049</x:t>
  </x:si>
  <x:si>
    <x:t xml:space="preserve">EnvNode J1; EnvNodeMini Rev 0.2 J1</x:t>
  </x:si>
  <x:si>
    <x:t xml:space="preserve">ENP-00013</x:t>
  </x:si>
  <x:si>
    <x:t xml:space="preserve">MOSFET</x:t>
  </x:si>
  <x:si>
    <x:t xml:space="preserve">MOSFET, N-Ch 30V 5,7A 0,018R, SOT-23</x:t>
  </x:si>
  <x:si>
    <x:t xml:space="preserve">N-Kanal, 30 V, 5,7 A</x:t>
  </x:si>
  <x:si>
    <x:t xml:space="preserve">Package_TO_SOT_SMD:SOT-23</x:t>
  </x:si>
  <x:si>
    <x:t xml:space="preserve">Alpha&amp;Omega Semiconductor</x:t>
  </x:si>
  <x:si>
    <x:t xml:space="preserve">AO3400A</x:t>
  </x:si>
  <x:si>
    <x:t xml:space="preserve">https://www.reichelt.de/de/de/shop/produkt/mosfet_n-ch_30v_5_7a_0_018r_sot-23-166490</x:t>
  </x:si>
  <x:si>
    <x:t xml:space="preserve">RainDetector</x:t>
  </x:si>
  <x:si>
    <x:t xml:space="preserve">Q1</x:t>
  </x:si>
  <x:si>
    <x:t xml:space="preserve">ENP-00014</x:t>
  </x:si>
  <x:si>
    <x:t xml:space="preserve">Sensormodul</x:t>
  </x:si>
  <x:si>
    <x:t xml:space="preserve">Arduino - Temperatur- &amp; Feuchtigkeitssensor, SHTC3</x:t>
  </x:si>
  <x:si>
    <x:t xml:space="preserve">SHTC3 Breakout</x:t>
  </x:si>
  <x:si>
    <x:t xml:space="preserve">Soldered</x:t>
  </x:si>
  <x:si>
    <x:t xml:space="preserve">DEBO SENS SHTC3</x:t>
  </x:si>
  <x:si>
    <x:t xml:space="preserve">https://www.reichelt.de/de/de/shop/produkt/arduino_-_temperatur-_feuchtigkeitssensor_shtc3-375947</x:t>
  </x:si>
  <x:si>
    <x:t xml:space="preserve">Sensor</x:t>
  </x:si>
  <x:si>
    <x:t xml:space="preserve">ENP-00015</x:t>
  </x:si>
  <x:si>
    <x:t xml:space="preserve">Entwicklerboards - ADC, 4 Kanal, 16-Bit, ADS1115</x:t>
  </x:si>
  <x:si>
    <x:t xml:space="preserve">ADS1115 Breakout, 4 Kanal, 16 Bit</x:t>
  </x:si>
  <x:si>
    <x:t xml:space="preserve">DEBO ADC 16BIT</x:t>
  </x:si>
  <x:si>
    <x:t xml:space="preserve">https://www.reichelt.de/de/de/shop/produkt/entwicklerboards_-_adc_4_kanal_16-bit_ads1115-372499?search=ADS1115&amp;#open-modal-image-big-slider</x:t>
  </x:si>
  <x:si>
    <x:t xml:space="preserve">A/D Wandler</x:t>
  </x:si>
  <x:si>
    <x:t xml:space="preserve">ENP-00016</x:t>
  </x:si>
  <x:si>
    <x:t xml:space="preserve">SMD-Widerstand, 1206, 100 kOhm, 250 mW, 0,1%</x:t>
  </x:si>
  <x:si>
    <x:t xml:space="preserve">100 kΩ, 0,1 %, 250 mW</x:t>
  </x:si>
  <x:si>
    <x:t xml:space="preserve">Panasonic</x:t>
  </x:si>
  <x:si>
    <x:t xml:space="preserve">ERA8AEB104V</x:t>
  </x:si>
  <x:si>
    <x:t xml:space="preserve">PAN ERA8AEB104V</x:t>
  </x:si>
  <x:si>
    <x:t xml:space="preserve">https://www.reichelt.de/de/de/shop/produkt/smd-widerstand_1206_100_kohm_250_mw_0_1_-238081</x:t>
  </x:si>
  <x:si>
    <x:t xml:space="preserve">RainDetector; DuoRelay; AnalogHydroPressure</x:t>
  </x:si>
  <x:si>
    <x:t xml:space="preserve">RainDetector R2,R4; DuoRelay R3,R4; AnalogHydroPressure R7</x:t>
  </x:si>
  <x:si>
    <x:t xml:space="preserve">Lieferanten-Bestellnummer in der Altdatei enthält vermischte Angaben.</x:t>
  </x:si>
  <x:si>
    <x:t xml:space="preserve">ENP-00017</x:t>
  </x:si>
  <x:si>
    <x:t xml:space="preserve">SMD-Widerstand, 1206, 100 Ohm, 250 mW, 5%</x:t>
  </x:si>
  <x:si>
    <x:t xml:space="preserve">100 Ω, 5 %, 250 mW</x:t>
  </x:si>
  <x:si>
    <x:t xml:space="preserve">YAGEO</x:t>
  </x:si>
  <x:si>
    <x:t xml:space="preserve">RC1206JR-07100RL</x:t>
  </x:si>
  <x:si>
    <x:t xml:space="preserve">SMD 1/4W 100</x:t>
  </x:si>
  <x:si>
    <x:t xml:space="preserve">https://www.reichelt.de/de/de/shop/produkt/smd-widerstand_1206_100_ohm_250_mw_5_-18242</x:t>
  </x:si>
  <x:si>
    <x:t xml:space="preserve">RainDetector; SolarRadiation</x:t>
  </x:si>
  <x:si>
    <x:t xml:space="preserve">RainDetector R1; SolarRadiation R2</x:t>
  </x:si>
  <x:si>
    <x:t xml:space="preserve">ENP-00018</x:t>
  </x:si>
  <x:si>
    <x:t xml:space="preserve">SMD-Widerstand, 1206, 10 kOhm, 250 mW, 0,1%</x:t>
  </x:si>
  <x:si>
    <x:t xml:space="preserve">10 kΩ, 0,1 %, 250 mW</x:t>
  </x:si>
  <x:si>
    <x:t xml:space="preserve">ERA8AEB103V</x:t>
  </x:si>
  <x:si>
    <x:t xml:space="preserve">PAN ERA8AEB103V</x:t>
  </x:si>
  <x:si>
    <x:t xml:space="preserve">https://www.reichelt.de/de/de/shop/produkt/smd-widerstand_1206_10_kohm_250_mw_0_1_-238080</x:t>
  </x:si>
  <x:si>
    <x:t xml:space="preserve">R3</x:t>
  </x:si>
  <x:si>
    <x:t xml:space="preserve">Offensichtlich zusammengesetzte MPN aus Altdaten normalisiert.</x:t>
  </x:si>
  <x:si>
    <x:t xml:space="preserve">ENP-00019</x:t>
  </x:si>
  <x:si>
    <x:t xml:space="preserve">Stiftleiste, 8-polig, Raster 2,54mm</x:t>
  </x:si>
  <x:si>
    <x:t xml:space="preserve">1x8, 2,54 mm</x:t>
  </x:si>
  <x:si>
    <x:t xml:space="preserve">Connector_PinHeader_2.54mm:PinHeader_1x08_P2.54mm_Vertical</x:t>
  </x:si>
  <x:si>
    <x:t xml:space="preserve">BKL Electronic</x:t>
  </x:si>
  <x:si>
    <x:t xml:space="preserve">BKL 10120505</x:t>
  </x:si>
  <x:si>
    <x:t xml:space="preserve">https://www.reichelt.de/de/de/shop/produkt/stiftleiste_8-polig_raster_2_54mm-235656</x:t>
  </x:si>
  <x:si>
    <x:t xml:space="preserve">J1,J2</x:t>
  </x:si>
  <x:si>
    <x:t xml:space="preserve">ENP-00020</x:t>
  </x:si>
  <x:si>
    <x:t xml:space="preserve">IC</x:t>
  </x:si>
  <x:si>
    <x:t xml:space="preserve">Timer-IC, Typ 555, SO-8</x:t>
  </x:si>
  <x:si>
    <x:t xml:space="preserve">CMOS 555</x:t>
  </x:si>
  <x:si>
    <x:t xml:space="preserve">Package_SO:SOIC-8_3.9x4.9mm_P1.27mm</x:t>
  </x:si>
  <x:si>
    <x:t xml:space="preserve">Renesas</x:t>
  </x:si>
  <x:si>
    <x:t xml:space="preserve">ICM7555IBAZ</x:t>
  </x:si>
  <x:si>
    <x:t xml:space="preserve">ICM 7555 IBAZ</x:t>
  </x:si>
  <x:si>
    <x:t xml:space="preserve">https://www.reichelt.de/de/de/shop/produkt/timer-ic_typ_555_so-8-188889</x:t>
  </x:si>
  <x:si>
    <x:t xml:space="preserve">U1</x:t>
  </x:si>
  <x:si>
    <x:t xml:space="preserve">ENP-00021</x:t>
  </x:si>
  <x:si>
    <x:t xml:space="preserve">PinSocket 1x8, 2,54mm SMD</x:t>
  </x:si>
  <x:si>
    <x:t xml:space="preserve">1x8, 2,54 mm, SMD</x:t>
  </x:si>
  <x:si>
    <x:t xml:space="preserve">BL 3 8 G</x:t>
  </x:si>
  <x:si>
    <x:t xml:space="preserve">FIS BL 3 8G</x:t>
  </x:si>
  <x:si>
    <x:t xml:space="preserve">https://www.reichelt.de/de/de/shop/produkt/buchsenleiste_1-reihig_1_x_8_-_2_54_mm-407106#open-modal-image-big-slider</x:t>
  </x:si>
  <x:si>
    <x:t xml:space="preserve">Detector</x:t>
  </x:si>
  <x:si>
    <x:t xml:space="preserve">ENP-00022</x:t>
  </x:si>
  <x:si>
    <x:t xml:space="preserve">SMD-Widerstand, 1206, 47 Ohm, 250 mW, 5%</x:t>
  </x:si>
  <x:si>
    <x:t xml:space="preserve">47 Ω</x:t>
  </x:si>
  <x:si>
    <x:t xml:space="preserve">RND components</x:t>
  </x:si>
  <x:si>
    <x:t xml:space="preserve">RND 1551206S4J0470T5E</x:t>
  </x:si>
  <x:si>
    <x:t xml:space="preserve">RND 1551206 AF</x:t>
  </x:si>
  <x:si>
    <x:t xml:space="preserve">https://www.reichelt.de/de/de/shop/produkt/smd-widerstand_1206_47_ohm_250_mw_5_-250359</x:t>
  </x:si>
  <x:si>
    <x:t xml:space="preserve">ENP-00023</x:t>
  </x:si>
  <x:si>
    <x:t xml:space="preserve">Relais</x:t>
  </x:si>
  <x:si>
    <x:t xml:space="preserve">Steck-Printrelais, 1 CO, 6 A, 5 V DC sensitiv</x:t>
  </x:si>
  <x:si>
    <x:t xml:space="preserve">5 V, 1 Wechsler, 6 A</x:t>
  </x:si>
  <x:si>
    <x:t xml:space="preserve">Relay_THT:Relay_SPDT_Finder_34.51_Vertical</x:t>
  </x:si>
  <x:si>
    <x:t xml:space="preserve">finder</x:t>
  </x:si>
  <x:si>
    <x:t xml:space="preserve">34.51.7.005.0010</x:t>
  </x:si>
  <x:si>
    <x:t xml:space="preserve">FIN 34.51.7 5V</x:t>
  </x:si>
  <x:si>
    <x:t xml:space="preserve"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x:t>
  </x:si>
  <x:si>
    <x:t xml:space="preserve">DuoRelay</x:t>
  </x:si>
  <x:si>
    <x:t xml:space="preserve">K1,K2</x:t>
  </x:si>
  <x:si>
    <x:t xml:space="preserve">ENP-00024</x:t>
  </x:si>
  <x:si>
    <x:t xml:space="preserve">I²C-EEPROM 2 Kbit mit vorprogrammierter EUI-64 und zwei Adresspins</x:t>
  </x:si>
  <x:si>
    <x:t xml:space="preserve">2 Kbit, I²C, EUI-64, A0/A1, 1,7–5,5 V</x:t>
  </x:si>
  <x:si>
    <x:t xml:space="preserve">Package_TO_SOT_SMD:SOT-23-6</x:t>
  </x:si>
  <x:si>
    <x:t xml:space="preserve">Microchip Technology</x:t>
  </x:si>
  <x:si>
    <x:t xml:space="preserve">24AA025E64T-I/OT</x:t>
  </x:si>
  <x:si>
    <x:t xml:space="preserve">EnvNode; EnvNodeMini Rev 0.2; Empty FullSize/HalfSize SMD/THT; DuoRelay; AnalogHydroPressure</x:t>
  </x:si>
  <x:si>
    <x:t xml:space="preserve">EnvNode U3; EnvNodeMini Rev 0.2 U2; Empty-Boards U1; DuoRelay U1; AnalogHydroPressure U1</x:t>
  </x:si>
  <x:si>
    <x:t xml:space="preserve">KiCad; Microchip datasheet DS20002124G</x:t>
  </x:si>
  <x:si>
    <x:t xml:space="preserve"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</x:t>
  </x:si>
  <x:si>
    <x:t xml:space="preserve">ENP-00025</x:t>
  </x:si>
  <x:si>
    <x:t xml:space="preserve">JST-PH Stiftleiste, 4-polig, vertikal</x:t>
  </x:si>
  <x:si>
    <x:t xml:space="preserve">4-polig, 2,00 mm</x:t>
  </x:si>
  <x:si>
    <x:t xml:space="preserve">Connector_JST:JST_PH_B4B-PH-K_1x04_P2.00mm_Vertical</x:t>
  </x:si>
  <x:si>
    <x:t xml:space="preserve">B4B-PH-K-S</x:t>
  </x:si>
  <x:si>
    <x:t xml:space="preserve">JST PH4P ST</x:t>
  </x:si>
  <x:si>
    <x:t xml:space="preserve"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x:t>
  </x:si>
  <x:si>
    <x:t xml:space="preserve">GPIO4, GPIO13-19, GPIO23, GPIO32-36, GPIO39</x:t>
  </x:si>
  <x:si>
    <x:t xml:space="preserve">KiCad</x:t>
  </x:si>
  <x:si>
    <x:t xml:space="preserve">Mögliche Überschneidung mit dem vorhandenen JST-PH-Set prüfen.</x:t>
  </x:si>
  <x:si>
    <x:t xml:space="preserve">ENP-00026</x:t>
  </x:si>
  <x:si>
    <x:t xml:space="preserve">JST-SH Stiftleiste, 4-polig, horizontal</x:t>
  </x:si>
  <x:si>
    <x:t xml:space="preserve">4-polig, 1,00 mm</x:t>
  </x:si>
  <x:si>
    <x:t xml:space="preserve">Connector_JST:JST_SH_SM04B-SRSS-TB_1x04-1MP_P1.00mm_Horizontal</x:t>
  </x:si>
  <x:si>
    <x:t xml:space="preserve">SM04B-SRSS-TB</x:t>
  </x:si>
  <x:si>
    <x:t xml:space="preserve">rs-online</x:t>
  </x:si>
  <x:si>
    <x:t xml:space="preserve">515-1513</x:t>
  </x:si>
  <x:si>
    <x:t xml:space="preserve">https://de.rs-online.com/web/p/leiterplatten-header/5151513?cm_mmc=DE-PLA-DS3A-_-google-_-CSS_DE_DE_PMAX_Catch+All-_--_-5151513&amp;matchtype=&amp;&amp;gclsrc=aw.ds&amp;gad_source=1&amp;gad_campaignid=20579356490&amp;gbraid=0AAAAADkeWNMTclazDyI9zcjcIGwAjXoW9&amp;gclid=Cj0KCQjwnbrUBhDOARIsAKKhPpdLcMySAoEWll9Yd6dc_BCjxUsLFQOO7peTYM0DUy9ctvB7N_5s3bUaAoLZEALw_wcB</x:t>
  </x:si>
  <x:si>
    <x:t xml:space="preserve">EnvNode; EnvNodeMini Rev 0.2; SolarRadiation</x:t>
  </x:si>
  <x:si>
    <x:t xml:space="preserve">EnvNode I2C0_1-3,I2C1_1-3; EnvNodeMini Rev 0.2 J4,J5; SolarRadiation I2C1</x:t>
  </x:si>
  <x:si>
    <x:t xml:space="preserve">MPN-Suffix und Verpackungsform festlegen; nicht mit Qwiic-Pigtail zusammenführen.</x:t>
  </x:si>
  <x:si>
    <x:t xml:space="preserve">ENP-00027</x:t>
  </x:si>
  <x:si>
    <x:t xml:space="preserve">16-Bit ADC mit I²C</x:t>
  </x:si>
  <x:si>
    <x:t xml:space="preserve">ADS1115IDGS</x:t>
  </x:si>
  <x:si>
    <x:t xml:space="preserve">Package_SO:TSSOP-10_3x3mm_P0.5mm</x:t>
  </x:si>
  <x:si>
    <x:t xml:space="preserve">AnalogInput; SolarRadiation; AnalogHydroPressure</x:t>
  </x:si>
  <x:si>
    <x:t xml:space="preserve">jeweils U1; AnalogHydroPressure U2</x:t>
  </x:si>
  <x:si>
    <x:t xml:space="preserve">Nicht mit dem vorhandenen ADS1115-Entwicklungsboard zusammenführen.</x:t>
  </x:si>
  <x:si>
    <x:t xml:space="preserve">ENP-00028</x:t>
  </x:si>
  <x:si>
    <x:t xml:space="preserve">Keramikkondensator 1 µF SMD</x:t>
  </x:si>
  <x:si>
    <x:t xml:space="preserve">1 µF</x:t>
  </x:si>
  <x:si>
    <x:t xml:space="preserve">12065C105JAT2A</x:t>
  </x:si>
  <x:si>
    <x:t xml:space="preserve">https://www.reichelt.de/de/de/shop/produkt/mlcc_1206_1_f_50_v_-5_x7r-409277</x:t>
  </x:si>
  <x:si>
    <x:t xml:space="preserve">AnalogInput; AnalogHydroPressure</x:t>
  </x:si>
  <x:si>
    <x:t xml:space="preserve">C1; AnalogHydroPressure C4,C7</x:t>
  </x:si>
  <x:si>
    <x:t xml:space="preserve">ENP-00029</x:t>
  </x:si>
  <x:si>
    <x:t xml:space="preserve">Diode</x:t>
  </x:si>
  <x:si>
    <x:t xml:space="preserve">Dual-Schottky-Diode BAT54S</x:t>
  </x:si>
  <x:si>
    <x:t xml:space="preserve">BAT54S</x:t>
  </x:si>
  <x:si>
    <x:t xml:space="preserve">Diotec</x:t>
  </x:si>
  <x:si>
    <x:t xml:space="preserve">BAT 54S DIO</x:t>
  </x:si>
  <x:si>
    <x:t xml:space="preserve">https://www.reichelt.de/de/de/shop/produkt/schottkydiode_30_v_0_2_a_sot-23-219176</x:t>
  </x:si>
  <x:si>
    <x:t xml:space="preserve">D1; AnalogHydroPressure D1</x:t>
  </x:si>
  <x:si>
    <x:t xml:space="preserve">Aktuelles AnalogHydroPressure verwendet SOT-23 und stimmt damit mit dem Artikel-Footprint überein; Gehäuse der bestellten Variante dennoch prüfen.</x:t>
  </x:si>
  <x:si>
    <x:t xml:space="preserve">ENP-00030</x:t>
  </x:si>
  <x:si>
    <x:t xml:space="preserve">Buchsenleiste 2x4, vertikal</x:t>
  </x:si>
  <x:si>
    <x:t xml:space="preserve">2x4, 2,54 mm</x:t>
  </x:si>
  <x:si>
    <x:t xml:space="preserve">PinSocket_2x04_P2.54mm_Vertical / EnvNode Bottom-Variante</x:t>
  </x:si>
  <x:si>
    <x:t xml:space="preserve">Legacy Rev 0.1: EnvNodeMini; AnalogInput; DuoRelay</x:t>
  </x:si>
  <x:si>
    <x:t xml:space="preserve">AnalogInput J1,J2; DuoRelay J1,J2; EnvNodeMini J1,J2,J4,J5</x:t>
  </x:si>
  <x:si>
    <x:t xml:space="preserve">Legacy</x:t>
  </x:si>
  <x:si>
    <x:t xml:space="preserve">Legacy-Artikel für die Modulsteckverbindung Rev 0.1; nicht für die aktuellen 2x7-Steckplätze verwenden.</x:t>
  </x:si>
  <x:si>
    <x:t xml:space="preserve">ENP-00031</x:t>
  </x:si>
  <x:si>
    <x:t xml:space="preserve">Buchsenleiste 1x2, vertikal</x:t>
  </x:si>
  <x:si>
    <x:t xml:space="preserve">1x2, 2,54 mm</x:t>
  </x:si>
  <x:si>
    <x:t xml:space="preserve">Connector_PinSocket_2.54mm:PinSocket_1x02_P2.54mm_Vertical</x:t>
  </x:si>
  <x:si>
    <x:t xml:space="preserve">J3; AnalogHydroPressure J3</x:t>
  </x:si>
  <x:si>
    <x:t xml:space="preserve">ENP-00032</x:t>
  </x:si>
  <x:si>
    <x:t xml:space="preserve">Widerstand, Metallschicht, 150 Ohm, 0207, 250 mW, 0,1%</x:t>
  </x:si>
  <x:si>
    <x:t xml:space="preserve">150 Ω, 0,1 %, ≤25 ppm/K, &gt;0,125 W</x:t>
  </x:si>
  <x:si>
    <x:t xml:space="preserve">Resistor_THT:R_Axial_DIN0207_L6.3mm_D2.5mm_P7.62mm_Horizontal</x:t>
  </x:si>
  <x:si>
    <x:t xml:space="preserve">Arcol</x:t>
  </x:si>
  <x:si>
    <x:t xml:space="preserve">MRA0207 150R B 15PPM TA</x:t>
  </x:si>
  <x:si>
    <x:t xml:space="preserve">ARC MRA0207 150R</x:t>
  </x:si>
  <x:si>
    <x:t xml:space="preserve">https://www.reichelt.de/de/de/shop/produkt/widerstand_metallschicht_150_ohm_0207_250_mw_0_1_-237515</x:t>
  </x:si>
  <x:si>
    <x:t xml:space="preserve">R1; AnalogHydroPressure R3</x:t>
  </x:si>
  <x:si>
    <x:t xml:space="preserve">ENP-00033</x:t>
  </x:si>
  <x:si>
    <x:t xml:space="preserve">Schnelle Schaltdiode 1N4148W</x:t>
  </x:si>
  <x:si>
    <x:t xml:space="preserve">1N4148W</x:t>
  </x:si>
  <x:si>
    <x:t xml:space="preserve">Diode_SMD:D_SOD-123</x:t>
  </x:si>
  <x:si>
    <x:t xml:space="preserve">1N 4148W DIO</x:t>
  </x:si>
  <x:si>
    <x:t xml:space="preserve">https://www.reichelt.de/de/de/shop/produkt/kleinsignal-schalt-diode_100_v_150_ma_sod-123-219382</x:t>
  </x:si>
  <x:si>
    <x:t xml:space="preserve">D1,D2</x:t>
  </x:si>
  <x:si>
    <x:t xml:space="preserve">ENP-00034</x:t>
  </x:si>
  <x:si>
    <x:t xml:space="preserve">Schraubklemme 1x3, horizontal</x:t>
  </x:si>
  <x:si>
    <x:t xml:space="preserve">3-polig, 5,08 mm</x:t>
  </x:si>
  <x:si>
    <x:t xml:space="preserve">TerminalBlock_Phoenix:TerminalBlock_Phoenix_MKDS-3-3-5.08_1x03_P5.08mm_Horizontal</x:t>
  </x:si>
  <x:si>
    <x:t xml:space="preserve">Phoenix Contact</x:t>
  </x:si>
  <x:si>
    <x:t xml:space="preserve">J3,J4</x:t>
  </x:si>
  <x:si>
    <x:t xml:space="preserve">Exakte Hersteller-MPN ergänzen.</x:t>
  </x:si>
  <x:si>
    <x:t xml:space="preserve">ENP-00035</x:t>
  </x:si>
  <x:si>
    <x:t xml:space="preserve">Transistor</x:t>
  </x:si>
  <x:si>
    <x:t xml:space="preserve">NPN-Transistor BC817</x:t>
  </x:si>
  <x:si>
    <x:t xml:space="preserve">BC817</x:t>
  </x:si>
  <x:si>
    <x:t xml:space="preserve">Package_TO_SOT_SMD:SOT-23_Handsoldering</x:t>
  </x:si>
  <x:si>
    <x:t xml:space="preserve">BC 817-25 DIO</x:t>
  </x:si>
  <x:si>
    <x:t xml:space="preserve">https://www.reichelt.de/de/de/shop/produkt/bipolartransistor_npn_45v_0_5a_0_25w_sot-23-219186</x:t>
  </x:si>
  <x:si>
    <x:t xml:space="preserve">Q1,Q2</x:t>
  </x:si>
  <x:si>
    <x:t xml:space="preserve">ENP-00036</x:t>
  </x:si>
  <x:si>
    <x:t xml:space="preserve">Widerstand 1 kΩ SMD</x:t>
  </x:si>
  <x:si>
    <x:t xml:space="preserve">1 kΩ</x:t>
  </x:si>
  <x:si>
    <x:t xml:space="preserve">CRCW12061K00FKEA</x:t>
  </x:si>
  <x:si>
    <x:t xml:space="preserve">VIS CRCW12061K0</x:t>
  </x:si>
  <x:si>
    <x:t xml:space="preserve"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x:t>
  </x:si>
  <x:si>
    <x:t xml:space="preserve">R1,R2</x:t>
  </x:si>
  <x:si>
    <x:t xml:space="preserve">ENP-00037</x:t>
  </x:si>
  <x:si>
    <x:t xml:space="preserve">Elektrolytkondensator 47 µF radial</x:t>
  </x:si>
  <x:si>
    <x:t xml:space="preserve">47 µF, 50 V</x:t>
  </x:si>
  <x:si>
    <x:t xml:space="preserve">Capacitor_SMD:CP_Elec_6.3x7.7</x:t>
  </x:si>
  <x:si>
    <x:t xml:space="preserve">Europe ChemiCon</x:t>
  </x:si>
  <x:si>
    <x:t xml:space="preserve">HHXC500ARA470MHA0G</x:t>
  </x:si>
  <x:si>
    <x:t xml:space="preserve">ECC HXC500ARA470</x:t>
  </x:si>
  <x:si>
    <x:t xml:space="preserve">https://www.reichelt.de/de/de/shop/produkt/elko_smd_47_f_50v_105_c_4000h_aec-q200-289252</x:t>
  </x:si>
  <x:si>
    <x:t xml:space="preserve">EnvNodeMini Rev 0.1</x:t>
  </x:si>
  <x:si>
    <x:t xml:space="preserve">EnvNodeMini Rev 0.1 C1</x:t>
  </x:si>
  <x:si>
    <x:t xml:space="preserve">ENP-00038</x:t>
  </x:si>
  <x:si>
    <x:t xml:space="preserve">Schottky-Diode STPS3L60S</x:t>
  </x:si>
  <x:si>
    <x:t xml:space="preserve">B360B-13-F</x:t>
  </x:si>
  <x:si>
    <x:t xml:space="preserve">Diode_SMD:D_SMB_Handsoldering</x:t>
  </x:si>
  <x:si>
    <x:t xml:space="preserve">Diodes</x:t>
  </x:si>
  <x:si>
    <x:t xml:space="preserve">STPS3L60S</x:t>
  </x:si>
  <x:si>
    <x:t xml:space="preserve">B360B-13-F DII</x:t>
  </x:si>
  <x:si>
    <x:t xml:space="preserve">https://www.reichelt.de/de/de/shop/produkt/gleichrichterdiode_60_v_3_a_smb-216725</x:t>
  </x:si>
  <x:si>
    <x:t xml:space="preserve">EnvNodeMini Rev 0.1 D1</x:t>
  </x:si>
  <x:si>
    <x:t xml:space="preserve">ENP-00039</x:t>
  </x:si>
  <x:si>
    <x:t xml:space="preserve">Schutzdiode</x:t>
  </x:si>
  <x:si>
    <x:t xml:space="preserve">TVS-Diode SMBJ24A</x:t>
  </x:si>
  <x:si>
    <x:t xml:space="preserve">24 V</x:t>
  </x:si>
  <x:si>
    <x:t xml:space="preserve">Littelfuse</x:t>
  </x:si>
  <x:si>
    <x:t xml:space="preserve">SMBJ24A</x:t>
  </x:si>
  <x:si>
    <x:t xml:space="preserve">P6SMB 24A SMD</x:t>
  </x:si>
  <x:si>
    <x:t xml:space="preserve">https://www.reichelt.de/de/de/shop/produkt/tvs-diode_unidirectional_24_v_600_w_do-214aa_smb-204320</x:t>
  </x:si>
  <x:si>
    <x:t xml:space="preserve">EnvNodeMini Rev 0.1 D2</x:t>
  </x:si>
  <x:si>
    <x:t xml:space="preserve">ENP-00040</x:t>
  </x:si>
  <x:si>
    <x:t xml:space="preserve">Sicherung</x:t>
  </x:si>
  <x:si>
    <x:t xml:space="preserve">Sicherung 2 A</x:t>
  </x:si>
  <x:si>
    <x:t xml:space="preserve">2 A</x:t>
  </x:si>
  <x:si>
    <x:t xml:space="preserve">Fuse:Fuse_Littelfuse-NANO2-451_453</x:t>
  </x:si>
  <x:si>
    <x:t xml:space="preserve">EnvNodeMini Rev 0.1 F1</x:t>
  </x:si>
  <x:si>
    <x:t xml:space="preserve">Exakte Serie/MPN und Auslösecharakteristik ergänzen.</x:t>
  </x:si>
  <x:si>
    <x:t xml:space="preserve">ENP-00041</x:t>
  </x:si>
  <x:si>
    <x:t xml:space="preserve">Schraubklemme 1x2, horizontal</x:t>
  </x:si>
  <x:si>
    <x:t xml:space="preserve">2-polig, 5,00 mm</x:t>
  </x:si>
  <x:si>
    <x:t xml:space="preserve">TerminalBlock_RND:TerminalBlock_RND_205-00001_1x02_P5.00mm_Horizontal</x:t>
  </x:si>
  <x:si>
    <x:t xml:space="preserve">RND</x:t>
  </x:si>
  <x:si>
    <x:t xml:space="preserve">205-00001</x:t>
  </x:si>
  <x:si>
    <x:t xml:space="preserve">EnvNodeMini Rev 0.1 J3</x:t>
  </x:si>
  <x:si>
    <x:t xml:space="preserve">ENP-00042</x:t>
  </x:si>
  <x:si>
    <x:t xml:space="preserve">DC/DC-Wandler</x:t>
  </x:si>
  <x:si>
    <x:t xml:space="preserve">Schaltreglermodul 5 V</x:t>
  </x:si>
  <x:si>
    <x:t xml:space="preserve">TSR 1-2450</x:t>
  </x:si>
  <x:si>
    <x:t xml:space="preserve">Converter_DCDC:Converter_DCDC_TRACO_TSR-1_THT</x:t>
  </x:si>
  <x:si>
    <x:t xml:space="preserve">Traco Power</x:t>
  </x:si>
  <x:si>
    <x:t xml:space="preserve">https://www.reichelt.de/de/de/shop/produkt/dc_dc-wandler_tsr-1_1_w_5_v_1000_ma_sil_to-220-116850</x:t>
  </x:si>
  <x:si>
    <x:t xml:space="preserve">EnvNodeMini Rev 0.1 U3</x:t>
  </x:si>
  <x:si>
    <x:t xml:space="preserve">ENP-00043</x:t>
  </x:si>
  <x:si>
    <x:t xml:space="preserve">Schaltreglermodul 3,3 V</x:t>
  </x:si>
  <x:si>
    <x:t xml:space="preserve">TSR 1-2433</x:t>
  </x:si>
  <x:si>
    <x:t xml:space="preserve">https://www.reichelt.de/de/de/shop/produkt/dc_dc-wandler_tsr-1_1_w_3_3_v_1000_ma_sil_to-220-116849?search=TSR-1-2433&amp;</x:t>
  </x:si>
  <x:si>
    <x:t xml:space="preserve">EnvNodeMini Rev 0.1 U4</x:t>
  </x:si>
  <x:si>
    <x:t xml:space="preserve">KiCad-Library-ID basiert auf TSR_1-2450; Wert und tatsächliches Teil prüfen.</x:t>
  </x:si>
  <x:si>
    <x:t xml:space="preserve">ENP-00044</x:t>
  </x:si>
  <x:si>
    <x:t xml:space="preserve">Keramikkondensator 10 nF SMD</x:t>
  </x:si>
  <x:si>
    <x:t xml:space="preserve">10 nF</x:t>
  </x:si>
  <x:si>
    <x:t xml:space="preserve">12061C103JAT2A</x:t>
  </x:si>
  <x:si>
    <x:t xml:space="preserve">https://www.reichelt.de/de/de/shop/produkt/mlcc_1206_10_nf_100_v_-5_x7r-409237</x:t>
  </x:si>
  <x:si>
    <x:t xml:space="preserve">SolarRadiation</x:t>
  </x:si>
  <x:si>
    <x:t xml:space="preserve">C2</x:t>
  </x:si>
  <x:si>
    <x:t xml:space="preserve">ENP-00045</x:t>
  </x:si>
  <x:si>
    <x:t xml:space="preserve">Widerstand, Metallschicht, 2 Ohm, 0207, 600 mW, 0,1%</x:t>
  </x:si>
  <x:si>
    <x:t xml:space="preserve">2 Ω</x:t>
  </x:si>
  <x:si>
    <x:t xml:space="preserve">Yageo</x:t>
  </x:si>
  <x:si>
    <x:t xml:space="preserve">MF0207FTE52-2R</x:t>
  </x:si>
  <x:si>
    <x:t xml:space="preserve">METALL 2,00</x:t>
  </x:si>
  <x:si>
    <x:t xml:space="preserve">https://www.reichelt.de/de/de/shop/produkt/widerstand_metallschicht_2_0_ohm_0207_0_6_w_1_-11577</x:t>
  </x:si>
  <x:si>
    <x:t xml:space="preserve">R1</x:t>
  </x:si>
  <x:si>
    <x:t xml:space="preserve">ENP-00046</x:t>
  </x:si>
  <x:si>
    <x:t xml:space="preserve">Solarzelle</x:t>
  </x:si>
  <x:si>
    <x:t xml:space="preserve">Solarzelle KXOB25-14X1F-TB</x:t>
  </x:si>
  <x:si>
    <x:t xml:space="preserve">KXOB25-14X1F-TB</x:t>
  </x:si>
  <x:si>
    <x:t xml:space="preserve">EnvNode-Footprints:KXOB25-14X1F</x:t>
  </x:si>
  <x:si>
    <x:t xml:space="preserve">SC1</x:t>
  </x:si>
  <x:si>
    <x:t xml:space="preserve">Prüfen</x:t>
  </x:si>
  <x:si>
    <x:t xml:space="preserve">ENP-00047</x:t>
  </x:si>
  <x:si>
    <x:t xml:space="preserve">Sensor-IC</x:t>
  </x:si>
  <x:si>
    <x:t xml:space="preserve">Temperatursensor TMP100</x:t>
  </x:si>
  <x:si>
    <x:t xml:space="preserve">TMP100</x:t>
  </x:si>
  <x:si>
    <x:t xml:space="preserve">U2</x:t>
  </x:si>
  <x:si>
    <x:t xml:space="preserve">Vollständige bestellbare MPN einschließlich Genauigkeits-/Gehäusevariante ergänzen.</x:t>
  </x:si>
  <x:si>
    <x:t xml:space="preserve">ENP-00048</x:t>
  </x:si>
  <x:si>
    <x:t xml:space="preserve">EnvNode Mainboard PCB</x:t>
  </x:si>
  <x:si>
    <x:t xml:space="preserve">Revision 0.2</x:t>
  </x:si>
  <x:si>
    <x:t xml:space="preserve">PCB: EnvNode.kicad_pcb</x:t>
  </x:si>
  <x:si>
    <x:t xml:space="preserve">Aktueller KiCad-Stand; Fertiger und konkrete Fertigungsvariante festlegen.</x:t>
  </x:si>
  <x:si>
    <x:t xml:space="preserve">ENP-00049</x:t>
  </x:si>
  <x:si>
    <x:t xml:space="preserve">EnvNode Mini PCB</x:t>
  </x:si>
  <x:si>
    <x:t xml:space="preserve">PCB: EnvNodeMini.kicad_pcb</x:t>
  </x:si>
  <x:si>
    <x:t xml:space="preserve">Legacy-Leiterplatte Revision 0.1; für Revision 0.2 existiert ein eigener Artikel.</x:t>
  </x:si>
  <x:si>
    <x:t xml:space="preserve">ENP-00050</x:t>
  </x:si>
  <x:si>
    <x:t xml:space="preserve">AnalogInput HalfSize PCB</x:t>
  </x:si>
  <x:si>
    <x:t xml:space="preserve">PCB: AnalogInput.kicad_pcb</x:t>
  </x:si>
  <x:si>
    <x:t xml:space="preserve">AnalogInput</x:t>
  </x:si>
  <x:si>
    <x:t xml:space="preserve">Fertiger und konkrete Fertigungsvariante festlegen.</x:t>
  </x:si>
  <x:si>
    <x:t xml:space="preserve">ENP-00051</x:t>
  </x:si>
  <x:si>
    <x:t xml:space="preserve">DuoRelay FullSize PCB Rev 0.1</x:t>
  </x:si>
  <x:si>
    <x:t xml:space="preserve">PCB: DuoRelay.kicad_pcb</x:t>
  </x:si>
  <x:si>
    <x:t xml:space="preserve">DuoRelay Rev 0.1</x:t>
  </x:si>
  <x:si>
    <x:t xml:space="preserve">Legacy-Leiterplatte Revision 0.1; der aktuelle KiCad-Stand ist Revision 0.2 und besitzt einen eigenen Artikel.</x:t>
  </x:si>
  <x:si>
    <x:t xml:space="preserve">ENP-00052</x:t>
  </x:si>
  <x:si>
    <x:t xml:space="preserve">SolarRadiation PCB</x:t>
  </x:si>
  <x:si>
    <x:t xml:space="preserve">PCB: SolarRadiation.kicad_pcb</x:t>
  </x:si>
  <x:si>
    <x:t xml:space="preserve">ENP-00053</x:t>
  </x:si>
  <x:si>
    <x:t xml:space="preserve">RainDetector PCB</x:t>
  </x:si>
  <x:si>
    <x:t xml:space="preserve">Revision 1.0</x:t>
  </x:si>
  <x:si>
    <x:t xml:space="preserve">PCB: Raindetector.kicad_pcb</x:t>
  </x:si>
  <x:si>
    <x:t xml:space="preserve">ENP-00054</x:t>
  </x:si>
  <x:si>
    <x:t xml:space="preserve">Buchsenleiste 2x7, 2,54 mm, vertikal</x:t>
  </x:si>
  <x:si>
    <x:t xml:space="preserve">2x7, 2,54 mm, THT, vertikal, vergoldet, Bauhöhe 8,4 mm</x:t>
  </x:si>
  <x:si>
    <x:t xml:space="preserve">Connector_PinSocket_2.54mm:PinSocket_2x07_P2.54mm_Vertical</x:t>
  </x:si>
  <x:si>
    <x:t xml:space="preserve">Würth Elektronik</x:t>
  </x:si>
  <x:si>
    <x:t xml:space="preserve">61301421821</x:t>
  </x:si>
  <x:si>
    <x:t xml:space="preserve">DigiKey</x:t>
  </x:si>
  <x:si>
    <x:t xml:space="preserve">732-61301421821-ND</x:t>
  </x:si>
  <x:si>
    <x:t xml:space="preserve">https://www.digikey.de/de/products/detail/w%C3%BCrth-elektronik/61301421821/16608590</x:t>
  </x:si>
  <x:si>
    <x:t xml:space="preserve">EnvNodeMini Rev 0.2</x:t>
  </x:si>
  <x:si>
    <x:t xml:space="preserve">J2,J3</x:t>
  </x:si>
  <x:si>
    <x:t xml:space="preserve">KiCad; Würth Produktkatalog; DigiKey, abgerufen 2026-09-01</x:t>
  </x:si>
  <x:si>
    <x:t xml:space="preserve">Würth WR-PHD Dual Socket Header, 14 Kontakte, 2,54 mm, THT, vergoldet, 3 A/250 V AC. Der generische KiCad-Footprint bildet Raster und THT-Anordnung ab; Gehäusekontur/Courtyard sind nicht herstellerspezifisch.</x:t>
  </x:si>
  <x:si>
    <x:t xml:space="preserve">BUCHSENLEISTE 2X7 2,54 MM VERTIKAL|CONNECTOR_PINSOCKET_2.54MM:PINSOCKET_2X07_P2.54MM_VERTICAL</x:t>
  </x:si>
  <x:si>
    <x:t xml:space="preserve">ENP-00056</x:t>
  </x:si>
  <x:si>
    <x:t xml:space="preserve">Elektrolytkondensator 10 µF SMD</x:t>
  </x:si>
  <x:si>
    <x:t xml:space="preserve">10 µF, ±20 %, 25 V, 85 °C, 2000 h</x:t>
  </x:si>
  <x:si>
    <x:t xml:space="preserve">Capacitor_SMD:CP_Elec_5x5.4</x:t>
  </x:si>
  <x:si>
    <x:t xml:space="preserve">EEE1EA100SR</x:t>
  </x:si>
  <x:si>
    <x:t xml:space="preserve">S-V 10U 25</x:t>
  </x:si>
  <x:si>
    <x:t xml:space="preserve">https://www.reichelt.de/de/de/shop/produkt/smd-elko_10_f_-20_25_v_85_5_x_5_4_mm-228459</x:t>
  </x:si>
  <x:si>
    <x:t xml:space="preserve">C6</x:t>
  </x:si>
  <x:si>
    <x:t xml:space="preserve">KiCad; Panasonic; Reichelt, abgerufen 2026-09-01</x:t>
  </x:si>
  <x:si>
    <x:t xml:space="preserve">Panasonic SMD-Aluminium-Elektrolytkondensator, 10 µF ±20 %, 25 V, 85 °C, 2000 h. Abmessungen Ø 5,0 × 5,4 mm passen exakt zum zugewiesenen KiCad-Footprint. C6 liegt zwischen +3V3_SYS und GND; 25 V bieten deutliche Spannungsreserve. Polarität beachten.</x:t>
  </x:si>
  <x:si>
    <x:t xml:space="preserve">ENP-00057</x:t>
  </x:si>
  <x:si>
    <x:t xml:space="preserve">EnvNode Mini PCB Rev 0.2</x:t>
  </x:si>
  <x:si>
    <x:t xml:space="preserve">PCB: MainBoards/EnvNode Mini/EnvNode Mini.kicad_pcb</x:t>
  </x:si>
  <x:si>
    <x:t xml:space="preserve">ENVNODE MINI PCB REV 0.2|PCB: MAINBOARDS/ENVNODE MINI/ENVNODE MINI.KICAD_PCB</x:t>
  </x:si>
  <x:si>
    <x:t xml:space="preserve">ENP-00058</x:t>
  </x:si>
  <x:si>
    <x:t xml:space="preserve">Stiftleiste 2x7, 2,54 mm, SMD</x:t>
  </x:si>
  <x:si>
    <x:t xml:space="preserve">2x7, 2,54 mm, SMD, vertikal, vergoldet, 6,0 mm Stecklänge</x:t>
  </x:si>
  <x:si>
    <x:t xml:space="preserve">EnvNode-Footprints:J_Wurth_WR-PHD_61031421121</x:t>
  </x:si>
  <x:si>
    <x:t xml:space="preserve">61031421121</x:t>
  </x:si>
  <x:si>
    <x:t xml:space="preserve">732-61031421121CT-ND</x:t>
  </x:si>
  <x:si>
    <x:t xml:space="preserve">https://www.digikey.de/de/products/detail/w%C3%BCrth-elektronik/61031421121/4846903</x:t>
  </x:si>
  <x:si>
    <x:t xml:space="preserve">Empty FullSize/HalfSize SMD</x:t>
  </x:si>
  <x:si>
    <x:t xml:space="preserve">J1</x:t>
  </x:si>
  <x:si>
    <x:t xml:space="preserve">KiCad; Würth Datenblatt; DigiKey, abgerufen 2026-09-01</x:t>
  </x:si>
  <x:si>
    <x:t xml:space="preserve">Würth WR-PHD SMD-Stiftleiste, 14 Kontakte, 2,54 mm, vergoldet, 3 A/250 V. Exakter Artikel für den Projekt-Footprint J_Wurth_WR-PHD_61031421121. Einzelpreis Gurtabschnitt, Stand 2026-09-01; Preis und Verfügbarkeit vor Bestellung prüfen.</x:t>
  </x:si>
  <x:si>
    <x:t xml:space="preserve">ENP-00059</x:t>
  </x:si>
  <x:si>
    <x:t xml:space="preserve">Stiftleiste 2x7, 2,54 mm, vertikal, Bottom-Mount</x:t>
  </x:si>
  <x:si>
    <x:t xml:space="preserve">2x7, 2,54 mm, THT, vertikal, vergoldet, 6,1 mm Stecklänge, 3,0 mm Lötstift</x:t>
  </x:si>
  <x:si>
    <x:t xml:space="preserve">EnvNode-Footprints:PinHeader_2x07_P2.54mm_Vertical_Bottom</x:t>
  </x:si>
  <x:si>
    <x:t xml:space="preserve">ECON Connect</x:t>
  </x:si>
  <x:si>
    <x:t xml:space="preserve">SL14G2</x:t>
  </x:si>
  <x:si>
    <x:t xml:space="preserve">Reichelt</x:t>
  </x:si>
  <x:si>
    <x:t xml:space="preserve">ECON SL14G2</x:t>
  </x:si>
  <x:si>
    <x:t xml:space="preserve">https://www.reichelt.de/de/de/shop/produkt/stiftleiste_2_x_7_polig_gerade_rastermass_2_54_mm-404299</x:t>
  </x:si>
  <x:si>
    <x:t xml:space="preserve">Empty FullSize/HalfSize THT; DuoRelay Rev 0.2; AnalogHydroPressure</x:t>
  </x:si>
  <x:si>
    <x:t xml:space="preserve">J1; DuoRelay Rev 0.2 J1; AnalogHydroPressure J1</x:t>
  </x:si>
  <x:si>
    <x:t xml:space="preserve">KiCad; ECON Connect Datenblatt; Reichelt, abgerufen 2026-09-01</x:t>
  </x:si>
  <x:si>
    <x:t xml:space="preserve"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t>
  </x:si>
  <x:si>
    <x:t xml:space="preserve">STIFTLEISTE 2X7 2,54 MM THT BOTTOM|ENVNODE-FOOTPRINTS:PINHEADER_2X07_P2.54MM_VERTICAL_BOTTOM</x:t>
  </x:si>
  <x:si>
    <x:t xml:space="preserve">ENP-00060</x:t>
  </x:si>
  <x:si>
    <x:t xml:space="preserve">Empty FullSize SMD PCB</x:t>
  </x:si>
  <x:si>
    <x:t xml:space="preserve">Revision offen</x:t>
  </x:si>
  <x:si>
    <x:t xml:space="preserve">PCB: Modules/FullSize/Empty-SMD/Empty-SMD.kicad_pcb</x:t>
  </x:si>
  <x:si>
    <x:t xml:space="preserve">Empty FullSize SMD</x:t>
  </x:si>
  <x:si>
    <x:t xml:space="preserve">Aktueller KiCad-Stand; Revision, Fertiger und konkrete Fertigungsvariante festlegen.</x:t>
  </x:si>
  <x:si>
    <x:t xml:space="preserve">EMPTY FULLSIZE SMD PCB|PCB: MODULES/FULLSIZE/EMPTY-SMD/EMPTY-SMD.KICAD_PCB</x:t>
  </x:si>
  <x:si>
    <x:t xml:space="preserve">ENP-00061</x:t>
  </x:si>
  <x:si>
    <x:t xml:space="preserve">Empty FullSize THT PCB</x:t>
  </x:si>
  <x:si>
    <x:t xml:space="preserve">PCB: Modules/FullSize/Empty-THT/Empty-THT.kicad_pcb</x:t>
  </x:si>
  <x:si>
    <x:t xml:space="preserve">Empty FullSize THT</x:t>
  </x:si>
  <x:si>
    <x:t xml:space="preserve">EMPTY FULLSIZE THT PCB|PCB: MODULES/FULLSIZE/EMPTY-THT/EMPTY-THT.KICAD_PCB</x:t>
  </x:si>
  <x:si>
    <x:t xml:space="preserve">ENP-00062</x:t>
  </x:si>
  <x:si>
    <x:t xml:space="preserve">Empty HalfSize SMD PCB</x:t>
  </x:si>
  <x:si>
    <x:t xml:space="preserve">PCB: Modules/HalfSize/Empty-SMD/Empty-SMD.kicad_pcb</x:t>
  </x:si>
  <x:si>
    <x:t xml:space="preserve">Empty HalfSize SMD</x:t>
  </x:si>
  <x:si>
    <x:t xml:space="preserve">EMPTY HALFSIZE SMD PCB|PCB: MODULES/HALFSIZE/EMPTY-SMD/EMPTY-SMD.KICAD_PCB</x:t>
  </x:si>
  <x:si>
    <x:t xml:space="preserve">ENP-00063</x:t>
  </x:si>
  <x:si>
    <x:t xml:space="preserve">Empty HalfSize THT PCB</x:t>
  </x:si>
  <x:si>
    <x:t xml:space="preserve">PCB: Modules/HalfSize/Empty-THT/Empty-THT.kicad_pcb</x:t>
  </x:si>
  <x:si>
    <x:t xml:space="preserve">Empty HalfSize THT</x:t>
  </x:si>
  <x:si>
    <x:t xml:space="preserve">EMPTY HALFSIZE THT PCB|PCB: MODULES/HALFSIZE/EMPTY-THT/EMPTY-THT.KICAD_PCB</x:t>
  </x:si>
  <x:si>
    <x:t xml:space="preserve">ENP-00064</x:t>
  </x:si>
  <x:si>
    <x:t xml:space="preserve">LED</x:t>
  </x:si>
  <x:si>
    <x:t xml:space="preserve">LED SMD 1206, rot</x:t>
  </x:si>
  <x:si>
    <x:t xml:space="preserve">Hyperrot, 645 nm, 250 mcd, 140°, Vf 2,0–2,5 V, IF max. 30 mA</x:t>
  </x:si>
  <x:si>
    <x:t xml:space="preserve">LED_SMD:LED_1206_3216Metric_Pad1.42x1.75mm_HandSolder</x:t>
  </x:si>
  <x:si>
    <x:t xml:space="preserve">Kingbright</x:t>
  </x:si>
  <x:si>
    <x:t xml:space="preserve">KP-3216SURC</x:t>
  </x:si>
  <x:si>
    <x:t xml:space="preserve">KBT KP-3216SURC</x:t>
  </x:si>
  <x:si>
    <x:t xml:space="preserve">https://www.reichelt.de/de/de/shop/produkt/smd-led_1206_hyper-rot_250_mcd_645_nm_140_-231713</x:t>
  </x:si>
  <x:si>
    <x:t xml:space="preserve">DuoRelay Rev 0.2</x:t>
  </x:si>
  <x:si>
    <x:t xml:space="preserve">D3,D4</x:t>
  </x:si>
  <x:si>
    <x:t xml:space="preserve">KiCad; Kingbright; Reichelt, abgerufen 2026-09-01</x:t>
  </x:si>
  <x:si>
    <x:t xml:space="preserve">Kingbright SMD-LED im 1206-/3216-Gehäuse, hyperrot, 250 mcd, 140° Abstrahlwinkel, Bauhöhe 1,1 mm. Im DuoRelay liegen D3/D4 über je 1,5 kΩ an +5 V; bei etwa 2 V Vorwärtsspannung fließen rund 2 mA.</x:t>
  </x:si>
  <x:si>
    <x:t xml:space="preserve">ENP-00065</x:t>
  </x:si>
  <x:si>
    <x:t xml:space="preserve">Widerstand 1,5 kΩ SMD</x:t>
  </x:si>
  <x:si>
    <x:t xml:space="preserve">1,5 kΩ, 1 %, 0,25 W, 1206</x:t>
  </x:si>
  <x:si>
    <x:t xml:space="preserve">CRCW12061K50FKEA</x:t>
  </x:si>
  <x:si>
    <x:t xml:space="preserve">VIS CRCW12061K5</x:t>
  </x:si>
  <x:si>
    <x:t xml:space="preserve">https://www.reichelt.de/de/de/shop/produkt/smd-widerstand_1206_1_5_kohm_250_mw_1_-238108</x:t>
  </x:si>
  <x:si>
    <x:t xml:space="preserve">R5,R6</x:t>
  </x:si>
  <x:si>
    <x:t xml:space="preserve">KiCad; Reichelt, abgerufen 2026-09-01</x:t>
  </x:si>
  <x:si>
    <x:t xml:space="preserve">Exakt passend als Vorwiderstand der Relais-LEDs. Einzelpreis, Stand 2026-09-01; Preis und Verfügbarkeit vor Bestellung prüfen.</x:t>
  </x:si>
  <x:si>
    <x:t xml:space="preserve">1,5 KOHM|RESISTOR_SMD:R_1206_3216METRIC_PAD1.30X1.75MM_HANDSOLDER</x:t>
  </x:si>
  <x:si>
    <x:t xml:space="preserve">ENP-00066</x:t>
  </x:si>
  <x:si>
    <x:t xml:space="preserve">DuoRelay FullSize PCB Rev 0.2</x:t>
  </x:si>
  <x:si>
    <x:t xml:space="preserve">PCB: Modules/FullSize/DuoRelay/DuoRelay.kicad_pcb</x:t>
  </x:si>
  <x:si>
    <x:t xml:space="preserve">DUORELAY FULLSIZE PCB REV 0.2|PCB: MODULES/FULLSIZE/DUORELAY/DUORELAY.KICAD_PCB</x:t>
  </x:si>
  <x:si>
    <x:t xml:space="preserve">ENP-00067</x:t>
  </x:si>
  <x:si>
    <x:t xml:space="preserve">Keramikkondensator 4,7 µF SMD</x:t>
  </x:si>
  <x:si>
    <x:t xml:space="preserve">4,7 µF, 25 V, X7R, ±10 %, 1206</x:t>
  </x:si>
  <x:si>
    <x:t xml:space="preserve">Samsung Electro-Mechanics</x:t>
  </x:si>
  <x:si>
    <x:t xml:space="preserve">CL31B475KAHNNNE</x:t>
  </x:si>
  <x:si>
    <x:t xml:space="preserve">https://www.reichelt.de/de/de/shop/produkt/mlcc_1206_4_7uf_25v_x7r_-10_h1_6_mm-429143</x:t>
  </x:si>
  <x:si>
    <x:t xml:space="preserve">AnalogHydroPressure</x:t>
  </x:si>
  <x:si>
    <x:t xml:space="preserve">25-V-Ausführung übertrifft die geforderten mindestens 10 V. Einzelpreis, Stand 2026-09-01; Preis und Verfügbarkeit vor Bestellung prüfen.</x:t>
  </x:si>
  <x:si>
    <x:t xml:space="preserve">4,7 UF 10 V|CAPACITOR_SMD:C_1206_3216METRIC_PAD1.33X1.80MM_HANDSOLDER</x:t>
  </x:si>
  <x:si>
    <x:t xml:space="preserve">ENP-00068</x:t>
  </x:si>
  <x:si>
    <x:t xml:space="preserve">4,7 µF, 50 V, X7R, ±10 %, 1210</x:t>
  </x:si>
  <x:si>
    <x:t xml:space="preserve">Capacitor_SMD:C_1210_3225Metric_Pad1.33x2.70mm_HandSolder</x:t>
  </x:si>
  <x:si>
    <x:t xml:space="preserve">CL32B475KBJVPNE</x:t>
  </x:si>
  <x:si>
    <x:t xml:space="preserve">https://www.reichelt.de/de/de/shop/produkt/mlcc_1210_4_7_f_50v_x7r_-10_-438066</x:t>
  </x:si>
  <x:si>
    <x:t xml:space="preserve">C9</x:t>
  </x:si>
  <x:si>
    <x:t xml:space="preserve">Passende 50-V-/1210-Ausführung für den Ausgang des 24-V-Boosters. Einzelpreis, Stand 2026-09-01; Preis und Verfügbarkeit vor Bestellung prüfen.</x:t>
  </x:si>
  <x:si>
    <x:t xml:space="preserve">4,7 UF 50 V|CAPACITOR_SMD:C_1210_3225METRIC_PAD1.33X2.70MM_HANDSOLDER</x:t>
  </x:si>
  <x:si>
    <x:t xml:space="preserve">ENP-00069</x:t>
  </x:si>
  <x:si>
    <x:t xml:space="preserve">Schottky-Diode SMD</x:t>
  </x:si>
  <x:si>
    <x:t xml:space="preserve">Typ und elektrische Daten offen</x:t>
  </x:si>
  <x:si>
    <x:t xml:space="preserve">Diode_SMD:D_SOD-323F</x:t>
  </x:si>
  <x:si>
    <x:t xml:space="preserve">D3</x:t>
  </x:si>
  <x:si>
    <x:t xml:space="preserve">Schema enthält nur den generischen Wert D_Schottky; Sperrspannung, Strom, Hersteller und MPN festlegen. Einkaufsdaten bleiben offen, bis Sperrspannung und Strombelastbarkeit festgelegt sind.</x:t>
  </x:si>
  <x:si>
    <x:t xml:space="preserve">SCHOTTKY|DIODE_SMD:D_SOD-323F</x:t>
  </x:si>
  <x:si>
    <x:t xml:space="preserve">ENP-00070</x:t>
  </x:si>
  <x:si>
    <x:t xml:space="preserve">Induktivität</x:t>
  </x:si>
  <x:si>
    <x:t xml:space="preserve">Leistungsinduktivität 0,68 µH</x:t>
  </x:si>
  <x:si>
    <x:t xml:space="preserve">0,68 µH, 8,2 A, DCR 9 mΩ, WE-MAPI 3012</x:t>
  </x:si>
  <x:si>
    <x:t xml:space="preserve">Inductor_SMD:L_Wuerth_MAPI-3012</x:t>
  </x:si>
  <x:si>
    <x:t xml:space="preserve">744383560068</x:t>
  </x:si>
  <x:si>
    <x:t xml:space="preserve">Mouser</x:t>
  </x:si>
  <x:si>
    <x:t xml:space="preserve">710-744383560068</x:t>
  </x:si>
  <x:si>
    <x:t xml:space="preserve">https://eu.mouser.com/en/ProductDetail/Wurth-Elektronik/744383560068</x:t>
  </x:si>
  <x:si>
    <x:t xml:space="preserve">L1</x:t>
  </x:si>
  <x:si>
    <x:t xml:space="preserve">KiCad; Würth Datenblatt; Mouser, abgerufen 2026-09-01</x:t>
  </x:si>
  <x:si>
    <x:t xml:space="preserve">Exakte MAPI-3012-Ausführung: 680 nH, 8,2 A, DCR 9 mΩ, AEC-Q200. Einzelpreis, Stand 2026-09-01; Preis und Verfügbarkeit vor Bestellung prüfen.</x:t>
  </x:si>
  <x:si>
    <x:t xml:space="preserve">0,68 UH|INDUCTOR_SMD:L_WUERTH_MAPI-3012</x:t>
  </x:si>
  <x:si>
    <x:t xml:space="preserve">ENP-00071</x:t>
  </x:si>
  <x:si>
    <x:t xml:space="preserve">Widerstand 1 MΩ SMD</x:t>
  </x:si>
  <x:si>
    <x:t xml:space="preserve">1 MΩ, 1 %, 0,25 W, 1206</x:t>
  </x:si>
  <x:si>
    <x:t xml:space="preserve">CRCW12061M00FKEA</x:t>
  </x:si>
  <x:si>
    <x:t xml:space="preserve">VIS CRCW12061M0</x:t>
  </x:si>
  <x:si>
    <x:t xml:space="preserve">https://www.reichelt.de/de/de/shop/produkt/smd-widerstand_1206_1_0_mohm_250_mw_1_-238109</x:t>
  </x:si>
  <x:si>
    <x:t xml:space="preserve">R5</x:t>
  </x:si>
  <x:si>
    <x:t xml:space="preserve">Elektrisch und mechanisch passend. Einzelpreis, Stand 2026-09-01; Preis und Verfügbarkeit vor Bestellung prüfen.</x:t>
  </x:si>
  <x:si>
    <x:t xml:space="preserve">1 MOHM 1%|RESISTOR_SMD:R_1206_3216METRIC_PAD1.30X1.75MM_HANDSOLDER</x:t>
  </x:si>
  <x:si>
    <x:t xml:space="preserve">ENP-00072</x:t>
  </x:si>
  <x:si>
    <x:t xml:space="preserve">Widerstand 71,5 kΩ SMD</x:t>
  </x:si>
  <x:si>
    <x:t xml:space="preserve">71,5 kΩ, 1 %, 0,25 W, 1206</x:t>
  </x:si>
  <x:si>
    <x:t xml:space="preserve">RC1206FR-0771K5L</x:t>
  </x:si>
  <x:si>
    <x:t xml:space="preserve">https://www.digikey.de/de/products/filter/chipwiderstand-oberfl%C3%A4chenmontage/71-5-kohms/52</x:t>
  </x:si>
  <x:si>
    <x:t xml:space="preserve">R6</x:t>
  </x:si>
  <x:si>
    <x:t xml:space="preserve">KiCad; DigiKey, abgerufen 2026-09-01</x:t>
  </x:si>
  <x:si>
    <x:t xml:space="preserve">Exakter Wert für den Feedback-Widerstand; DigiKey-Bestellnummer auf der Produktseite vor Bestellung ergänzen. Einzelpreis, Stand 2026-09-01; Preis und Verfügbarkeit vor Bestellung prüfen.</x:t>
  </x:si>
  <x:si>
    <x:t xml:space="preserve">71,5 KOHM 1%|RESISTOR_SMD:R_1206_3216METRIC_PAD1.30X1.75MM_HANDSOLDER</x:t>
  </x:si>
  <x:si>
    <x:t xml:space="preserve">ENP-00073</x:t>
  </x:si>
  <x:si>
    <x:t xml:space="preserve">Widerstand 220 kΩ SMD</x:t>
  </x:si>
  <x:si>
    <x:t xml:space="preserve">220 kΩ, 1 %, 0,25 W, 1206</x:t>
  </x:si>
  <x:si>
    <x:t xml:space="preserve">Walsin</x:t>
  </x:si>
  <x:si>
    <x:t xml:space="preserve">WR12X2203FTL</x:t>
  </x:si>
  <x:si>
    <x:t xml:space="preserve">TME</x:t>
  </x:si>
  <x:si>
    <x:t xml:space="preserve">https://www.tme.eu/de/details/wr12x2203ftl/smd-widerstaende/walsin/</x:t>
  </x:si>
  <x:si>
    <x:t xml:space="preserve">R8</x:t>
  </x:si>
  <x:si>
    <x:t xml:space="preserve">KiCad; TME, abgerufen 2026-09-01</x:t>
  </x:si>
  <x:si>
    <x:t xml:space="preserve">Exakte 1-%-Ausführung; der gefundene Reichelt-Typ mit 5 % wurde nicht übernommen. Einzelpreis, Stand 2026-09-01; Preis und Verfügbarkeit vor Bestellung prüfen.</x:t>
  </x:si>
  <x:si>
    <x:t xml:space="preserve">220 KOHM 1%|RESISTOR_SMD:R_1206_3216METRIC_PAD1.30X1.75MM_HANDSOLDER</x:t>
  </x:si>
  <x:si>
    <x:t xml:space="preserve">ENP-00074</x:t>
  </x:si>
  <x:si>
    <x:t xml:space="preserve">Schalter</x:t>
  </x:si>
  <x:si>
    <x:t xml:space="preserve">Schiebeschalter DPDT</x:t>
  </x:si>
  <x:si>
    <x:t xml:space="preserve">DPDT</x:t>
  </x:si>
  <x:si>
    <x:t xml:space="preserve">EnvNode-Footprints:SW_Slide_CK_OS202011MS2QS1</x:t>
  </x:si>
  <x:si>
    <x:t xml:space="preserve">C&amp;K</x:t>
  </x:si>
  <x:si>
    <x:t xml:space="preserve">OS202011MS2QS1</x:t>
  </x:si>
  <x:si>
    <x:t xml:space="preserve">611-OS202011MS2QS1</x:t>
  </x:si>
  <x:si>
    <x:t xml:space="preserve">https://www.mouser.de/de/c/electromechanical/switches/slide-switches/?q=OS202011MS2QS1</x:t>
  </x:si>
  <x:si>
    <x:t xml:space="preserve">SW1</x:t>
  </x:si>
  <x:si>
    <x:t xml:space="preserve">KiCad; C&amp;K Datenblatt; Mouser, abgerufen 2026-09-01</x:t>
  </x:si>
  <x:si>
    <x:t xml:space="preserve">Exakt der dem Projekt-Footprint zugrunde liegende DPDT-On-On-Schalter. Einzelpreis, Stand 2026-09-01; Preis und Verfügbarkeit vor Bestellung prüfen.</x:t>
  </x:si>
  <x:si>
    <x:t xml:space="preserve">ENP-00075</x:t>
  </x:si>
  <x:si>
    <x:t xml:space="preserve">Boost-Regler LT8330</x:t>
  </x:si>
  <x:si>
    <x:t xml:space="preserve">LT8330, 3…40 V Eingang, 60 V/1 A Schalter, TSOT-23-6</x:t>
  </x:si>
  <x:si>
    <x:t xml:space="preserve">Analog Devices</x:t>
  </x:si>
  <x:si>
    <x:t xml:space="preserve">LT8330ES6#TRMPBF</x:t>
  </x:si>
  <x:si>
    <x:t xml:space="preserve">584-LT8330ES6#TRMPBF</x:t>
  </x:si>
  <x:si>
    <x:t xml:space="preserve">https://www.mouser.de/ProductDetail/Analog-Devices/LT8330ES6TRMPBF</x:t>
  </x:si>
  <x:si>
    <x:t xml:space="preserve">U4</x:t>
  </x:si>
  <x:si>
    <x:t xml:space="preserve">KiCad; Analog Devices Datenblatt; Mouser, abgerufen 2026-09-01</x:t>
  </x:si>
  <x:si>
    <x:t xml:space="preserve">Bestellbare E-Temperaturvariante im geforderten TSOT-23-6, Cut Tape. Einzelpreis, Stand 2026-09-01; Preis und Verfügbarkeit vor Bestellung prüfen.</x:t>
  </x:si>
  <x:si>
    <x:t xml:space="preserve">LT8330|PACKAGE_TO_SOT_SMD:SOT-23-6</x:t>
  </x:si>
  <x:si>
    <x:t xml:space="preserve">ENP-00076</x:t>
  </x:si>
  <x:si>
    <x:t xml:space="preserve">AnalogHydroPressure FullSize PCB Rev 0.2</x:t>
  </x:si>
  <x:si>
    <x:t xml:space="preserve">PCB: Modules/FullSize/AnalogHydroPressure/AnalogHydroPressure.kicad_pcb</x:t>
  </x:si>
  <x:si>
    <x:t xml:space="preserve">Aktueller KiCad-Stand einschließlich Busumschaltung auf Modulseite und F.Cu-Backfill; Fertiger und Fertigungsvariante festlegen.</x:t>
  </x:si>
  <x:si>
    <x:t xml:space="preserve">ANALOGHYDROPRESSURE FULLSIZE PCB REV 0.2|PCB: MODULES/FULLSIZE/ANALOGHYDROPRESSURE/ANALOGHYDROPRESSURE.KICAD_PCB</x:t>
  </x:si>
</x:sst>
</file>

<file path=xl/styles.xml><?xml version="1.0" encoding="utf-8"?>
<x:styleSheet xmlns:x="http://schemas.openxmlformats.org/spreadsheetml/2006/main">
  <x:numFmts count="2">
    <x:numFmt numFmtId="164" formatCode="\€#,##0.00"/>
    <x:numFmt numFmtId="165" formatCode="0.00\ &quot;€&quot;"/>
  </x:numFmts>
  <x:fonts count="7">
    <x:font>
      <x:sz val="11"/>
      <x:name val="Carlito"/>
    </x:font>
    <x:font>
      <x:sz val="11"/>
      <x:name val="Carlito"/>
    </x:font>
    <x:font>
      <x:sz val="11"/>
      <x:name val="Abadi ExtraLight"/>
    </x:font>
    <x:font>
      <x:sz val="11"/>
      <x:name val="Calibri"/>
    </x:font>
    <x:font>
      <x:b/>
      <x:sz val="11"/>
      <x:color rgb="FFFFFFFF"/>
      <x:name val="Calibri Light"/>
    </x:font>
    <x:font>
      <x:sz val="11"/>
      <x:name val="Calibri Light"/>
    </x:font>
    <x:font>
      <x:sz val="11"/>
      <x:color theme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3">
    <x:xf numFmtId="0" fontId="0" fillId="0" borderId="0"/>
    <x:xf numFmtId="0" fontId="1" fillId="0" borderId="0"/>
    <x:xf numFmtId="0" fontId="6" fillId="0" borderId="0" applyNumberFormat="0" applyFill="0" applyBorder="0" applyAlignment="0" applyProtection="0"/>
  </x:cellStyleXfs>
  <x:cellXfs count="20">
    <x:xf numFmtId="0" fontId="0" fillId="0" borderId="0" xfId="0"/>
    <x:xf numFmtId="0" fontId="2" fillId="0" borderId="0" xfId="0" applyFont="1"/>
    <x:xf numFmtId="49" fontId="2" fillId="0" borderId="2" xfId="1" applyNumberFormat="1" applyFont="1" applyBorder="1" applyAlignment="1">
      <x:alignment vertical="top"/>
    </x:xf>
    <x:xf numFmtId="0" fontId="2" fillId="0" borderId="2" xfId="1" applyFont="1" applyBorder="1" applyAlignment="1">
      <x:alignment vertical="top"/>
    </x:xf>
    <x:xf numFmtId="0" fontId="2" fillId="0" borderId="2" xfId="1" applyFont="1" applyBorder="1" applyAlignment="1">
      <x:alignment vertical="top" wrapText="1"/>
    </x:xf>
    <x:xf numFmtId="49" fontId="2" fillId="0" borderId="2" xfId="1" applyNumberFormat="1" applyFont="1" applyBorder="1" applyAlignment="1">
      <x:alignment vertical="top" wrapText="1"/>
    </x:xf>
    <x:xf numFmtId="164" fontId="2" fillId="0" borderId="2" xfId="1" applyNumberFormat="1" applyFont="1" applyBorder="1" applyAlignment="1">
      <x:alignment vertical="top"/>
    </x:xf>
    <x:xf numFmtId="1" fontId="2" fillId="0" borderId="2" xfId="1" applyNumberFormat="1" applyFont="1" applyBorder="1" applyAlignment="1">
      <x:alignment vertical="top"/>
    </x:xf>
    <x:xf numFmtId="49" fontId="2" fillId="0" borderId="3" xfId="1" applyNumberFormat="1" applyFont="1" applyBorder="1" applyAlignment="1">
      <x:alignment vertical="top"/>
    </x:xf>
    <x:xf numFmtId="0" fontId="2" fillId="0" borderId="3" xfId="1" applyFont="1" applyBorder="1" applyAlignment="1">
      <x:alignment vertical="top"/>
    </x:xf>
    <x:xf numFmtId="0" fontId="2" fillId="0" borderId="3" xfId="1" applyFont="1" applyBorder="1" applyAlignment="1">
      <x:alignment vertical="top" wrapText="1"/>
    </x:xf>
    <x:xf numFmtId="49" fontId="2" fillId="0" borderId="3" xfId="1" applyNumberFormat="1" applyFont="1" applyBorder="1" applyAlignment="1">
      <x:alignment vertical="top" wrapText="1"/>
    </x:xf>
    <x:xf numFmtId="164" fontId="2" fillId="0" borderId="3" xfId="1" applyNumberFormat="1" applyFont="1" applyBorder="1" applyAlignment="1">
      <x:alignment vertical="top"/>
    </x:xf>
    <x:xf numFmtId="1" fontId="2" fillId="0" borderId="3" xfId="1" applyNumberFormat="1" applyFont="1" applyBorder="1" applyAlignment="1">
      <x:alignment vertical="top"/>
    </x:xf>
    <x:xf numFmtId="0" fontId="3" fillId="0" borderId="2" xfId="1" applyFont="1" applyBorder="1" applyAlignment="1">
      <x:alignment vertical="top" wrapText="1"/>
    </x:xf>
    <x:xf numFmtId="0" fontId="4" fillId="2" borderId="1" xfId="1" applyFont="1" applyFill="1" applyBorder="1" applyAlignment="1">
      <x:alignment vertical="center" wrapText="1"/>
    </x:xf>
    <x:xf numFmtId="0" fontId="5" fillId="0" borderId="0" xfId="0" applyFont="1"/>
    <x:xf numFmtId="0" fontId="6" fillId="0" borderId="0" xfId="2"/>
    <x:xf numFmtId="0" fontId="6" fillId="0" borderId="2" xfId="2" applyBorder="1" applyAlignment="1">
      <x:alignment vertical="top" wrapText="1"/>
    </x:xf>
    <x:xf numFmtId="165" fontId="0" fillId="0" borderId="0" xfId="0" applyNumberFormat="1"/>
  </x:cellXfs>
  <x:cellStyles count="3">
    <x:cellStyle name="Link" xfId="2"/>
    <x:cellStyle name="Normal" xfId="1"/>
    <x:cellStyle name="Standard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u val="none"/>
        <x:sz val="11"/>
        <x:name val="Abadi ExtraLight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f7b944b9084206" /><Relationship Type="http://schemas.openxmlformats.org/officeDocument/2006/relationships/theme" Target="/xl/theme/theme1.xml" Id="Rce8e0c37438c42bc" /><Relationship Type="http://schemas.openxmlformats.org/officeDocument/2006/relationships/sharedStrings" Target="/xl/sharedStrings.xml" Id="R6e9276fb2e6243dc" /><Relationship Type="http://schemas.openxmlformats.org/officeDocument/2006/relationships/worksheet" Target="/xl/worksheets/sheet1.xml" Id="R88300fdef6a04f9e" /></Relationships>
</file>

<file path=xl/tables/table1.xml><?xml version="1.0" encoding="utf-8"?>
<x:table xmlns:x="http://schemas.openxmlformats.org/spreadsheetml/2006/main" id="1" name="PartsTable" displayName="PartsTable" ref="A1:S77" totalsRowShown="0" dataDxfId="3">
  <x:autoFilter ref="A1:S77">
    <x:filterColumn colId="16">
      <x:filters>
        <x:filter val="Prüfen"/>
      </x:filters>
    </x:filterColumn>
  </x:autoFilter>
  <x:tableColumns count="19">
    <x:tableColumn id="1" name="Part_ID"/>
    <x:tableColumn id="2" name="Category"/>
    <x:tableColumn id="3" name="Description"/>
    <x:tableColumn id="4" name="Value_Rating"/>
    <x:tableColumn id="5" name="Package_Footprint"/>
    <x:tableColumn id="6" name="Manufacturer"/>
    <x:tableColumn id="7" name="MPN"/>
    <x:tableColumn id="8" name="Supplier"/>
    <x:tableColumn id="9" name="Supplier_PN"/>
    <x:tableColumn id="10" name="URL"/>
    <x:tableColumn id="11" name="Unit_Price_EUR"/>
    <x:tableColumn id="12" name="Purchase_Unit"/>
    <x:tableColumn id="13" name="Packaging_Unit"/>
    <x:tableColumn id="14" name="Found_In"/>
    <x:tableColumn id="15" name="KiCad_References"/>
    <x:tableColumn id="16" name="Source"/>
    <x:tableColumn id="17" name="Review_Status"/>
    <x:tableColumn id="18" name="Notes"/>
    <x:tableColumn id="19" name="Duplicate_Check_Ke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reichelt.de/de/de/shop/produkt/smd-widerstand_1206_47_ohm_250_mw_5_-250359" TargetMode="External" Id="Rdc78c6c842b04acd" /><Relationship Type="http://schemas.openxmlformats.org/officeDocument/2006/relationships/table" Target="/xl/tables/table1.xml" Id="R7d58468c83574c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2"/>
  <x:cols>
    <x:col min="1" max="1" width="14" style="1" customWidth="1"/>
    <x:col min="2" max="2" width="18" style="1" customWidth="1"/>
    <x:col min="3" max="3" width="38" style="1" customWidth="1"/>
    <x:col min="4" max="4" width="26" style="1" customWidth="1"/>
    <x:col min="5" max="5" width="55" style="1" customWidth="1"/>
    <x:col min="6" max="6" width="24" style="1" customWidth="1"/>
    <x:col min="7" max="7" width="25" style="1" customWidth="1"/>
    <x:col min="8" max="8" width="16" style="1" customWidth="1"/>
    <x:col min="9" max="9" width="25" style="1" customWidth="1"/>
    <x:col min="10" max="10" width="45" style="1" customWidth="1"/>
    <x:col min="11" max="11" width="15" style="1" customWidth="1"/>
    <x:col min="12" max="12" width="14" style="1" customWidth="1"/>
    <x:col min="13" max="13" width="16" style="1" customWidth="1"/>
    <x:col min="14" max="14" width="30" style="1" customWidth="1"/>
    <x:col min="15" max="15" width="42" style="1" customWidth="1"/>
    <x:col min="16" max="16" width="55.83203125" style="1" customWidth="1"/>
    <x:col min="17" max="17" width="15" style="1" customWidth="1"/>
    <x:col min="18" max="18" width="174.33203125" style="1" customWidth="1"/>
    <x:col min="19" max="19" width="42" style="1" customWidth="1"/>
    <x:col min="20" max="16384" width="8.83203125" style="1" customWidth="0"/>
  </x:cols>
  <x:sheetData>
    <x:row r="1" s="16" customFormat="1" ht="34" customHeight="1">
      <x:c r="A1" s="15" t="s">
        <x:v>0</x:v>
      </x:c>
      <x:c r="B1" s="15" t="s">
        <x:v>1</x:v>
      </x:c>
      <x:c r="C1" s="15" t="s">
        <x:v>2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  <x:c r="S1" s="15" t="s">
        <x:v>18</x:v>
      </x:c>
    </x:row>
    <x:row r="2" ht="32" hidden="1">
      <x:c r="A2" s="2" t="s">
        <x:v>19</x:v>
      </x:c>
      <x:c r="B2" s="3" t="s">
        <x:v>20</x:v>
      </x:c>
      <x:c r="C2" s="14" t="s">
        <x:v>21</x:v>
      </x:c>
      <x:c r="D2" s="4" t="s">
        <x:v>22</x:v>
      </x:c>
      <x:c r="E2" s="4"/>
      <x:c r="F2" s="4" t="s">
        <x:v>23</x:v>
      </x:c>
      <x:c r="G2" s="5"/>
      <x:c r="H2" s="5" t="s">
        <x:v>24</x:v>
      </x:c>
      <x:c r="I2" s="5"/>
      <x:c r="J2" s="3" t="s">
        <x:v>25</x:v>
      </x:c>
      <x:c r="K2" s="6">
        <x:v>15.3</x:v>
      </x:c>
      <x:c r="L2" s="3" t="s">
        <x:v>26</x:v>
      </x:c>
      <x:c r="M2" s="7">
        <x:v>10</x:v>
      </x:c>
      <x:c r="N2" s="4" t="s">
        <x:v>27</x:v>
      </x:c>
      <x:c r="O2" s="4" t="s">
        <x:v>28</x:v>
      </x:c>
      <x:c r="P2" s="4" t="s">
        <x:v>29</x:v>
      </x:c>
      <x:c r="Q2" s="4" t="s">
        <x:v>30</x:v>
      </x:c>
      <x:c r="R2" s="4" t="s">
        <x:v>31</x:v>
      </x:c>
      <x:c r="S2" s="4" t="str">
        <x:f t="shared" ref="S2:S33" si="0">IF(G2&lt;&gt;"",UPPER(TRIM(G2)),UPPER(TRIM(C2&amp;"|"&amp;E2)))</x:f>
        <x:v>SET, SET JST-PH 4-POLIG 2.00MM VERTIKALER PCB-STECKER, BUCHSE THT|</x:v>
      </x:c>
    </x:row>
    <x:row r="3" ht="13" hidden="1">
      <x:c r="A3" s="2" t="s">
        <x:v>32</x:v>
      </x:c>
      <x:c r="B3" s="3" t="s">
        <x:v>20</x:v>
      </x:c>
      <x:c r="C3" s="4" t="s">
        <x:v>33</x:v>
      </x:c>
      <x:c r="D3" s="4" t="s">
        <x:v>34</x:v>
      </x:c>
      <x:c r="E3" s="4"/>
      <x:c r="F3" s="4" t="s">
        <x:v>23</x:v>
      </x:c>
      <x:c r="G3" s="5"/>
      <x:c r="H3" s="5" t="s">
        <x:v>24</x:v>
      </x:c>
      <x:c r="I3" s="5"/>
      <x:c r="J3" s="3" t="s">
        <x:v>35</x:v>
      </x:c>
      <x:c r="K3" s="6">
        <x:v>6.69</x:v>
      </x:c>
      <x:c r="L3" s="3" t="s">
        <x:v>26</x:v>
      </x:c>
      <x:c r="M3" s="7">
        <x:v>10</x:v>
      </x:c>
      <x:c r="N3" s="4" t="s">
        <x:v>27</x:v>
      </x:c>
      <x:c r="O3" s="4" t="s">
        <x:v>36</x:v>
      </x:c>
      <x:c r="P3" s="4" t="s">
        <x:v>29</x:v>
      </x:c>
      <x:c r="Q3" s="4" t="s">
        <x:v>30</x:v>
      </x:c>
      <x:c r="R3" s="4" t="s">
        <x:v>37</x:v>
      </x:c>
      <x:c r="S3" s="4" t="str">
        <x:f t="shared" si="0"/>
        <x:v>QWIIC/JST-SH, 4-POLIGES PIGTAIL JST|</x:v>
      </x:c>
    </x:row>
    <x:row r="4" ht="13" hidden="1">
      <x:c r="A4" s="2" t="s">
        <x:v>38</x:v>
      </x:c>
      <x:c r="B4" s="3" t="s">
        <x:v>39</x:v>
      </x:c>
      <x:c r="C4" s="4" t="s">
        <x:v>40</x:v>
      </x:c>
      <x:c r="D4" s="4" t="s">
        <x:v>41</x:v>
      </x:c>
      <x:c r="E4" s="4" t="s">
        <x:v>42</x:v>
      </x:c>
      <x:c r="F4" s="4" t="s">
        <x:v>43</x:v>
      </x:c>
      <x:c r="G4" s="5">
        <x:v>10120946</x:v>
      </x:c>
      <x:c r="H4" s="5" t="s">
        <x:v>44</x:v>
      </x:c>
      <x:c r="I4" s="5" t="s">
        <x:v>45</x:v>
      </x:c>
      <x:c r="J4" s="3" t="s">
        <x:v>46</x:v>
      </x:c>
      <x:c r="K4" s="6">
        <x:v>0.81</x:v>
      </x:c>
      <x:c r="L4" s="3" t="s">
        <x:v>26</x:v>
      </x:c>
      <x:c r="M4" s="7"/>
      <x:c r="N4" s="4" t="s">
        <x:v>47</x:v>
      </x:c>
      <x:c r="O4" s="4" t="s">
        <x:v>48</x:v>
      </x:c>
      <x:c r="P4" s="4" t="s">
        <x:v>29</x:v>
      </x:c>
      <x:c r="Q4" s="4" t="s">
        <x:v>30</x:v>
      </x:c>
      <x:c r="R4" s="4" t="s">
        <x:v>49</x:v>
      </x:c>
      <x:c r="S4" s="4" t="str">
        <x:f t="shared" si="0"/>
        <x:v>10120946</x:v>
      </x:c>
    </x:row>
    <x:row r="5" ht="13" hidden="1">
      <x:c r="A5" s="2" t="s">
        <x:v>50</x:v>
      </x:c>
      <x:c r="B5" s="3" t="s">
        <x:v>39</x:v>
      </x:c>
      <x:c r="C5" s="4" t="s">
        <x:v>51</x:v>
      </x:c>
      <x:c r="D5" s="4" t="s">
        <x:v>52</x:v>
      </x:c>
      <x:c r="E5" s="4"/>
      <x:c r="F5" s="4" t="s">
        <x:v>43</x:v>
      </x:c>
      <x:c r="G5" s="5" t="s">
        <x:v>53</x:v>
      </x:c>
      <x:c r="H5" s="5" t="s">
        <x:v>44</x:v>
      </x:c>
      <x:c r="I5" s="5" t="s">
        <x:v>54</x:v>
      </x:c>
      <x:c r="J5" s="3" t="s">
        <x:v>55</x:v>
      </x:c>
      <x:c r="K5" s="6">
        <x:v>2.5499999999999998</x:v>
      </x:c>
      <x:c r="L5" s="3" t="s">
        <x:v>26</x:v>
      </x:c>
      <x:c r="M5" s="7"/>
      <x:c r="N5" s="4" t="s">
        <x:v>27</x:v>
      </x:c>
      <x:c r="O5" s="4" t="s">
        <x:v>56</x:v>
      </x:c>
      <x:c r="P5" s="4" t="s">
        <x:v>29</x:v>
      </x:c>
      <x:c r="Q5" s="4" t="s">
        <x:v>30</x:v>
      </x:c>
      <x:c r="R5" s="4" t="s">
        <x:v>57</x:v>
      </x:c>
      <x:c r="S5" s="4" t="str">
        <x:f t="shared" si="0"/>
        <x:v>BL1.20 G</x:v>
      </x:c>
    </x:row>
    <x:row r="6" ht="39" hidden="1">
      <x:c r="A6" s="2" t="s">
        <x:v>58</x:v>
      </x:c>
      <x:c r="B6" s="3" t="s">
        <x:v>59</x:v>
      </x:c>
      <x:c r="C6" s="4" t="s">
        <x:v>60</x:v>
      </x:c>
      <x:c r="D6" s="4" t="s">
        <x:v>61</x:v>
      </x:c>
      <x:c r="E6" s="4" t="s">
        <x:v>62</x:v>
      </x:c>
      <x:c r="F6" s="4" t="s">
        <x:v>63</x:v>
      </x:c>
      <x:c r="G6" s="5" t="s">
        <x:v>64</x:v>
      </x:c>
      <x:c r="H6" s="5" t="s">
        <x:v>44</x:v>
      </x:c>
      <x:c r="I6" s="5" t="s">
        <x:v>65</x:v>
      </x:c>
      <x:c r="J6" s="3" t="s">
        <x:v>66</x:v>
      </x:c>
      <x:c r="K6" s="6">
        <x:v>0.15</x:v>
      </x:c>
      <x:c r="L6" s="3" t="s">
        <x:v>26</x:v>
      </x:c>
      <x:c r="M6" s="7"/>
      <x:c r="N6" s="4" t="s">
        <x:v>67</x:v>
      </x:c>
      <x:c r="O6" s="4" t="s">
        <x:v>68</x:v>
      </x:c>
      <x:c r="P6" s="4" t="s">
        <x:v>29</x:v>
      </x:c>
      <x:c r="Q6" s="4" t="s">
        <x:v>30</x:v>
      </x:c>
      <x:c r="R6" s="4" t="s">
        <x:v>69</x:v>
      </x:c>
      <x:c r="S6" s="4" t="str">
        <x:f t="shared" si="0"/>
        <x:v>CRCW12064K70FKEA</x:v>
      </x:c>
    </x:row>
    <x:row r="7" ht="52" hidden="1">
      <x:c r="A7" s="2" t="s">
        <x:v>70</x:v>
      </x:c>
      <x:c r="B7" s="3" t="s">
        <x:v>71</x:v>
      </x:c>
      <x:c r="C7" s="4" t="s">
        <x:v>72</x:v>
      </x:c>
      <x:c r="D7" s="4" t="s">
        <x:v>73</x:v>
      </x:c>
      <x:c r="E7" s="4" t="s">
        <x:v>74</x:v>
      </x:c>
      <x:c r="F7" s="4" t="s">
        <x:v>75</x:v>
      </x:c>
      <x:c r="G7" s="5" t="s">
        <x:v>76</x:v>
      </x:c>
      <x:c r="H7" s="5" t="s">
        <x:v>44</x:v>
      </x:c>
      <x:c r="I7" s="5" t="s">
        <x:v>77</x:v>
      </x:c>
      <x:c r="J7" s="3" t="s">
        <x:v>78</x:v>
      </x:c>
      <x:c r="K7" s="6">
        <x:v>0.24</x:v>
      </x:c>
      <x:c r="L7" s="3" t="s">
        <x:v>26</x:v>
      </x:c>
      <x:c r="M7" s="7">
        <x:v>10</x:v>
      </x:c>
      <x:c r="N7" s="4" t="s">
        <x:v>79</x:v>
      </x:c>
      <x:c r="O7" s="4" t="s">
        <x:v>80</x:v>
      </x:c>
      <x:c r="P7" s="4" t="s">
        <x:v>29</x:v>
      </x:c>
      <x:c r="Q7" s="4" t="s">
        <x:v>30</x:v>
      </x:c>
      <x:c r="R7" s="4" t="s">
        <x:v>81</x:v>
      </x:c>
      <x:c r="S7" s="4" t="str">
        <x:f t="shared" si="0"/>
        <x:v>C1206F104K1RACTU</x:v>
      </x:c>
    </x:row>
    <x:row r="8" ht="13" hidden="1">
      <x:c r="A8" s="2" t="s">
        <x:v>82</x:v>
      </x:c>
      <x:c r="B8" s="3" t="s">
        <x:v>71</x:v>
      </x:c>
      <x:c r="C8" s="4" t="s">
        <x:v>83</x:v>
      </x:c>
      <x:c r="D8" s="4" t="s">
        <x:v>84</x:v>
      </x:c>
      <x:c r="E8" s="4" t="s">
        <x:v>74</x:v>
      </x:c>
      <x:c r="F8" s="4" t="s">
        <x:v>85</x:v>
      </x:c>
      <x:c r="G8" s="5" t="s">
        <x:v>86</x:v>
      </x:c>
      <x:c r="H8" s="5" t="s">
        <x:v>44</x:v>
      </x:c>
      <x:c r="I8" s="5" t="s">
        <x:v>86</x:v>
      </x:c>
      <x:c r="J8" s="3" t="s">
        <x:v>87</x:v>
      </x:c>
      <x:c r="K8" s="6">
        <x:v>0.11</x:v>
      </x:c>
      <x:c r="L8" s="3" t="s">
        <x:v>26</x:v>
      </x:c>
      <x:c r="M8" s="7">
        <x:v>10</x:v>
      </x:c>
      <x:c r="N8" s="4" t="s">
        <x:v>88</x:v>
      </x:c>
      <x:c r="O8" s="4" t="s">
        <x:v>89</x:v>
      </x:c>
      <x:c r="P8" s="4" t="s">
        <x:v>29</x:v>
      </x:c>
      <x:c r="Q8" s="4" t="s">
        <x:v>30</x:v>
      </x:c>
      <x:c r="R8" s="4" t="s">
        <x:v>90</x:v>
      </x:c>
      <x:c r="S8" s="4" t="str">
        <x:f t="shared" si="0"/>
        <x:v>12063C106KAT2A</x:v>
      </x:c>
    </x:row>
    <x:row r="9" ht="13" hidden="1">
      <x:c r="A9" s="2" t="s">
        <x:v>91</x:v>
      </x:c>
      <x:c r="B9" s="3" t="s">
        <x:v>71</x:v>
      </x:c>
      <x:c r="C9" s="4" t="s">
        <x:v>92</x:v>
      </x:c>
      <x:c r="D9" s="4" t="s">
        <x:v>93</x:v>
      </x:c>
      <x:c r="E9" s="4" t="s">
        <x:v>94</x:v>
      </x:c>
      <x:c r="F9" s="4" t="s">
        <x:v>85</x:v>
      </x:c>
      <x:c r="G9" s="5" t="s">
        <x:v>95</x:v>
      </x:c>
      <x:c r="H9" s="5" t="s">
        <x:v>44</x:v>
      </x:c>
      <x:c r="I9" s="5" t="s">
        <x:v>96</x:v>
      </x:c>
      <x:c r="J9" s="3" t="s">
        <x:v>97</x:v>
      </x:c>
      <x:c r="K9" s="6">
        <x:v>0.28999999999999998</x:v>
      </x:c>
      <x:c r="L9" s="3" t="s">
        <x:v>26</x:v>
      </x:c>
      <x:c r="M9" s="7"/>
      <x:c r="N9" s="4" t="s">
        <x:v>88</x:v>
      </x:c>
      <x:c r="O9" s="4" t="s">
        <x:v>98</x:v>
      </x:c>
      <x:c r="P9" s="4" t="s">
        <x:v>29</x:v>
      </x:c>
      <x:c r="Q9" s="4" t="s">
        <x:v>30</x:v>
      </x:c>
      <x:c r="R9" s="4" t="s">
        <x:v>99</x:v>
      </x:c>
      <x:c r="S9" s="4" t="str">
        <x:f t="shared" si="0"/>
        <x:v>TAJB476K010RNJ</x:v>
      </x:c>
    </x:row>
    <x:row r="10" ht="13" hidden="1">
      <x:c r="A10" s="2" t="s">
        <x:v>100</x:v>
      </x:c>
      <x:c r="B10" s="3" t="s">
        <x:v>101</x:v>
      </x:c>
      <x:c r="C10" s="4" t="s">
        <x:v>102</x:v>
      </x:c>
      <x:c r="D10" s="4" t="s">
        <x:v>103</x:v>
      </x:c>
      <x:c r="E10" s="4" t="s">
        <x:v>104</x:v>
      </x:c>
      <x:c r="F10" s="4" t="s">
        <x:v>105</x:v>
      </x:c>
      <x:c r="G10" s="5" t="s">
        <x:v>106</x:v>
      </x:c>
      <x:c r="H10" s="5" t="s">
        <x:v>44</x:v>
      </x:c>
      <x:c r="I10" s="5" t="s">
        <x:v>107</x:v>
      </x:c>
      <x:c r="J10" s="3" t="s">
        <x:v>108</x:v>
      </x:c>
      <x:c r="K10" s="6">
        <x:v>1</x:v>
      </x:c>
      <x:c r="L10" s="3" t="s">
        <x:v>26</x:v>
      </x:c>
      <x:c r="M10" s="7">
        <x:v>3</x:v>
      </x:c>
      <x:c r="N10" s="4" t="s">
        <x:v>88</x:v>
      </x:c>
      <x:c r="O10" s="4" t="s">
        <x:v>109</x:v>
      </x:c>
      <x:c r="P10" s="4" t="s">
        <x:v>29</x:v>
      </x:c>
      <x:c r="Q10" s="4" t="s">
        <x:v>30</x:v>
      </x:c>
      <x:c r="R10" s="4" t="s">
        <x:v>110</x:v>
      </x:c>
      <x:c r="S10" s="4" t="str">
        <x:f t="shared" si="0"/>
        <x:v>LM3940IMP-3.3/NOPB</x:v>
      </x:c>
    </x:row>
    <x:row r="11" ht="13" hidden="1">
      <x:c r="A11" s="2" t="s">
        <x:v>111</x:v>
      </x:c>
      <x:c r="B11" s="3" t="s">
        <x:v>112</x:v>
      </x:c>
      <x:c r="C11" s="4" t="s">
        <x:v>113</x:v>
      </x:c>
      <x:c r="D11" s="4" t="s">
        <x:v>114</x:v>
      </x:c>
      <x:c r="E11" s="4" t="s">
        <x:v>115</x:v>
      </x:c>
      <x:c r="F11" s="4" t="s">
        <x:v>116</x:v>
      </x:c>
      <x:c r="G11" s="5"/>
      <x:c r="H11" s="5"/>
      <x:c r="I11" s="5"/>
      <x:c r="J11" s="3"/>
      <x:c r="K11" s="6">
        <x:v>5</x:v>
      </x:c>
      <x:c r="L11" s="3" t="s">
        <x:v>26</x:v>
      </x:c>
      <x:c r="M11" s="7">
        <x:v>3</x:v>
      </x:c>
      <x:c r="N11" s="4" t="s">
        <x:v>88</x:v>
      </x:c>
      <x:c r="O11" s="4" t="s">
        <x:v>117</x:v>
      </x:c>
      <x:c r="P11" s="4" t="s">
        <x:v>29</x:v>
      </x:c>
      <x:c r="Q11" s="4" t="s">
        <x:v>30</x:v>
      </x:c>
      <x:c r="R11" s="4" t="s">
        <x:v>118</x:v>
      </x:c>
      <x:c r="S11" s="4" t="str">
        <x:f t="shared" si="0"/>
        <x:v>ESP32-DEVKITC|PCM_ESPRESSIF:ESP32-DEVKITC</x:v>
      </x:c>
    </x:row>
    <x:row r="12" ht="13" hidden="1">
      <x:c r="A12" s="2" t="s">
        <x:v>119</x:v>
      </x:c>
      <x:c r="B12" s="3" t="s">
        <x:v>120</x:v>
      </x:c>
      <x:c r="C12" s="4" t="s">
        <x:v>121</x:v>
      </x:c>
      <x:c r="D12" s="4" t="s">
        <x:v>122</x:v>
      </x:c>
      <x:c r="E12" s="4"/>
      <x:c r="F12" s="4" t="s">
        <x:v>123</x:v>
      </x:c>
      <x:c r="G12" s="5"/>
      <x:c r="H12" s="5" t="s">
        <x:v>123</x:v>
      </x:c>
      <x:c r="I12" s="5"/>
      <x:c r="J12" s="3" t="s">
        <x:v>124</x:v>
      </x:c>
      <x:c r="K12" s="6">
        <x:v>7.85</x:v>
      </x:c>
      <x:c r="L12" s="3" t="s">
        <x:v>26</x:v>
      </x:c>
      <x:c r="M12" s="7"/>
      <x:c r="N12" s="4" t="s">
        <x:v>27</x:v>
      </x:c>
      <x:c r="O12" s="4"/>
      <x:c r="P12" s="4" t="s">
        <x:v>29</x:v>
      </x:c>
      <x:c r="Q12" s="4" t="s">
        <x:v>30</x:v>
      </x:c>
      <x:c r="R12" s="4" t="s">
        <x:v>125</x:v>
      </x:c>
      <x:c r="S12" s="4" t="str">
        <x:f t="shared" si="0"/>
        <x:v>ENVNODE MAINBOARD REV 0.1|</x:v>
      </x:c>
    </x:row>
    <x:row r="13" ht="13" hidden="1">
      <x:c r="A13" s="2" t="s">
        <x:v>126</x:v>
      </x:c>
      <x:c r="B13" s="3" t="s">
        <x:v>39</x:v>
      </x:c>
      <x:c r="C13" s="4" t="s">
        <x:v>127</x:v>
      </x:c>
      <x:c r="D13" s="4" t="s">
        <x:v>128</x:v>
      </x:c>
      <x:c r="E13" s="4" t="s">
        <x:v>129</x:v>
      </x:c>
      <x:c r="F13" s="4" t="s">
        <x:v>23</x:v>
      </x:c>
      <x:c r="G13" s="5" t="s">
        <x:v>130</x:v>
      </x:c>
      <x:c r="H13" s="5" t="s">
        <x:v>44</x:v>
      </x:c>
      <x:c r="I13" s="5" t="s">
        <x:v>131</x:v>
      </x:c>
      <x:c r="J13" s="3" t="s">
        <x:v>132</x:v>
      </x:c>
      <x:c r="K13" s="6">
        <x:v>1.3</x:v>
      </x:c>
      <x:c r="L13" s="3" t="s">
        <x:v>26</x:v>
      </x:c>
      <x:c r="M13" s="7"/>
      <x:c r="N13" s="4" t="s">
        <x:v>88</x:v>
      </x:c>
      <x:c r="O13" s="4" t="s">
        <x:v>133</x:v>
      </x:c>
      <x:c r="P13" s="4" t="s">
        <x:v>29</x:v>
      </x:c>
      <x:c r="Q13" s="4" t="s">
        <x:v>30</x:v>
      </x:c>
      <x:c r="R13" s="4"/>
      <x:c r="S13" s="4" t="str">
        <x:f t="shared" si="0"/>
        <x:v>B2B-PH-K-S</x:v>
      </x:c>
    </x:row>
    <x:row r="14" ht="13" hidden="1">
      <x:c r="A14" s="2" t="s">
        <x:v>134</x:v>
      </x:c>
      <x:c r="B14" s="3" t="s">
        <x:v>135</x:v>
      </x:c>
      <x:c r="C14" s="4" t="s">
        <x:v>136</x:v>
      </x:c>
      <x:c r="D14" s="4" t="s">
        <x:v>137</x:v>
      </x:c>
      <x:c r="E14" s="4" t="s">
        <x:v>138</x:v>
      </x:c>
      <x:c r="F14" s="4" t="s">
        <x:v>139</x:v>
      </x:c>
      <x:c r="G14" s="5" t="s">
        <x:v>140</x:v>
      </x:c>
      <x:c r="H14" s="5" t="s">
        <x:v>44</x:v>
      </x:c>
      <x:c r="I14" s="5" t="s">
        <x:v>140</x:v>
      </x:c>
      <x:c r="J14" s="3" t="s">
        <x:v>141</x:v>
      </x:c>
      <x:c r="K14" s="6">
        <x:v>0.18</x:v>
      </x:c>
      <x:c r="L14" s="3" t="s">
        <x:v>26</x:v>
      </x:c>
      <x:c r="M14" s="7"/>
      <x:c r="N14" s="4" t="s">
        <x:v>142</x:v>
      </x:c>
      <x:c r="O14" s="4" t="s">
        <x:v>143</x:v>
      </x:c>
      <x:c r="P14" s="4" t="s">
        <x:v>29</x:v>
      </x:c>
      <x:c r="Q14" s="4" t="s">
        <x:v>30</x:v>
      </x:c>
      <x:c r="R14" s="4"/>
      <x:c r="S14" s="4" t="str">
        <x:f t="shared" si="0"/>
        <x:v>AO3400A</x:v>
      </x:c>
    </x:row>
    <x:row r="15" ht="26" hidden="1">
      <x:c r="A15" s="2" t="s">
        <x:v>144</x:v>
      </x:c>
      <x:c r="B15" s="3" t="s">
        <x:v>145</x:v>
      </x:c>
      <x:c r="C15" s="4" t="s">
        <x:v>146</x:v>
      </x:c>
      <x:c r="D15" s="4" t="s">
        <x:v>147</x:v>
      </x:c>
      <x:c r="E15" s="4"/>
      <x:c r="F15" s="4" t="s">
        <x:v>148</x:v>
      </x:c>
      <x:c r="G15" s="5">
        <x:v>333032</x:v>
      </x:c>
      <x:c r="H15" s="5" t="s">
        <x:v>44</x:v>
      </x:c>
      <x:c r="I15" s="5" t="s">
        <x:v>149</x:v>
      </x:c>
      <x:c r="J15" s="3" t="s">
        <x:v>150</x:v>
      </x:c>
      <x:c r="K15" s="6">
        <x:v>5.3</x:v>
      </x:c>
      <x:c r="L15" s="3" t="s">
        <x:v>26</x:v>
      </x:c>
      <x:c r="M15" s="7"/>
      <x:c r="N15" s="4" t="s">
        <x:v>151</x:v>
      </x:c>
      <x:c r="O15" s="4"/>
      <x:c r="P15" s="4" t="s">
        <x:v>29</x:v>
      </x:c>
      <x:c r="Q15" s="4" t="s">
        <x:v>30</x:v>
      </x:c>
      <x:c r="R15" s="4"/>
      <x:c r="S15" s="4" t="str">
        <x:f t="shared" si="0"/>
        <x:v>333032</x:v>
      </x:c>
    </x:row>
    <x:row r="16" ht="26" hidden="1">
      <x:c r="A16" s="2" t="s">
        <x:v>152</x:v>
      </x:c>
      <x:c r="B16" s="3" t="s">
        <x:v>112</x:v>
      </x:c>
      <x:c r="C16" s="4" t="s">
        <x:v>153</x:v>
      </x:c>
      <x:c r="D16" s="4" t="s">
        <x:v>154</x:v>
      </x:c>
      <x:c r="E16" s="4"/>
      <x:c r="F16" s="4" t="s">
        <x:v>148</x:v>
      </x:c>
      <x:c r="G16" s="5">
        <x:v>333095</x:v>
      </x:c>
      <x:c r="H16" s="5" t="s">
        <x:v>44</x:v>
      </x:c>
      <x:c r="I16" s="5" t="s">
        <x:v>155</x:v>
      </x:c>
      <x:c r="J16" s="3" t="s">
        <x:v>156</x:v>
      </x:c>
      <x:c r="K16" s="6">
        <x:v>8.85</x:v>
      </x:c>
      <x:c r="L16" s="3" t="s">
        <x:v>26</x:v>
      </x:c>
      <x:c r="M16" s="7"/>
      <x:c r="N16" s="4" t="s">
        <x:v>157</x:v>
      </x:c>
      <x:c r="O16" s="4"/>
      <x:c r="P16" s="4" t="s">
        <x:v>29</x:v>
      </x:c>
      <x:c r="Q16" s="4" t="s">
        <x:v>30</x:v>
      </x:c>
      <x:c r="R16" s="4"/>
      <x:c r="S16" s="4" t="str">
        <x:f t="shared" si="0"/>
        <x:v>333095</x:v>
      </x:c>
    </x:row>
    <x:row r="17" ht="26" hidden="1">
      <x:c r="A17" s="2" t="s">
        <x:v>158</x:v>
      </x:c>
      <x:c r="B17" s="3" t="s">
        <x:v>59</x:v>
      </x:c>
      <x:c r="C17" s="4" t="s">
        <x:v>159</x:v>
      </x:c>
      <x:c r="D17" s="4" t="s">
        <x:v>160</x:v>
      </x:c>
      <x:c r="E17" s="4" t="s">
        <x:v>62</x:v>
      </x:c>
      <x:c r="F17" s="4" t="s">
        <x:v>161</x:v>
      </x:c>
      <x:c r="G17" s="5" t="s">
        <x:v>162</x:v>
      </x:c>
      <x:c r="H17" s="5" t="s">
        <x:v>44</x:v>
      </x:c>
      <x:c r="I17" s="5" t="s">
        <x:v>163</x:v>
      </x:c>
      <x:c r="J17" s="3" t="s">
        <x:v>164</x:v>
      </x:c>
      <x:c r="K17" s="6">
        <x:v>0.83</x:v>
      </x:c>
      <x:c r="L17" s="3" t="s">
        <x:v>26</x:v>
      </x:c>
      <x:c r="M17" s="7"/>
      <x:c r="N17" s="4" t="s">
        <x:v>165</x:v>
      </x:c>
      <x:c r="O17" s="4" t="s">
        <x:v>166</x:v>
      </x:c>
      <x:c r="P17" s="4" t="s">
        <x:v>29</x:v>
      </x:c>
      <x:c r="Q17" s="4" t="s">
        <x:v>30</x:v>
      </x:c>
      <x:c r="R17" s="4" t="s">
        <x:v>167</x:v>
      </x:c>
      <x:c r="S17" s="4" t="str">
        <x:f t="shared" si="0"/>
        <x:v>ERA8AEB104V</x:v>
      </x:c>
    </x:row>
    <x:row r="18" ht="13" hidden="1">
      <x:c r="A18" s="2" t="s">
        <x:v>168</x:v>
      </x:c>
      <x:c r="B18" s="3" t="s">
        <x:v>59</x:v>
      </x:c>
      <x:c r="C18" s="4" t="s">
        <x:v>169</x:v>
      </x:c>
      <x:c r="D18" s="4" t="s">
        <x:v>170</x:v>
      </x:c>
      <x:c r="E18" s="4" t="s">
        <x:v>62</x:v>
      </x:c>
      <x:c r="F18" s="4" t="s">
        <x:v>171</x:v>
      </x:c>
      <x:c r="G18" s="5" t="s">
        <x:v>172</x:v>
      </x:c>
      <x:c r="H18" s="5" t="s">
        <x:v>44</x:v>
      </x:c>
      <x:c r="I18" s="5" t="s">
        <x:v>173</x:v>
      </x:c>
      <x:c r="J18" s="3" t="s">
        <x:v>174</x:v>
      </x:c>
      <x:c r="K18" s="6">
        <x:v>0.06</x:v>
      </x:c>
      <x:c r="L18" s="3" t="s">
        <x:v>26</x:v>
      </x:c>
      <x:c r="M18" s="7"/>
      <x:c r="N18" s="4" t="s">
        <x:v>175</x:v>
      </x:c>
      <x:c r="O18" s="4" t="s">
        <x:v>176</x:v>
      </x:c>
      <x:c r="P18" s="4" t="s">
        <x:v>29</x:v>
      </x:c>
      <x:c r="Q18" s="4" t="s">
        <x:v>30</x:v>
      </x:c>
      <x:c r="R18" s="4"/>
      <x:c r="S18" s="4" t="str">
        <x:f t="shared" si="0"/>
        <x:v>RC1206JR-07100RL</x:v>
      </x:c>
    </x:row>
    <x:row r="19" ht="13" hidden="1">
      <x:c r="A19" s="2" t="s">
        <x:v>177</x:v>
      </x:c>
      <x:c r="B19" s="3" t="s">
        <x:v>59</x:v>
      </x:c>
      <x:c r="C19" s="4" t="s">
        <x:v>178</x:v>
      </x:c>
      <x:c r="D19" s="4" t="s">
        <x:v>179</x:v>
      </x:c>
      <x:c r="E19" s="4" t="s">
        <x:v>62</x:v>
      </x:c>
      <x:c r="F19" s="4" t="s">
        <x:v>161</x:v>
      </x:c>
      <x:c r="G19" s="5" t="s">
        <x:v>180</x:v>
      </x:c>
      <x:c r="H19" s="5" t="s">
        <x:v>44</x:v>
      </x:c>
      <x:c r="I19" s="5" t="s">
        <x:v>181</x:v>
      </x:c>
      <x:c r="J19" s="3" t="s">
        <x:v>182</x:v>
      </x:c>
      <x:c r="K19" s="6">
        <x:v>0.75</x:v>
      </x:c>
      <x:c r="L19" s="3" t="s">
        <x:v>26</x:v>
      </x:c>
      <x:c r="M19" s="7"/>
      <x:c r="N19" s="4" t="s">
        <x:v>142</x:v>
      </x:c>
      <x:c r="O19" s="4" t="s">
        <x:v>183</x:v>
      </x:c>
      <x:c r="P19" s="4" t="s">
        <x:v>29</x:v>
      </x:c>
      <x:c r="Q19" s="4" t="s">
        <x:v>30</x:v>
      </x:c>
      <x:c r="R19" s="4" t="s">
        <x:v>184</x:v>
      </x:c>
      <x:c r="S19" s="4" t="str">
        <x:f t="shared" si="0"/>
        <x:v>ERA8AEB103V</x:v>
      </x:c>
    </x:row>
    <x:row r="20" ht="13" hidden="1">
      <x:c r="A20" s="2" t="s">
        <x:v>185</x:v>
      </x:c>
      <x:c r="B20" s="3" t="s">
        <x:v>39</x:v>
      </x:c>
      <x:c r="C20" s="4" t="s">
        <x:v>186</x:v>
      </x:c>
      <x:c r="D20" s="4" t="s">
        <x:v>187</x:v>
      </x:c>
      <x:c r="E20" s="4" t="s">
        <x:v>188</x:v>
      </x:c>
      <x:c r="F20" s="4" t="s">
        <x:v>189</x:v>
      </x:c>
      <x:c r="G20" s="5">
        <x:v>10120505</x:v>
      </x:c>
      <x:c r="H20" s="5" t="s">
        <x:v>44</x:v>
      </x:c>
      <x:c r="I20" s="5" t="s">
        <x:v>190</x:v>
      </x:c>
      <x:c r="J20" s="3" t="s">
        <x:v>191</x:v>
      </x:c>
      <x:c r="K20" s="6">
        <x:v>0.31</x:v>
      </x:c>
      <x:c r="L20" s="3" t="s">
        <x:v>26</x:v>
      </x:c>
      <x:c r="M20" s="7"/>
      <x:c r="N20" s="4" t="s">
        <x:v>142</x:v>
      </x:c>
      <x:c r="O20" s="4" t="s">
        <x:v>192</x:v>
      </x:c>
      <x:c r="P20" s="4" t="s">
        <x:v>29</x:v>
      </x:c>
      <x:c r="Q20" s="4" t="s">
        <x:v>30</x:v>
      </x:c>
      <x:c r="R20" s="4"/>
      <x:c r="S20" s="4" t="str">
        <x:f t="shared" si="0"/>
        <x:v>10120505</x:v>
      </x:c>
    </x:row>
    <x:row r="21" ht="13" hidden="1">
      <x:c r="A21" s="2" t="s">
        <x:v>193</x:v>
      </x:c>
      <x:c r="B21" s="3" t="s">
        <x:v>194</x:v>
      </x:c>
      <x:c r="C21" s="4" t="s">
        <x:v>195</x:v>
      </x:c>
      <x:c r="D21" s="4" t="s">
        <x:v>196</x:v>
      </x:c>
      <x:c r="E21" s="4" t="s">
        <x:v>197</x:v>
      </x:c>
      <x:c r="F21" s="4" t="s">
        <x:v>198</x:v>
      </x:c>
      <x:c r="G21" s="5" t="s">
        <x:v>199</x:v>
      </x:c>
      <x:c r="H21" s="5" t="s">
        <x:v>44</x:v>
      </x:c>
      <x:c r="I21" s="5" t="s">
        <x:v>200</x:v>
      </x:c>
      <x:c r="J21" s="3" t="s">
        <x:v>201</x:v>
      </x:c>
      <x:c r="K21" s="6">
        <x:v>1.1000000000000001</x:v>
      </x:c>
      <x:c r="L21" s="3" t="s">
        <x:v>26</x:v>
      </x:c>
      <x:c r="M21" s="7"/>
      <x:c r="N21" s="4" t="s">
        <x:v>142</x:v>
      </x:c>
      <x:c r="O21" s="4" t="s">
        <x:v>202</x:v>
      </x:c>
      <x:c r="P21" s="4" t="s">
        <x:v>29</x:v>
      </x:c>
      <x:c r="Q21" s="4" t="s">
        <x:v>30</x:v>
      </x:c>
      <x:c r="R21" s="4"/>
      <x:c r="S21" s="4" t="str">
        <x:f t="shared" si="0"/>
        <x:v>ICM7555IBAZ</x:v>
      </x:c>
    </x:row>
    <x:row r="22" ht="13" hidden="1">
      <x:c r="A22" s="2" t="s">
        <x:v>203</x:v>
      </x:c>
      <x:c r="B22" s="3" t="s">
        <x:v>39</x:v>
      </x:c>
      <x:c r="C22" s="4" t="s">
        <x:v>204</x:v>
      </x:c>
      <x:c r="D22" s="4" t="s">
        <x:v>205</x:v>
      </x:c>
      <x:c r="E22" s="4"/>
      <x:c r="F22" s="4" t="s">
        <x:v>43</x:v>
      </x:c>
      <x:c r="G22" s="5" t="s">
        <x:v>206</x:v>
      </x:c>
      <x:c r="H22" s="5" t="s">
        <x:v>44</x:v>
      </x:c>
      <x:c r="I22" s="5" t="s">
        <x:v>207</x:v>
      </x:c>
      <x:c r="J22" s="3" t="s">
        <x:v>208</x:v>
      </x:c>
      <x:c r="K22" s="6">
        <x:v>1.7</x:v>
      </x:c>
      <x:c r="L22" s="3" t="s">
        <x:v>26</x:v>
      </x:c>
      <x:c r="M22" s="7"/>
      <x:c r="N22" s="4" t="s">
        <x:v>209</x:v>
      </x:c>
      <x:c r="O22" s="4"/>
      <x:c r="P22" s="4" t="s">
        <x:v>29</x:v>
      </x:c>
      <x:c r="Q22" s="4" t="s">
        <x:v>30</x:v>
      </x:c>
      <x:c r="R22" s="4"/>
      <x:c r="S22" s="4" t="str">
        <x:f t="shared" si="0"/>
        <x:v>BL 3 8 G</x:v>
      </x:c>
    </x:row>
    <x:row r="23" ht="15" hidden="1">
      <x:c r="A23" s="2" t="s">
        <x:v>210</x:v>
      </x:c>
      <x:c r="B23" s="3" t="s">
        <x:v>59</x:v>
      </x:c>
      <x:c r="C23" s="17" t="s">
        <x:v>211</x:v>
      </x:c>
      <x:c r="D23" s="4" t="s">
        <x:v>212</x:v>
      </x:c>
      <x:c r="E23" s="4" t="s">
        <x:v>62</x:v>
      </x:c>
      <x:c r="F23" s="4" t="s">
        <x:v>213</x:v>
      </x:c>
      <x:c r="G23" s="5" t="s">
        <x:v>214</x:v>
      </x:c>
      <x:c r="H23" s="5" t="s">
        <x:v>44</x:v>
      </x:c>
      <x:c r="I23" s="5" t="s">
        <x:v>215</x:v>
      </x:c>
      <x:c r="J23" s="3" t="s">
        <x:v>216</x:v>
      </x:c>
      <x:c r="K23" s="6">
        <x:v>0.02</x:v>
      </x:c>
      <x:c r="L23" s="3" t="s">
        <x:v>26</x:v>
      </x:c>
      <x:c r="M23" s="7"/>
      <x:c r="N23" s="4" t="s">
        <x:v>209</x:v>
      </x:c>
      <x:c r="O23" s="4"/>
      <x:c r="P23" s="4" t="s">
        <x:v>29</x:v>
      </x:c>
      <x:c r="Q23" s="4" t="s">
        <x:v>30</x:v>
      </x:c>
      <x:c r="R23" s="4"/>
      <x:c r="S23" s="4" t="str">
        <x:f t="shared" si="0"/>
        <x:v>RND 1551206S4J0470T5E</x:v>
      </x:c>
    </x:row>
    <x:row r="24" ht="13" hidden="1">
      <x:c r="A24" s="2" t="s">
        <x:v>217</x:v>
      </x:c>
      <x:c r="B24" s="3" t="s">
        <x:v>218</x:v>
      </x:c>
      <x:c r="C24" s="4" t="s">
        <x:v>219</x:v>
      </x:c>
      <x:c r="D24" s="4" t="s">
        <x:v>220</x:v>
      </x:c>
      <x:c r="E24" s="4" t="s">
        <x:v>221</x:v>
      </x:c>
      <x:c r="F24" s="4" t="s">
        <x:v>222</x:v>
      </x:c>
      <x:c r="G24" s="5" t="s">
        <x:v>223</x:v>
      </x:c>
      <x:c r="H24" s="5" t="s">
        <x:v>44</x:v>
      </x:c>
      <x:c r="I24" s="5" t="s">
        <x:v>224</x:v>
      </x:c>
      <x:c r="J24" s="3" t="s">
        <x:v>225</x:v>
      </x:c>
      <x:c r="K24" s="6">
        <x:v>5.8</x:v>
      </x:c>
      <x:c r="L24" s="3" t="s">
        <x:v>26</x:v>
      </x:c>
      <x:c r="M24" s="7"/>
      <x:c r="N24" s="4" t="s">
        <x:v>226</x:v>
      </x:c>
      <x:c r="O24" s="4" t="s">
        <x:v>227</x:v>
      </x:c>
      <x:c r="P24" s="4" t="s">
        <x:v>29</x:v>
      </x:c>
      <x:c r="Q24" s="4" t="s">
        <x:v>30</x:v>
      </x:c>
      <x:c r="R24" s="4"/>
      <x:c r="S24" s="4" t="str">
        <x:f t="shared" si="0"/>
        <x:v>34.51.7.005.0010</x:v>
      </x:c>
    </x:row>
    <x:row r="25" ht="39" hidden="1">
      <x:c r="A25" s="2" t="s">
        <x:v>228</x:v>
      </x:c>
      <x:c r="B25" s="3" t="s">
        <x:v>194</x:v>
      </x:c>
      <x:c r="C25" s="4" t="s">
        <x:v>229</x:v>
      </x:c>
      <x:c r="D25" s="4" t="s">
        <x:v>230</x:v>
      </x:c>
      <x:c r="E25" s="4" t="s">
        <x:v>231</x:v>
      </x:c>
      <x:c r="F25" s="4" t="s">
        <x:v>232</x:v>
      </x:c>
      <x:c r="G25" s="5" t="s">
        <x:v>233</x:v>
      </x:c>
      <x:c r="H25" s="5"/>
      <x:c r="I25" s="5"/>
      <x:c r="J25" s="3"/>
      <x:c r="K25" s="6"/>
      <x:c r="L25" s="3" t="s">
        <x:v>26</x:v>
      </x:c>
      <x:c r="M25" s="7"/>
      <x:c r="N25" s="4" t="s">
        <x:v>234</x:v>
      </x:c>
      <x:c r="O25" s="4" t="s">
        <x:v>235</x:v>
      </x:c>
      <x:c r="P25" s="4" t="s">
        <x:v>236</x:v>
      </x:c>
      <x:c r="Q25" s="4" t="s">
        <x:v>30</x:v>
      </x:c>
      <x:c r="R25" s="4" t="s">
        <x:v>237</x:v>
      </x:c>
      <x:c r="S25" s="4" t="str">
        <x:f t="shared" si="0"/>
        <x:v>24AA025E64T-I/OT</x:v>
      </x:c>
    </x:row>
    <x:row r="26" ht="13" hidden="1">
      <x:c r="A26" s="2" t="s">
        <x:v>238</x:v>
      </x:c>
      <x:c r="B26" s="3" t="s">
        <x:v>39</x:v>
      </x:c>
      <x:c r="C26" s="4" t="s">
        <x:v>239</x:v>
      </x:c>
      <x:c r="D26" s="4" t="s">
        <x:v>240</x:v>
      </x:c>
      <x:c r="E26" s="4" t="s">
        <x:v>241</x:v>
      </x:c>
      <x:c r="F26" s="4" t="s">
        <x:v>23</x:v>
      </x:c>
      <x:c r="G26" s="5" t="s">
        <x:v>242</x:v>
      </x:c>
      <x:c r="H26" s="5" t="s">
        <x:v>44</x:v>
      </x:c>
      <x:c r="I26" s="5" t="s">
        <x:v>243</x:v>
      </x:c>
      <x:c r="J26" s="3" t="s">
        <x:v>244</x:v>
      </x:c>
      <x:c r="K26" s="6">
        <x:v>0.17</x:v>
      </x:c>
      <x:c r="L26" s="3" t="s">
        <x:v>26</x:v>
      </x:c>
      <x:c r="M26" s="7"/>
      <x:c r="N26" s="4" t="s">
        <x:v>27</x:v>
      </x:c>
      <x:c r="O26" s="4" t="s">
        <x:v>245</x:v>
      </x:c>
      <x:c r="P26" s="4" t="s">
        <x:v>246</x:v>
      </x:c>
      <x:c r="Q26" s="4" t="s">
        <x:v>30</x:v>
      </x:c>
      <x:c r="R26" s="4" t="s">
        <x:v>247</x:v>
      </x:c>
      <x:c r="S26" s="4" t="str">
        <x:f t="shared" si="0"/>
        <x:v>B4B-PH-K-S</x:v>
      </x:c>
    </x:row>
    <x:row r="27" ht="26" hidden="1">
      <x:c r="A27" s="2" t="s">
        <x:v>248</x:v>
      </x:c>
      <x:c r="B27" s="3" t="s">
        <x:v>39</x:v>
      </x:c>
      <x:c r="C27" s="4" t="s">
        <x:v>249</x:v>
      </x:c>
      <x:c r="D27" s="4" t="s">
        <x:v>250</x:v>
      </x:c>
      <x:c r="E27" s="4" t="s">
        <x:v>251</x:v>
      </x:c>
      <x:c r="F27" s="4" t="s">
        <x:v>23</x:v>
      </x:c>
      <x:c r="G27" s="5" t="s">
        <x:v>252</x:v>
      </x:c>
      <x:c r="H27" s="5" t="s">
        <x:v>253</x:v>
      </x:c>
      <x:c r="I27" s="5" t="s">
        <x:v>254</x:v>
      </x:c>
      <x:c r="J27" s="3" t="s">
        <x:v>255</x:v>
      </x:c>
      <x:c r="K27" s="6">
        <x:v>5.88</x:v>
      </x:c>
      <x:c r="L27" s="3" t="s">
        <x:v>26</x:v>
      </x:c>
      <x:c r="M27" s="7">
        <x:v>10</x:v>
      </x:c>
      <x:c r="N27" s="4" t="s">
        <x:v>256</x:v>
      </x:c>
      <x:c r="O27" s="4" t="s">
        <x:v>257</x:v>
      </x:c>
      <x:c r="P27" s="4" t="s">
        <x:v>246</x:v>
      </x:c>
      <x:c r="Q27" s="4" t="s">
        <x:v>30</x:v>
      </x:c>
      <x:c r="R27" s="4" t="s">
        <x:v>258</x:v>
      </x:c>
      <x:c r="S27" s="4" t="str">
        <x:f t="shared" si="0"/>
        <x:v>SM04B-SRSS-TB</x:v>
      </x:c>
    </x:row>
    <x:row r="28" ht="26" hidden="1">
      <x:c r="A28" s="2" t="s">
        <x:v>259</x:v>
      </x:c>
      <x:c r="B28" s="3" t="s">
        <x:v>194</x:v>
      </x:c>
      <x:c r="C28" s="4" t="s">
        <x:v>260</x:v>
      </x:c>
      <x:c r="D28" s="4" t="s">
        <x:v>261</x:v>
      </x:c>
      <x:c r="E28" s="4" t="s">
        <x:v>262</x:v>
      </x:c>
      <x:c r="F28" s="4" t="s">
        <x:v>105</x:v>
      </x:c>
      <x:c r="G28" s="5" t="s">
        <x:v>261</x:v>
      </x:c>
      <x:c r="H28" s="5"/>
      <x:c r="I28" s="5"/>
      <x:c r="J28" s="3"/>
      <x:c r="K28" s="6"/>
      <x:c r="L28" s="3" t="s">
        <x:v>26</x:v>
      </x:c>
      <x:c r="M28" s="7"/>
      <x:c r="N28" s="4" t="s">
        <x:v>263</x:v>
      </x:c>
      <x:c r="O28" s="4" t="s">
        <x:v>264</x:v>
      </x:c>
      <x:c r="P28" s="4" t="s">
        <x:v>246</x:v>
      </x:c>
      <x:c r="Q28" s="4" t="s">
        <x:v>30</x:v>
      </x:c>
      <x:c r="R28" s="4" t="s">
        <x:v>265</x:v>
      </x:c>
      <x:c r="S28" s="4" t="str">
        <x:f t="shared" si="0"/>
        <x:v>ADS1115IDGS</x:v>
      </x:c>
    </x:row>
    <x:row r="29" ht="13" hidden="1">
      <x:c r="A29" s="2" t="s">
        <x:v>266</x:v>
      </x:c>
      <x:c r="B29" s="3" t="s">
        <x:v>71</x:v>
      </x:c>
      <x:c r="C29" s="4" t="s">
        <x:v>267</x:v>
      </x:c>
      <x:c r="D29" s="4" t="s">
        <x:v>268</x:v>
      </x:c>
      <x:c r="E29" s="4" t="s">
        <x:v>74</x:v>
      </x:c>
      <x:c r="F29" s="4" t="s">
        <x:v>75</x:v>
      </x:c>
      <x:c r="G29" s="5" t="s">
        <x:v>269</x:v>
      </x:c>
      <x:c r="H29" s="5" t="s">
        <x:v>44</x:v>
      </x:c>
      <x:c r="I29" s="5" t="s">
        <x:v>269</x:v>
      </x:c>
      <x:c r="J29" s="3" t="s">
        <x:v>270</x:v>
      </x:c>
      <x:c r="K29" s="6">
        <x:v>0.16</x:v>
      </x:c>
      <x:c r="L29" s="3" t="s">
        <x:v>26</x:v>
      </x:c>
      <x:c r="M29" s="7"/>
      <x:c r="N29" s="4" t="s">
        <x:v>271</x:v>
      </x:c>
      <x:c r="O29" s="4" t="s">
        <x:v>272</x:v>
      </x:c>
      <x:c r="P29" s="4" t="s">
        <x:v>246</x:v>
      </x:c>
      <x:c r="Q29" s="4" t="s">
        <x:v>30</x:v>
      </x:c>
      <x:c r="R29" s="4"/>
      <x:c r="S29" s="4" t="str">
        <x:f t="shared" si="0"/>
        <x:v>12065C105JAT2A</x:v>
      </x:c>
    </x:row>
    <x:row r="30" ht="13" hidden="1">
      <x:c r="A30" s="2" t="s">
        <x:v>273</x:v>
      </x:c>
      <x:c r="B30" s="3" t="s">
        <x:v>274</x:v>
      </x:c>
      <x:c r="C30" s="4" t="s">
        <x:v>275</x:v>
      </x:c>
      <x:c r="D30" s="4" t="s">
        <x:v>276</x:v>
      </x:c>
      <x:c r="E30" s="4" t="s">
        <x:v>138</x:v>
      </x:c>
      <x:c r="F30" s="4" t="s">
        <x:v>277</x:v>
      </x:c>
      <x:c r="G30" s="5" t="s">
        <x:v>276</x:v>
      </x:c>
      <x:c r="H30" s="5" t="s">
        <x:v>44</x:v>
      </x:c>
      <x:c r="I30" s="5" t="s">
        <x:v>278</x:v>
      </x:c>
      <x:c r="J30" s="3" t="s">
        <x:v>279</x:v>
      </x:c>
      <x:c r="K30" s="6">
        <x:v>0.04</x:v>
      </x:c>
      <x:c r="L30" s="3" t="s">
        <x:v>26</x:v>
      </x:c>
      <x:c r="M30" s="7"/>
      <x:c r="N30" s="4" t="s">
        <x:v>271</x:v>
      </x:c>
      <x:c r="O30" s="4" t="s">
        <x:v>280</x:v>
      </x:c>
      <x:c r="P30" s="4" t="s">
        <x:v>246</x:v>
      </x:c>
      <x:c r="Q30" s="4" t="s">
        <x:v>30</x:v>
      </x:c>
      <x:c r="R30" s="4" t="s">
        <x:v>281</x:v>
      </x:c>
      <x:c r="S30" s="4" t="str">
        <x:f t="shared" si="0"/>
        <x:v>BAT54S</x:v>
      </x:c>
    </x:row>
    <x:row r="31" ht="39" hidden="1">
      <x:c r="A31" s="2" t="s">
        <x:v>282</x:v>
      </x:c>
      <x:c r="B31" s="3" t="s">
        <x:v>39</x:v>
      </x:c>
      <x:c r="C31" s="4" t="s">
        <x:v>283</x:v>
      </x:c>
      <x:c r="D31" s="4" t="s">
        <x:v>284</x:v>
      </x:c>
      <x:c r="E31" s="4" t="s">
        <x:v>285</x:v>
      </x:c>
      <x:c r="F31" s="4"/>
      <x:c r="G31" s="5"/>
      <x:c r="H31" s="5"/>
      <x:c r="I31" s="5"/>
      <x:c r="J31" s="3"/>
      <x:c r="K31" s="6"/>
      <x:c r="L31" s="3" t="s">
        <x:v>26</x:v>
      </x:c>
      <x:c r="M31" s="7"/>
      <x:c r="N31" s="4" t="s">
        <x:v>286</x:v>
      </x:c>
      <x:c r="O31" s="4" t="s">
        <x:v>287</x:v>
      </x:c>
      <x:c r="P31" s="4" t="s">
        <x:v>246</x:v>
      </x:c>
      <x:c r="Q31" s="4" t="s">
        <x:v>288</x:v>
      </x:c>
      <x:c r="R31" s="4" t="s">
        <x:v>289</x:v>
      </x:c>
      <x:c r="S31" s="4" t="str">
        <x:f t="shared" si="0"/>
        <x:v>BUCHSENLEISTE 2X4, VERTIKAL|PINSOCKET_2X04_P2.54MM_VERTICAL / ENVNODE BOTTOM-VARIANTE</x:v>
      </x:c>
    </x:row>
    <x:row r="32" ht="39" hidden="1">
      <x:c r="A32" s="2" t="s">
        <x:v>290</x:v>
      </x:c>
      <x:c r="B32" s="3" t="s">
        <x:v>39</x:v>
      </x:c>
      <x:c r="C32" s="4" t="s">
        <x:v>291</x:v>
      </x:c>
      <x:c r="D32" s="4" t="s">
        <x:v>292</x:v>
      </x:c>
      <x:c r="E32" s="4" t="s">
        <x:v>293</x:v>
      </x:c>
      <x:c r="F32" s="4"/>
      <x:c r="G32" s="5"/>
      <x:c r="H32" s="5"/>
      <x:c r="I32" s="5"/>
      <x:c r="J32" s="3"/>
      <x:c r="K32" s="6"/>
      <x:c r="L32" s="3" t="s">
        <x:v>26</x:v>
      </x:c>
      <x:c r="M32" s="7"/>
      <x:c r="N32" s="4" t="s">
        <x:v>271</x:v>
      </x:c>
      <x:c r="O32" s="4" t="s">
        <x:v>294</x:v>
      </x:c>
      <x:c r="P32" s="4" t="s">
        <x:v>246</x:v>
      </x:c>
      <x:c r="Q32" s="4" t="s">
        <x:v>288</x:v>
      </x:c>
      <x:c r="R32" s="4"/>
      <x:c r="S32" s="4" t="str">
        <x:f t="shared" si="0"/>
        <x:v>BUCHSENLEISTE 1X2, VERTIKAL|CONNECTOR_PINSOCKET_2.54MM:PINSOCKET_1X02_P2.54MM_VERTICAL</x:v>
      </x:c>
    </x:row>
    <x:row r="33" ht="26" hidden="1">
      <x:c r="A33" s="2" t="s">
        <x:v>295</x:v>
      </x:c>
      <x:c r="B33" s="3" t="s">
        <x:v>59</x:v>
      </x:c>
      <x:c r="C33" s="4" t="s">
        <x:v>296</x:v>
      </x:c>
      <x:c r="D33" s="4" t="s">
        <x:v>297</x:v>
      </x:c>
      <x:c r="E33" s="4" t="s">
        <x:v>298</x:v>
      </x:c>
      <x:c r="F33" s="4" t="s">
        <x:v>299</x:v>
      </x:c>
      <x:c r="G33" s="5" t="s">
        <x:v>300</x:v>
      </x:c>
      <x:c r="H33" s="5" t="s">
        <x:v>44</x:v>
      </x:c>
      <x:c r="I33" s="5" t="s">
        <x:v>301</x:v>
      </x:c>
      <x:c r="J33" s="3" t="s">
        <x:v>302</x:v>
      </x:c>
      <x:c r="K33" s="6">
        <x:v>1.3</x:v>
      </x:c>
      <x:c r="L33" s="3" t="s">
        <x:v>26</x:v>
      </x:c>
      <x:c r="M33" s="7"/>
      <x:c r="N33" s="4" t="s">
        <x:v>271</x:v>
      </x:c>
      <x:c r="O33" s="4" t="s">
        <x:v>303</x:v>
      </x:c>
      <x:c r="P33" s="4" t="s">
        <x:v>246</x:v>
      </x:c>
      <x:c r="Q33" s="4" t="s">
        <x:v>30</x:v>
      </x:c>
      <x:c r="R33" s="4"/>
      <x:c r="S33" s="4" t="str">
        <x:f t="shared" si="0"/>
        <x:v>MRA0207 150R B 15PPM TA</x:v>
      </x:c>
    </x:row>
    <x:row r="34" ht="13" hidden="1">
      <x:c r="A34" s="2" t="s">
        <x:v>304</x:v>
      </x:c>
      <x:c r="B34" s="3" t="s">
        <x:v>274</x:v>
      </x:c>
      <x:c r="C34" s="4" t="s">
        <x:v>305</x:v>
      </x:c>
      <x:c r="D34" s="4" t="s">
        <x:v>306</x:v>
      </x:c>
      <x:c r="E34" s="4" t="s">
        <x:v>307</x:v>
      </x:c>
      <x:c r="F34" s="4" t="s">
        <x:v>277</x:v>
      </x:c>
      <x:c r="G34" s="5" t="s">
        <x:v>306</x:v>
      </x:c>
      <x:c r="H34" s="5" t="s">
        <x:v>44</x:v>
      </x:c>
      <x:c r="I34" s="5" t="s">
        <x:v>308</x:v>
      </x:c>
      <x:c r="J34" s="3" t="s">
        <x:v>309</x:v>
      </x:c>
      <x:c r="K34" s="6">
        <x:v>0.02</x:v>
      </x:c>
      <x:c r="L34" s="3" t="s">
        <x:v>26</x:v>
      </x:c>
      <x:c r="M34" s="7"/>
      <x:c r="N34" s="4" t="s">
        <x:v>226</x:v>
      </x:c>
      <x:c r="O34" s="4" t="s">
        <x:v>310</x:v>
      </x:c>
      <x:c r="P34" s="4" t="s">
        <x:v>246</x:v>
      </x:c>
      <x:c r="Q34" s="4" t="s">
        <x:v>30</x:v>
      </x:c>
      <x:c r="R34" s="4"/>
      <x:c r="S34" s="4" t="str">
        <x:f t="shared" ref="S34:S54" si="1">IF(G34&lt;&gt;"",UPPER(TRIM(G34)),UPPER(TRIM(C34&amp;"|"&amp;E34)))</x:f>
        <x:v>1N4148W</x:v>
      </x:c>
    </x:row>
    <x:row r="35" ht="52" hidden="1">
      <x:c r="A35" s="2" t="s">
        <x:v>311</x:v>
      </x:c>
      <x:c r="B35" s="3" t="s">
        <x:v>39</x:v>
      </x:c>
      <x:c r="C35" s="4" t="s">
        <x:v>312</x:v>
      </x:c>
      <x:c r="D35" s="4" t="s">
        <x:v>313</x:v>
      </x:c>
      <x:c r="E35" s="4" t="s">
        <x:v>314</x:v>
      </x:c>
      <x:c r="F35" s="4" t="s">
        <x:v>315</x:v>
      </x:c>
      <x:c r="G35" s="5"/>
      <x:c r="H35" s="5"/>
      <x:c r="I35" s="5"/>
      <x:c r="J35" s="3"/>
      <x:c r="K35" s="6"/>
      <x:c r="L35" s="3" t="s">
        <x:v>26</x:v>
      </x:c>
      <x:c r="M35" s="7"/>
      <x:c r="N35" s="4" t="s">
        <x:v>226</x:v>
      </x:c>
      <x:c r="O35" s="4" t="s">
        <x:v>316</x:v>
      </x:c>
      <x:c r="P35" s="4" t="s">
        <x:v>246</x:v>
      </x:c>
      <x:c r="Q35" s="4" t="s">
        <x:v>30</x:v>
      </x:c>
      <x:c r="R35" s="4" t="s">
        <x:v>317</x:v>
      </x:c>
      <x:c r="S35" s="4" t="str">
        <x:f t="shared" si="1"/>
        <x:v>SCHRAUBKLEMME 1X3, HORIZONTAL|TERMINALBLOCK_PHOENIX:TERMINALBLOCK_PHOENIX_MKDS-3-3-5.08_1X03_P5.08MM_HORIZONTAL</x:v>
      </x:c>
    </x:row>
    <x:row r="36" ht="13" hidden="1">
      <x:c r="A36" s="2" t="s">
        <x:v>318</x:v>
      </x:c>
      <x:c r="B36" s="3" t="s">
        <x:v>319</x:v>
      </x:c>
      <x:c r="C36" s="4" t="s">
        <x:v>320</x:v>
      </x:c>
      <x:c r="D36" s="4" t="s">
        <x:v>321</x:v>
      </x:c>
      <x:c r="E36" s="4" t="s">
        <x:v>322</x:v>
      </x:c>
      <x:c r="F36" s="4" t="s">
        <x:v>277</x:v>
      </x:c>
      <x:c r="G36" s="5" t="s">
        <x:v>321</x:v>
      </x:c>
      <x:c r="H36" s="5" t="s">
        <x:v>44</x:v>
      </x:c>
      <x:c r="I36" s="5" t="s">
        <x:v>323</x:v>
      </x:c>
      <x:c r="J36" s="3" t="s">
        <x:v>324</x:v>
      </x:c>
      <x:c r="K36" s="6">
        <x:v>0.02</x:v>
      </x:c>
      <x:c r="L36" s="3" t="s">
        <x:v>26</x:v>
      </x:c>
      <x:c r="M36" s="7"/>
      <x:c r="N36" s="4" t="s">
        <x:v>226</x:v>
      </x:c>
      <x:c r="O36" s="4" t="s">
        <x:v>325</x:v>
      </x:c>
      <x:c r="P36" s="4" t="s">
        <x:v>246</x:v>
      </x:c>
      <x:c r="Q36" s="4" t="s">
        <x:v>30</x:v>
      </x:c>
      <x:c r="R36" s="4"/>
      <x:c r="S36" s="4" t="str">
        <x:f t="shared" si="1"/>
        <x:v>BC817</x:v>
      </x:c>
    </x:row>
    <x:row r="37" ht="13" hidden="1">
      <x:c r="A37" s="2" t="s">
        <x:v>326</x:v>
      </x:c>
      <x:c r="B37" s="3" t="s">
        <x:v>59</x:v>
      </x:c>
      <x:c r="C37" s="4" t="s">
        <x:v>327</x:v>
      </x:c>
      <x:c r="D37" s="4" t="s">
        <x:v>328</x:v>
      </x:c>
      <x:c r="E37" s="4" t="s">
        <x:v>62</x:v>
      </x:c>
      <x:c r="F37" s="4" t="s">
        <x:v>63</x:v>
      </x:c>
      <x:c r="G37" s="5" t="s">
        <x:v>329</x:v>
      </x:c>
      <x:c r="H37" s="5" t="s">
        <x:v>44</x:v>
      </x:c>
      <x:c r="I37" s="5" t="s">
        <x:v>330</x:v>
      </x:c>
      <x:c r="J37" s="3" t="s">
        <x:v>331</x:v>
      </x:c>
      <x:c r="K37" s="6">
        <x:v>0.14000000000000001</x:v>
      </x:c>
      <x:c r="L37" s="3" t="s">
        <x:v>26</x:v>
      </x:c>
      <x:c r="M37" s="7"/>
      <x:c r="N37" s="4" t="s">
        <x:v>226</x:v>
      </x:c>
      <x:c r="O37" s="4" t="s">
        <x:v>332</x:v>
      </x:c>
      <x:c r="P37" s="4" t="s">
        <x:v>246</x:v>
      </x:c>
      <x:c r="Q37" s="4" t="s">
        <x:v>30</x:v>
      </x:c>
      <x:c r="R37" s="4"/>
      <x:c r="S37" s="4" t="str">
        <x:f t="shared" si="1"/>
        <x:v>CRCW12061K00FKEA</x:v>
      </x:c>
    </x:row>
    <x:row r="38" ht="32" hidden="1">
      <x:c r="A38" s="2" t="s">
        <x:v>333</x:v>
      </x:c>
      <x:c r="B38" s="3" t="s">
        <x:v>71</x:v>
      </x:c>
      <x:c r="C38" s="4" t="s">
        <x:v>334</x:v>
      </x:c>
      <x:c r="D38" s="4" t="s">
        <x:v>335</x:v>
      </x:c>
      <x:c r="E38" s="4" t="s">
        <x:v>336</x:v>
      </x:c>
      <x:c r="F38" s="4" t="s">
        <x:v>337</x:v>
      </x:c>
      <x:c r="G38" s="5" t="s">
        <x:v>338</x:v>
      </x:c>
      <x:c r="H38" s="5" t="s">
        <x:v>44</x:v>
      </x:c>
      <x:c r="I38" s="5" t="s">
        <x:v>339</x:v>
      </x:c>
      <x:c r="J38" s="18" t="s">
        <x:v>340</x:v>
      </x:c>
      <x:c r="K38" s="6">
        <x:v>0.61</x:v>
      </x:c>
      <x:c r="L38" s="3" t="s">
        <x:v>26</x:v>
      </x:c>
      <x:c r="M38" s="7"/>
      <x:c r="N38" s="4" t="s">
        <x:v>341</x:v>
      </x:c>
      <x:c r="O38" s="4" t="s">
        <x:v>342</x:v>
      </x:c>
      <x:c r="P38" s="4" t="s">
        <x:v>246</x:v>
      </x:c>
      <x:c r="Q38" s="4" t="s">
        <x:v>30</x:v>
      </x:c>
      <x:c r="S38" s="4" t="str">
        <x:f t="shared" si="1"/>
        <x:v>HHXC500ARA470MHA0G</x:v>
      </x:c>
    </x:row>
    <x:row r="39" ht="13" hidden="1">
      <x:c r="A39" s="2" t="s">
        <x:v>343</x:v>
      </x:c>
      <x:c r="B39" s="3" t="s">
        <x:v>274</x:v>
      </x:c>
      <x:c r="C39" s="4" t="s">
        <x:v>344</x:v>
      </x:c>
      <x:c r="D39" s="4" t="s">
        <x:v>345</x:v>
      </x:c>
      <x:c r="E39" s="4" t="s">
        <x:v>346</x:v>
      </x:c>
      <x:c r="F39" s="4" t="s">
        <x:v>347</x:v>
      </x:c>
      <x:c r="G39" s="5" t="s">
        <x:v>348</x:v>
      </x:c>
      <x:c r="H39" s="5" t="s">
        <x:v>44</x:v>
      </x:c>
      <x:c r="I39" s="5" t="s">
        <x:v>349</x:v>
      </x:c>
      <x:c r="J39" s="3" t="s">
        <x:v>350</x:v>
      </x:c>
      <x:c r="K39" s="6">
        <x:v>0.25</x:v>
      </x:c>
      <x:c r="L39" s="3" t="s">
        <x:v>26</x:v>
      </x:c>
      <x:c r="M39" s="7"/>
      <x:c r="N39" s="4" t="s">
        <x:v>341</x:v>
      </x:c>
      <x:c r="O39" s="4" t="s">
        <x:v>351</x:v>
      </x:c>
      <x:c r="P39" s="4" t="s">
        <x:v>246</x:v>
      </x:c>
      <x:c r="Q39" s="4" t="s">
        <x:v>30</x:v>
      </x:c>
      <x:c r="R39" s="4"/>
      <x:c r="S39" s="4" t="str">
        <x:f t="shared" si="1"/>
        <x:v>STPS3L60S</x:v>
      </x:c>
    </x:row>
    <x:row r="40" ht="13" hidden="1">
      <x:c r="A40" s="2" t="s">
        <x:v>352</x:v>
      </x:c>
      <x:c r="B40" s="3" t="s">
        <x:v>353</x:v>
      </x:c>
      <x:c r="C40" s="4" t="s">
        <x:v>354</x:v>
      </x:c>
      <x:c r="D40" s="4" t="s">
        <x:v>355</x:v>
      </x:c>
      <x:c r="E40" s="4" t="s">
        <x:v>346</x:v>
      </x:c>
      <x:c r="F40" s="4" t="s">
        <x:v>356</x:v>
      </x:c>
      <x:c r="G40" s="5" t="s">
        <x:v>357</x:v>
      </x:c>
      <x:c r="H40" s="5" t="s">
        <x:v>44</x:v>
      </x:c>
      <x:c r="I40" s="5" t="s">
        <x:v>358</x:v>
      </x:c>
      <x:c r="J40" s="3" t="s">
        <x:v>359</x:v>
      </x:c>
      <x:c r="K40" s="6">
        <x:v>0.3</x:v>
      </x:c>
      <x:c r="L40" s="3" t="s">
        <x:v>26</x:v>
      </x:c>
      <x:c r="M40" s="7"/>
      <x:c r="N40" s="4" t="s">
        <x:v>341</x:v>
      </x:c>
      <x:c r="O40" s="4" t="s">
        <x:v>360</x:v>
      </x:c>
      <x:c r="P40" s="4" t="s">
        <x:v>246</x:v>
      </x:c>
      <x:c r="Q40" s="4" t="s">
        <x:v>30</x:v>
      </x:c>
      <x:c r="R40" s="4"/>
      <x:c r="S40" s="4" t="str">
        <x:f t="shared" si="1"/>
        <x:v>SMBJ24A</x:v>
      </x:c>
    </x:row>
    <x:row r="41" ht="26" hidden="1">
      <x:c r="A41" s="2" t="s">
        <x:v>361</x:v>
      </x:c>
      <x:c r="B41" s="3" t="s">
        <x:v>362</x:v>
      </x:c>
      <x:c r="C41" s="4" t="s">
        <x:v>363</x:v>
      </x:c>
      <x:c r="D41" s="4" t="s">
        <x:v>364</x:v>
      </x:c>
      <x:c r="E41" s="4" t="s">
        <x:v>365</x:v>
      </x:c>
      <x:c r="F41" s="4" t="s">
        <x:v>356</x:v>
      </x:c>
      <x:c r="G41" s="5"/>
      <x:c r="H41" s="5"/>
      <x:c r="I41" s="5"/>
      <x:c r="J41" s="3"/>
      <x:c r="K41" s="6"/>
      <x:c r="L41" s="3" t="s">
        <x:v>26</x:v>
      </x:c>
      <x:c r="M41" s="7"/>
      <x:c r="N41" s="4" t="s">
        <x:v>341</x:v>
      </x:c>
      <x:c r="O41" s="4" t="s">
        <x:v>366</x:v>
      </x:c>
      <x:c r="P41" s="4" t="s">
        <x:v>246</x:v>
      </x:c>
      <x:c r="Q41" s="4" t="s">
        <x:v>288</x:v>
      </x:c>
      <x:c r="R41" s="4" t="s">
        <x:v>367</x:v>
      </x:c>
      <x:c r="S41" s="4" t="str">
        <x:f t="shared" si="1"/>
        <x:v>SICHERUNG 2 A|FUSE:FUSE_LITTELFUSE-NANO2-451_453</x:v>
      </x:c>
    </x:row>
    <x:row r="42" ht="26" hidden="1">
      <x:c r="A42" s="2" t="s">
        <x:v>368</x:v>
      </x:c>
      <x:c r="B42" s="3" t="s">
        <x:v>39</x:v>
      </x:c>
      <x:c r="C42" s="4" t="s">
        <x:v>369</x:v>
      </x:c>
      <x:c r="D42" s="4" t="s">
        <x:v>370</x:v>
      </x:c>
      <x:c r="E42" s="4" t="s">
        <x:v>371</x:v>
      </x:c>
      <x:c r="F42" s="4" t="s">
        <x:v>372</x:v>
      </x:c>
      <x:c r="G42" s="5" t="s">
        <x:v>373</x:v>
      </x:c>
      <x:c r="H42" s="5"/>
      <x:c r="I42" s="5"/>
      <x:c r="J42" s="3"/>
      <x:c r="K42" s="6"/>
      <x:c r="L42" s="3" t="s">
        <x:v>26</x:v>
      </x:c>
      <x:c r="M42" s="7"/>
      <x:c r="N42" s="4" t="s">
        <x:v>341</x:v>
      </x:c>
      <x:c r="O42" s="4" t="s">
        <x:v>374</x:v>
      </x:c>
      <x:c r="P42" s="4" t="s">
        <x:v>246</x:v>
      </x:c>
      <x:c r="Q42" s="4" t="s">
        <x:v>288</x:v>
      </x:c>
      <x:c r="R42" s="4"/>
      <x:c r="S42" s="4" t="str">
        <x:f t="shared" si="1"/>
        <x:v>205-00001</x:v>
      </x:c>
    </x:row>
    <x:row r="43" ht="13" hidden="1">
      <x:c r="A43" s="2" t="s">
        <x:v>375</x:v>
      </x:c>
      <x:c r="B43" s="3" t="s">
        <x:v>376</x:v>
      </x:c>
      <x:c r="C43" s="4" t="s">
        <x:v>377</x:v>
      </x:c>
      <x:c r="D43" s="4" t="s">
        <x:v>378</x:v>
      </x:c>
      <x:c r="E43" s="4" t="s">
        <x:v>379</x:v>
      </x:c>
      <x:c r="F43" s="4" t="s">
        <x:v>380</x:v>
      </x:c>
      <x:c r="G43" s="5" t="s">
        <x:v>378</x:v>
      </x:c>
      <x:c r="H43" s="5" t="s">
        <x:v>44</x:v>
      </x:c>
      <x:c r="I43" s="5" t="s">
        <x:v>378</x:v>
      </x:c>
      <x:c r="J43" s="3" t="s">
        <x:v>381</x:v>
      </x:c>
      <x:c r="K43" s="6">
        <x:v>6.85</x:v>
      </x:c>
      <x:c r="L43" s="3" t="s">
        <x:v>26</x:v>
      </x:c>
      <x:c r="M43" s="7"/>
      <x:c r="N43" s="4" t="s">
        <x:v>341</x:v>
      </x:c>
      <x:c r="O43" s="4" t="s">
        <x:v>382</x:v>
      </x:c>
      <x:c r="P43" s="4" t="s">
        <x:v>246</x:v>
      </x:c>
      <x:c r="Q43" s="4" t="s">
        <x:v>30</x:v>
      </x:c>
      <x:c r="R43" s="4"/>
      <x:c r="S43" s="4" t="str">
        <x:f t="shared" si="1"/>
        <x:v>TSR 1-2450</x:v>
      </x:c>
    </x:row>
    <x:row r="44" ht="13" hidden="1">
      <x:c r="A44" s="2" t="s">
        <x:v>383</x:v>
      </x:c>
      <x:c r="B44" s="3" t="s">
        <x:v>376</x:v>
      </x:c>
      <x:c r="C44" s="4" t="s">
        <x:v>384</x:v>
      </x:c>
      <x:c r="D44" s="4" t="s">
        <x:v>385</x:v>
      </x:c>
      <x:c r="E44" s="4" t="s">
        <x:v>379</x:v>
      </x:c>
      <x:c r="F44" s="4" t="s">
        <x:v>380</x:v>
      </x:c>
      <x:c r="G44" s="5" t="s">
        <x:v>385</x:v>
      </x:c>
      <x:c r="H44" s="5" t="s">
        <x:v>44</x:v>
      </x:c>
      <x:c r="I44" s="5" t="s">
        <x:v>385</x:v>
      </x:c>
      <x:c r="J44" s="3" t="s">
        <x:v>386</x:v>
      </x:c>
      <x:c r="K44" s="6">
        <x:v>6.85</x:v>
      </x:c>
      <x:c r="L44" s="3" t="s">
        <x:v>26</x:v>
      </x:c>
      <x:c r="M44" s="7"/>
      <x:c r="N44" s="4" t="s">
        <x:v>341</x:v>
      </x:c>
      <x:c r="O44" s="4" t="s">
        <x:v>387</x:v>
      </x:c>
      <x:c r="P44" s="4" t="s">
        <x:v>246</x:v>
      </x:c>
      <x:c r="Q44" s="4" t="s">
        <x:v>30</x:v>
      </x:c>
      <x:c r="R44" s="4" t="s">
        <x:v>388</x:v>
      </x:c>
      <x:c r="S44" s="4" t="str">
        <x:f t="shared" si="1"/>
        <x:v>TSR 1-2433</x:v>
      </x:c>
    </x:row>
    <x:row r="45" ht="13" hidden="1">
      <x:c r="A45" s="2" t="s">
        <x:v>389</x:v>
      </x:c>
      <x:c r="B45" s="3" t="s">
        <x:v>71</x:v>
      </x:c>
      <x:c r="C45" s="4" t="s">
        <x:v>390</x:v>
      </x:c>
      <x:c r="D45" s="4" t="s">
        <x:v>391</x:v>
      </x:c>
      <x:c r="E45" s="4" t="s">
        <x:v>74</x:v>
      </x:c>
      <x:c r="F45" s="4" t="s">
        <x:v>75</x:v>
      </x:c>
      <x:c r="G45" s="5" t="s">
        <x:v>392</x:v>
      </x:c>
      <x:c r="H45" s="5" t="s">
        <x:v>44</x:v>
      </x:c>
      <x:c r="I45" s="5" t="s">
        <x:v>392</x:v>
      </x:c>
      <x:c r="J45" s="3" t="s">
        <x:v>393</x:v>
      </x:c>
      <x:c r="K45" s="6">
        <x:v>0.12</x:v>
      </x:c>
      <x:c r="L45" s="3" t="s">
        <x:v>26</x:v>
      </x:c>
      <x:c r="M45" s="7"/>
      <x:c r="N45" s="4" t="s">
        <x:v>394</x:v>
      </x:c>
      <x:c r="O45" s="4" t="s">
        <x:v>395</x:v>
      </x:c>
      <x:c r="P45" s="4" t="s">
        <x:v>246</x:v>
      </x:c>
      <x:c r="Q45" s="4" t="s">
        <x:v>30</x:v>
      </x:c>
      <x:c r="R45" s="4"/>
      <x:c r="S45" s="4" t="str">
        <x:f t="shared" si="1"/>
        <x:v>12061C103JAT2A</x:v>
      </x:c>
    </x:row>
    <x:row r="46" ht="26" hidden="1">
      <x:c r="A46" s="2" t="s">
        <x:v>396</x:v>
      </x:c>
      <x:c r="B46" s="3" t="s">
        <x:v>59</x:v>
      </x:c>
      <x:c r="C46" s="4" t="s">
        <x:v>397</x:v>
      </x:c>
      <x:c r="D46" s="4" t="s">
        <x:v>398</x:v>
      </x:c>
      <x:c r="E46" s="4" t="s">
        <x:v>298</x:v>
      </x:c>
      <x:c r="F46" s="4" t="s">
        <x:v>399</x:v>
      </x:c>
      <x:c r="G46" s="5" t="s">
        <x:v>400</x:v>
      </x:c>
      <x:c r="H46" s="5" t="s">
        <x:v>44</x:v>
      </x:c>
      <x:c r="I46" s="5" t="s">
        <x:v>401</x:v>
      </x:c>
      <x:c r="J46" s="3" t="s">
        <x:v>402</x:v>
      </x:c>
      <x:c r="K46" s="6">
        <x:v>0.08</x:v>
      </x:c>
      <x:c r="L46" s="3" t="s">
        <x:v>26</x:v>
      </x:c>
      <x:c r="M46" s="7"/>
      <x:c r="N46" s="4" t="s">
        <x:v>394</x:v>
      </x:c>
      <x:c r="O46" s="4" t="s">
        <x:v>403</x:v>
      </x:c>
      <x:c r="P46" s="4" t="s">
        <x:v>246</x:v>
      </x:c>
      <x:c r="Q46" s="4" t="s">
        <x:v>30</x:v>
      </x:c>
      <x:c r="R46" s="4"/>
      <x:c r="S46" s="4" t="str">
        <x:f t="shared" si="1"/>
        <x:v>MF0207FTE52-2R</x:v>
      </x:c>
    </x:row>
    <x:row r="47" ht="13">
      <x:c r="A47" s="2" t="s">
        <x:v>404</x:v>
      </x:c>
      <x:c r="B47" s="3" t="s">
        <x:v>405</x:v>
      </x:c>
      <x:c r="C47" s="4" t="s">
        <x:v>406</x:v>
      </x:c>
      <x:c r="D47" s="4" t="s">
        <x:v>407</x:v>
      </x:c>
      <x:c r="E47" s="4" t="s">
        <x:v>408</x:v>
      </x:c>
      <x:c r="F47" s="4"/>
      <x:c r="G47" s="5" t="s">
        <x:v>407</x:v>
      </x:c>
      <x:c r="H47" s="5"/>
      <x:c r="I47" s="5"/>
      <x:c r="J47" s="3"/>
      <x:c r="K47" s="6"/>
      <x:c r="L47" s="3" t="s">
        <x:v>26</x:v>
      </x:c>
      <x:c r="M47" s="7"/>
      <x:c r="N47" s="4" t="s">
        <x:v>394</x:v>
      </x:c>
      <x:c r="O47" s="4" t="s">
        <x:v>409</x:v>
      </x:c>
      <x:c r="P47" s="4" t="s">
        <x:v>246</x:v>
      </x:c>
      <x:c r="Q47" s="4" t="s">
        <x:v>410</x:v>
      </x:c>
      <x:c r="R47" s="4"/>
      <x:c r="S47" s="4" t="str">
        <x:f t="shared" si="1"/>
        <x:v>KXOB25-14X1F-TB</x:v>
      </x:c>
    </x:row>
    <x:row r="48" ht="13">
      <x:c r="A48" s="2" t="s">
        <x:v>411</x:v>
      </x:c>
      <x:c r="B48" s="3" t="s">
        <x:v>412</x:v>
      </x:c>
      <x:c r="C48" s="4" t="s">
        <x:v>413</x:v>
      </x:c>
      <x:c r="D48" s="4" t="s">
        <x:v>414</x:v>
      </x:c>
      <x:c r="E48" s="4" t="s">
        <x:v>231</x:v>
      </x:c>
      <x:c r="F48" s="4" t="s">
        <x:v>105</x:v>
      </x:c>
      <x:c r="G48" s="5" t="s">
        <x:v>414</x:v>
      </x:c>
      <x:c r="H48" s="5"/>
      <x:c r="I48" s="5"/>
      <x:c r="J48" s="3"/>
      <x:c r="K48" s="6"/>
      <x:c r="L48" s="3" t="s">
        <x:v>26</x:v>
      </x:c>
      <x:c r="M48" s="7"/>
      <x:c r="N48" s="4" t="s">
        <x:v>394</x:v>
      </x:c>
      <x:c r="O48" s="4" t="s">
        <x:v>415</x:v>
      </x:c>
      <x:c r="P48" s="4" t="s">
        <x:v>246</x:v>
      </x:c>
      <x:c r="Q48" s="4" t="s">
        <x:v>410</x:v>
      </x:c>
      <x:c r="R48" s="4" t="s">
        <x:v>416</x:v>
      </x:c>
      <x:c r="S48" s="4" t="str">
        <x:f t="shared" si="1"/>
        <x:v>TMP100</x:v>
      </x:c>
    </x:row>
    <x:row r="49" ht="26">
      <x:c r="A49" s="2" t="s">
        <x:v>417</x:v>
      </x:c>
      <x:c r="B49" s="3" t="s">
        <x:v>120</x:v>
      </x:c>
      <x:c r="C49" s="4" t="s">
        <x:v>418</x:v>
      </x:c>
      <x:c r="D49" s="4" t="s">
        <x:v>419</x:v>
      </x:c>
      <x:c r="E49" s="4" t="s">
        <x:v>420</x:v>
      </x:c>
      <x:c r="F49" s="4"/>
      <x:c r="G49" s="5"/>
      <x:c r="H49" s="5" t="s">
        <x:v>123</x:v>
      </x:c>
      <x:c r="I49" s="5"/>
      <x:c r="J49" s="3"/>
      <x:c r="K49" s="6"/>
      <x:c r="L49" s="3" t="s">
        <x:v>26</x:v>
      </x:c>
      <x:c r="M49" s="7"/>
      <x:c r="N49" s="4" t="s">
        <x:v>27</x:v>
      </x:c>
      <x:c r="O49" s="4"/>
      <x:c r="P49" s="4" t="s">
        <x:v>246</x:v>
      </x:c>
      <x:c r="Q49" s="4" t="s">
        <x:v>410</x:v>
      </x:c>
      <x:c r="R49" s="4" t="s">
        <x:v>421</x:v>
      </x:c>
      <x:c r="S49" s="4" t="str">
        <x:f t="shared" si="1"/>
        <x:v>ENVNODE MAINBOARD PCB|PCB: ENVNODE.KICAD_PCB</x:v>
      </x:c>
    </x:row>
    <x:row r="50" ht="13" hidden="1">
      <x:c r="A50" s="2" t="s">
        <x:v>422</x:v>
      </x:c>
      <x:c r="B50" s="3" t="s">
        <x:v>120</x:v>
      </x:c>
      <x:c r="C50" s="4" t="s">
        <x:v>423</x:v>
      </x:c>
      <x:c r="D50" s="4" t="s">
        <x:v>122</x:v>
      </x:c>
      <x:c r="E50" s="4" t="s">
        <x:v>424</x:v>
      </x:c>
      <x:c r="F50" s="4"/>
      <x:c r="G50" s="5"/>
      <x:c r="H50" s="5"/>
      <x:c r="I50" s="5"/>
      <x:c r="J50" s="3"/>
      <x:c r="K50" s="6"/>
      <x:c r="L50" s="3" t="s">
        <x:v>26</x:v>
      </x:c>
      <x:c r="M50" s="7"/>
      <x:c r="N50" s="4" t="s">
        <x:v>341</x:v>
      </x:c>
      <x:c r="O50" s="4"/>
      <x:c r="P50" s="4" t="s">
        <x:v>246</x:v>
      </x:c>
      <x:c r="Q50" s="4" t="s">
        <x:v>288</x:v>
      </x:c>
      <x:c r="R50" s="4" t="s">
        <x:v>425</x:v>
      </x:c>
      <x:c r="S50" s="4" t="str">
        <x:f t="shared" si="1"/>
        <x:v>ENVNODE MINI PCB|PCB: ENVNODEMINI.KICAD_PCB</x:v>
      </x:c>
    </x:row>
    <x:row r="51" ht="26" hidden="1">
      <x:c r="A51" s="2" t="s">
        <x:v>426</x:v>
      </x:c>
      <x:c r="B51" s="3" t="s">
        <x:v>120</x:v>
      </x:c>
      <x:c r="C51" s="4" t="s">
        <x:v>427</x:v>
      </x:c>
      <x:c r="D51" s="4" t="s">
        <x:v>122</x:v>
      </x:c>
      <x:c r="E51" s="4" t="s">
        <x:v>428</x:v>
      </x:c>
      <x:c r="F51" s="4"/>
      <x:c r="G51" s="5"/>
      <x:c r="H51" s="5"/>
      <x:c r="I51" s="5"/>
      <x:c r="J51" s="3"/>
      <x:c r="K51" s="6"/>
      <x:c r="L51" s="3" t="s">
        <x:v>26</x:v>
      </x:c>
      <x:c r="M51" s="7"/>
      <x:c r="N51" s="4" t="s">
        <x:v>429</x:v>
      </x:c>
      <x:c r="O51" s="4"/>
      <x:c r="P51" s="4" t="s">
        <x:v>246</x:v>
      </x:c>
      <x:c r="Q51" s="4" t="s">
        <x:v>288</x:v>
      </x:c>
      <x:c r="R51" s="4" t="s">
        <x:v>430</x:v>
      </x:c>
      <x:c r="S51" s="4" t="str">
        <x:f t="shared" si="1"/>
        <x:v>ANALOGINPUT HALFSIZE PCB|PCB: ANALOGINPUT.KICAD_PCB</x:v>
      </x:c>
    </x:row>
    <x:row r="52" ht="26" hidden="1">
      <x:c r="A52" s="2" t="s">
        <x:v>431</x:v>
      </x:c>
      <x:c r="B52" s="3" t="s">
        <x:v>120</x:v>
      </x:c>
      <x:c r="C52" s="4" t="s">
        <x:v>432</x:v>
      </x:c>
      <x:c r="D52" s="4" t="s">
        <x:v>122</x:v>
      </x:c>
      <x:c r="E52" s="4" t="s">
        <x:v>433</x:v>
      </x:c>
      <x:c r="F52" s="4"/>
      <x:c r="G52" s="5"/>
      <x:c r="H52" s="5"/>
      <x:c r="I52" s="5"/>
      <x:c r="J52" s="3"/>
      <x:c r="K52" s="6"/>
      <x:c r="L52" s="3" t="s">
        <x:v>26</x:v>
      </x:c>
      <x:c r="M52" s="7"/>
      <x:c r="N52" s="4" t="s">
        <x:v>434</x:v>
      </x:c>
      <x:c r="O52" s="4"/>
      <x:c r="P52" s="4" t="s">
        <x:v>246</x:v>
      </x:c>
      <x:c r="Q52" s="4" t="s">
        <x:v>288</x:v>
      </x:c>
      <x:c r="R52" s="4" t="s">
        <x:v>435</x:v>
      </x:c>
      <x:c r="S52" s="4" t="str">
        <x:f t="shared" si="1"/>
        <x:v>DUORELAY FULLSIZE PCB REV 0.1|PCB: DUORELAY.KICAD_PCB</x:v>
      </x:c>
    </x:row>
    <x:row r="53" ht="26" hidden="1">
      <x:c r="A53" s="2" t="s">
        <x:v>436</x:v>
      </x:c>
      <x:c r="B53" s="3" t="s">
        <x:v>120</x:v>
      </x:c>
      <x:c r="C53" s="4" t="s">
        <x:v>437</x:v>
      </x:c>
      <x:c r="D53" s="4" t="s">
        <x:v>122</x:v>
      </x:c>
      <x:c r="E53" s="4" t="s">
        <x:v>438</x:v>
      </x:c>
      <x:c r="F53" s="4"/>
      <x:c r="G53" s="5"/>
      <x:c r="H53" s="5"/>
      <x:c r="I53" s="5"/>
      <x:c r="J53" s="3"/>
      <x:c r="K53" s="6"/>
      <x:c r="L53" s="3" t="s">
        <x:v>26</x:v>
      </x:c>
      <x:c r="M53" s="7"/>
      <x:c r="N53" s="4" t="s">
        <x:v>394</x:v>
      </x:c>
      <x:c r="O53" s="4"/>
      <x:c r="P53" s="4" t="s">
        <x:v>246</x:v>
      </x:c>
      <x:c r="Q53" s="4" t="s">
        <x:v>30</x:v>
      </x:c>
      <x:c r="R53" s="4" t="s">
        <x:v>430</x:v>
      </x:c>
      <x:c r="S53" s="4" t="str">
        <x:f t="shared" si="1"/>
        <x:v>SOLARRADIATION PCB|PCB: SOLARRADIATION.KICAD_PCB</x:v>
      </x:c>
    </x:row>
    <x:row r="54" ht="13" hidden="1">
      <x:c r="A54" s="8" t="s">
        <x:v>439</x:v>
      </x:c>
      <x:c r="B54" s="9" t="s">
        <x:v>120</x:v>
      </x:c>
      <x:c r="C54" s="10" t="s">
        <x:v>440</x:v>
      </x:c>
      <x:c r="D54" s="10" t="s">
        <x:v>441</x:v>
      </x:c>
      <x:c r="E54" s="10" t="s">
        <x:v>442</x:v>
      </x:c>
      <x:c r="F54" s="10"/>
      <x:c r="G54" s="11"/>
      <x:c r="H54" s="11"/>
      <x:c r="I54" s="11"/>
      <x:c r="J54" s="9"/>
      <x:c r="K54" s="12">
        <x:v>1.73</x:v>
      </x:c>
      <x:c r="L54" s="9" t="s">
        <x:v>26</x:v>
      </x:c>
      <x:c r="M54" s="13"/>
      <x:c r="N54" s="10" t="s">
        <x:v>142</x:v>
      </x:c>
      <x:c r="O54" s="10"/>
      <x:c r="P54" s="10" t="s">
        <x:v>246</x:v>
      </x:c>
      <x:c r="Q54" s="10" t="s">
        <x:v>30</x:v>
      </x:c>
      <x:c r="R54" s="10" t="s">
        <x:v>430</x:v>
      </x:c>
      <x:c r="S54" s="10" t="str">
        <x:f t="shared" si="1"/>
        <x:v>RAINDETECTOR PCB|PCB: RAINDETECTOR.KICAD_PCB</x:v>
      </x:c>
    </x:row>
    <x:row r="55" ht="15" hidden="1">
      <x:c r="A55" t="s">
        <x:v>443</x:v>
      </x:c>
      <x:c r="B55" t="s">
        <x:v>39</x:v>
      </x:c>
      <x:c r="C55" t="s">
        <x:v>444</x:v>
      </x:c>
      <x:c r="D55" t="s">
        <x:v>445</x:v>
      </x:c>
      <x:c r="E55" t="s">
        <x:v>446</x:v>
      </x:c>
      <x:c r="F55" t="s">
        <x:v>447</x:v>
      </x:c>
      <x:c r="G55" t="s">
        <x:v>448</x:v>
      </x:c>
      <x:c r="H55" t="s">
        <x:v>449</x:v>
      </x:c>
      <x:c r="I55" t="s">
        <x:v>450</x:v>
      </x:c>
      <x:c r="J55" t="s">
        <x:v>451</x:v>
      </x:c>
      <x:c r="K55" s="19">
        <x:v>0.56000000000000005</x:v>
      </x:c>
      <x:c r="L55" t="s">
        <x:v>26</x:v>
      </x:c>
      <x:c r="M55"/>
      <x:c r="N55" t="s">
        <x:v>452</x:v>
      </x:c>
      <x:c r="O55" t="s">
        <x:v>453</x:v>
      </x:c>
      <x:c r="P55" t="s">
        <x:v>454</x:v>
      </x:c>
      <x:c r="Q55" t="s">
        <x:v>30</x:v>
      </x:c>
      <x:c r="R55" t="s">
        <x:v>455</x:v>
      </x:c>
      <x:c r="S55" t="s">
        <x:v>456</x:v>
      </x:c>
    </x:row>
    <x:row r="56" ht="15">
      <x:c r="A56" t="str">
        <x:v>ENP-00055</x:v>
      </x:c>
      <x:c r="B56" t="str">
        <x:v>Diode</x:v>
      </x:c>
      <x:c r="C56" t="str">
        <x:v>Schottky-Diode SS14, SMA</x:v>
      </x:c>
      <x:c r="D56" t="str">
        <x:v>SS14, 1 A, 40 V, UF max. 0,5 V, IFSM 40 A</x:v>
      </x:c>
      <x:c r="E56" t="str">
        <x:v>Diode_SMD:D_SMA</x:v>
      </x:c>
      <x:c r="F56" t="str">
        <x:v>Vishay</x:v>
      </x:c>
      <x:c r="G56" t="str">
        <x:v>SS14-E3/61T</x:v>
      </x:c>
      <x:c r="H56" t="str">
        <x:v>reichelt</x:v>
      </x:c>
      <x:c r="I56" t="str">
        <x:v>SS 14 VIS</x:v>
      </x:c>
      <x:c r="J56" t="str">
        <x:v>https://www.reichelt.de/de/de/shop/produkt/schottkydiode_40_v_1_a_do-214ac-219612</x:v>
      </x:c>
      <x:c r="K56" t="n">
        <x:v>0.18</x:v>
      </x:c>
      <x:c r="L56" t="str">
        <x:v>Stk</x:v>
      </x:c>
      <x:c r="M56"/>
      <x:c r="N56" t="str">
        <x:v>EnvNodeMini Rev 0.2</x:v>
      </x:c>
      <x:c r="O56" t="str">
        <x:v>D1,D2</x:v>
      </x:c>
      <x:c r="P56" t="str">
        <x:v>KiCad; Vishay; Reichelt, abgerufen 2026-09-01</x:v>
      </x:c>
      <x:c r="Q56" t="str">
        <x:v>OK</x:v>
      </x:c>
      <x:c r="R56" t="str">
        <x: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v>
      </x:c>
      <x:c r="S56" t="str">
        <x:v>SS14-E3/61T</x:v>
      </x:c>
    </x:row>
    <x:row r="57" ht="15" hidden="1">
      <x:c r="A57" t="s">
        <x:v>457</x:v>
      </x:c>
      <x:c r="B57" t="s">
        <x:v>71</x:v>
      </x:c>
      <x:c r="C57" t="s">
        <x:v>458</x:v>
      </x:c>
      <x:c r="D57" t="s">
        <x:v>459</x:v>
      </x:c>
      <x:c r="E57" t="s">
        <x:v>460</x:v>
      </x:c>
      <x:c r="F57" t="s">
        <x:v>161</x:v>
      </x:c>
      <x:c r="G57" t="s">
        <x:v>461</x:v>
      </x:c>
      <x:c r="H57" t="s">
        <x:v>44</x:v>
      </x:c>
      <x:c r="I57" t="s">
        <x:v>462</x:v>
      </x:c>
      <x:c r="J57" t="s">
        <x:v>463</x:v>
      </x:c>
      <x:c r="K57">
        <x:v>0.18</x:v>
      </x:c>
      <x:c r="L57" t="s">
        <x:v>26</x:v>
      </x:c>
      <x:c r="M57"/>
      <x:c r="N57" t="s">
        <x:v>452</x:v>
      </x:c>
      <x:c r="O57" t="s">
        <x:v>464</x:v>
      </x:c>
      <x:c r="P57" t="s">
        <x:v>465</x:v>
      </x:c>
      <x:c r="Q57" t="s">
        <x:v>30</x:v>
      </x:c>
      <x:c r="R57" t="s">
        <x:v>466</x:v>
      </x:c>
      <x:c r="S57" t="s">
        <x:v>461</x:v>
      </x:c>
    </x:row>
    <x:row r="58" ht="15" hidden="1">
      <x:c r="A58" t="s">
        <x:v>467</x:v>
      </x:c>
      <x:c r="B58" t="s">
        <x:v>120</x:v>
      </x:c>
      <x:c r="C58" t="s">
        <x:v>468</x:v>
      </x:c>
      <x:c r="D58" t="s">
        <x:v>419</x:v>
      </x:c>
      <x:c r="E58" t="s">
        <x:v>469</x:v>
      </x:c>
      <x:c r="F58"/>
      <x:c r="G58"/>
      <x:c r="H58" t="s">
        <x:v>123</x:v>
      </x:c>
      <x:c r="I58"/>
      <x:c r="J58"/>
      <x:c r="K58"/>
      <x:c r="L58" t="s">
        <x:v>26</x:v>
      </x:c>
      <x:c r="M58"/>
      <x:c r="N58" t="s">
        <x:v>452</x:v>
      </x:c>
      <x:c r="O58"/>
      <x:c r="P58" t="s">
        <x:v>246</x:v>
      </x:c>
      <x:c r="Q58" t="s">
        <x:v>30</x:v>
      </x:c>
      <x:c r="R58" t="s">
        <x:v>421</x:v>
      </x:c>
      <x:c r="S58" t="s">
        <x:v>470</x:v>
      </x:c>
    </x:row>
    <x:row r="59" ht="15" hidden="1">
      <x:c r="A59" t="s">
        <x:v>471</x:v>
      </x:c>
      <x:c r="B59" t="s">
        <x:v>39</x:v>
      </x:c>
      <x:c r="C59" t="s">
        <x:v>472</x:v>
      </x:c>
      <x:c r="D59" t="s">
        <x:v>473</x:v>
      </x:c>
      <x:c r="E59" t="s">
        <x:v>474</x:v>
      </x:c>
      <x:c r="F59" t="s">
        <x:v>447</x:v>
      </x:c>
      <x:c r="G59" t="s">
        <x:v>475</x:v>
      </x:c>
      <x:c r="H59" t="s">
        <x:v>449</x:v>
      </x:c>
      <x:c r="I59" t="s">
        <x:v>476</x:v>
      </x:c>
      <x:c r="J59" t="s">
        <x:v>477</x:v>
      </x:c>
      <x:c r="K59" s="19">
        <x:v>2.31</x:v>
      </x:c>
      <x:c r="L59" t="s">
        <x:v>26</x:v>
      </x:c>
      <x:c r="M59"/>
      <x:c r="N59" t="s">
        <x:v>478</x:v>
      </x:c>
      <x:c r="O59" t="s">
        <x:v>479</x:v>
      </x:c>
      <x:c r="P59" t="s">
        <x:v>480</x:v>
      </x:c>
      <x:c r="Q59" t="s">
        <x:v>30</x:v>
      </x:c>
      <x:c r="R59" t="s">
        <x:v>481</x:v>
      </x:c>
      <x:c r="S59" t="s">
        <x:v>475</x:v>
      </x:c>
    </x:row>
    <x:row r="60" ht="15" hidden="1">
      <x:c r="A60" t="s">
        <x:v>482</x:v>
      </x:c>
      <x:c r="B60" t="s">
        <x:v>39</x:v>
      </x:c>
      <x:c r="C60" t="s">
        <x:v>483</x:v>
      </x:c>
      <x:c r="D60" t="s">
        <x:v>484</x:v>
      </x:c>
      <x:c r="E60" t="s">
        <x:v>485</x:v>
      </x:c>
      <x:c r="F60" t="s">
        <x:v>486</x:v>
      </x:c>
      <x:c r="G60" t="s">
        <x:v>487</x:v>
      </x:c>
      <x:c r="H60" t="s">
        <x:v>488</x:v>
      </x:c>
      <x:c r="I60" t="s">
        <x:v>489</x:v>
      </x:c>
      <x:c r="J60" t="s">
        <x:v>490</x:v>
      </x:c>
      <x:c r="K60" s="19">
        <x:v>0.3</x:v>
      </x:c>
      <x:c r="L60" t="s">
        <x:v>26</x:v>
      </x:c>
      <x:c r="M60"/>
      <x:c r="N60" t="s">
        <x:v>491</x:v>
      </x:c>
      <x:c r="O60" t="s">
        <x:v>492</x:v>
      </x:c>
      <x:c r="P60" t="s">
        <x:v>493</x:v>
      </x:c>
      <x:c r="Q60" t="s">
        <x:v>30</x:v>
      </x:c>
      <x:c r="R60" t="s">
        <x:v>494</x:v>
      </x:c>
      <x:c r="S60" t="s">
        <x:v>495</x:v>
      </x:c>
    </x:row>
    <x:row r="61" ht="15" hidden="1">
      <x:c r="A61" t="s">
        <x:v>496</x:v>
      </x:c>
      <x:c r="B61" t="s">
        <x:v>120</x:v>
      </x:c>
      <x:c r="C61" t="s">
        <x:v>497</x:v>
      </x:c>
      <x:c r="D61" t="s">
        <x:v>498</x:v>
      </x:c>
      <x:c r="E61" t="s">
        <x:v>499</x:v>
      </x:c>
      <x:c r="F61"/>
      <x:c r="G61"/>
      <x:c r="H61"/>
      <x:c r="I61"/>
      <x:c r="J61"/>
      <x:c r="K61" s="19"/>
      <x:c r="L61" t="s">
        <x:v>26</x:v>
      </x:c>
      <x:c r="M61"/>
      <x:c r="N61" t="s">
        <x:v>500</x:v>
      </x:c>
      <x:c r="O61"/>
      <x:c r="P61" t="s">
        <x:v>246</x:v>
      </x:c>
      <x:c r="Q61" t="s">
        <x:v>30</x:v>
      </x:c>
      <x:c r="R61" t="s">
        <x:v>501</x:v>
      </x:c>
      <x:c r="S61" t="s">
        <x:v>502</x:v>
      </x:c>
    </x:row>
    <x:row r="62" ht="15" hidden="1">
      <x:c r="A62" t="s">
        <x:v>503</x:v>
      </x:c>
      <x:c r="B62" t="s">
        <x:v>120</x:v>
      </x:c>
      <x:c r="C62" t="s">
        <x:v>504</x:v>
      </x:c>
      <x:c r="D62" t="s">
        <x:v>498</x:v>
      </x:c>
      <x:c r="E62" t="s">
        <x:v>505</x:v>
      </x:c>
      <x:c r="F62"/>
      <x:c r="G62"/>
      <x:c r="H62"/>
      <x:c r="I62"/>
      <x:c r="J62"/>
      <x:c r="K62" s="19"/>
      <x:c r="L62" t="s">
        <x:v>26</x:v>
      </x:c>
      <x:c r="M62"/>
      <x:c r="N62" t="s">
        <x:v>506</x:v>
      </x:c>
      <x:c r="O62"/>
      <x:c r="P62" t="s">
        <x:v>246</x:v>
      </x:c>
      <x:c r="Q62" t="s">
        <x:v>30</x:v>
      </x:c>
      <x:c r="R62" t="s">
        <x:v>501</x:v>
      </x:c>
      <x:c r="S62" t="s">
        <x:v>507</x:v>
      </x:c>
    </x:row>
    <x:row r="63" ht="15" hidden="1">
      <x:c r="A63" t="s">
        <x:v>508</x:v>
      </x:c>
      <x:c r="B63" t="s">
        <x:v>120</x:v>
      </x:c>
      <x:c r="C63" t="s">
        <x:v>509</x:v>
      </x:c>
      <x:c r="D63" t="s">
        <x:v>498</x:v>
      </x:c>
      <x:c r="E63" t="s">
        <x:v>510</x:v>
      </x:c>
      <x:c r="F63"/>
      <x:c r="G63"/>
      <x:c r="H63"/>
      <x:c r="I63"/>
      <x:c r="J63"/>
      <x:c r="K63" s="19"/>
      <x:c r="L63" t="s">
        <x:v>26</x:v>
      </x:c>
      <x:c r="M63"/>
      <x:c r="N63" t="s">
        <x:v>511</x:v>
      </x:c>
      <x:c r="O63"/>
      <x:c r="P63" t="s">
        <x:v>246</x:v>
      </x:c>
      <x:c r="Q63" t="s">
        <x:v>30</x:v>
      </x:c>
      <x:c r="R63" t="s">
        <x:v>501</x:v>
      </x:c>
      <x:c r="S63" t="s">
        <x:v>512</x:v>
      </x:c>
    </x:row>
    <x:row r="64" ht="15" hidden="1">
      <x:c r="A64" t="s">
        <x:v>513</x:v>
      </x:c>
      <x:c r="B64" t="s">
        <x:v>120</x:v>
      </x:c>
      <x:c r="C64" t="s">
        <x:v>514</x:v>
      </x:c>
      <x:c r="D64" t="s">
        <x:v>498</x:v>
      </x:c>
      <x:c r="E64" t="s">
        <x:v>515</x:v>
      </x:c>
      <x:c r="F64"/>
      <x:c r="G64"/>
      <x:c r="H64"/>
      <x:c r="I64"/>
      <x:c r="J64"/>
      <x:c r="K64" s="19"/>
      <x:c r="L64" t="s">
        <x:v>26</x:v>
      </x:c>
      <x:c r="M64"/>
      <x:c r="N64" t="s">
        <x:v>516</x:v>
      </x:c>
      <x:c r="O64"/>
      <x:c r="P64" t="s">
        <x:v>246</x:v>
      </x:c>
      <x:c r="Q64" t="s">
        <x:v>30</x:v>
      </x:c>
      <x:c r="R64" t="s">
        <x:v>501</x:v>
      </x:c>
      <x:c r="S64" t="s">
        <x:v>517</x:v>
      </x:c>
    </x:row>
    <x:row r="65" ht="15" hidden="1">
      <x:c r="A65" t="s">
        <x:v>518</x:v>
      </x:c>
      <x:c r="B65" t="s">
        <x:v>519</x:v>
      </x:c>
      <x:c r="C65" t="s">
        <x:v>520</x:v>
      </x:c>
      <x:c r="D65" t="s">
        <x:v>521</x:v>
      </x:c>
      <x:c r="E65" t="s">
        <x:v>522</x:v>
      </x:c>
      <x:c r="F65" t="s">
        <x:v>523</x:v>
      </x:c>
      <x:c r="G65" t="s">
        <x:v>524</x:v>
      </x:c>
      <x:c r="H65" t="s">
        <x:v>44</x:v>
      </x:c>
      <x:c r="I65" t="s">
        <x:v>525</x:v>
      </x:c>
      <x:c r="J65" t="s">
        <x:v>526</x:v>
      </x:c>
      <x:c r="K65" s="19">
        <x:v>0.11</x:v>
      </x:c>
      <x:c r="L65" t="s">
        <x:v>26</x:v>
      </x:c>
      <x:c r="M65"/>
      <x:c r="N65" t="s">
        <x:v>527</x:v>
      </x:c>
      <x:c r="O65" t="s">
        <x:v>528</x:v>
      </x:c>
      <x:c r="P65" t="s">
        <x:v>529</x:v>
      </x:c>
      <x:c r="Q65" t="s">
        <x:v>30</x:v>
      </x:c>
      <x:c r="R65" t="s">
        <x:v>530</x:v>
      </x:c>
      <x:c r="S65" t="s">
        <x:v>524</x:v>
      </x:c>
    </x:row>
    <x:row r="66" ht="15" hidden="1">
      <x:c r="A66" t="s">
        <x:v>531</x:v>
      </x:c>
      <x:c r="B66" t="s">
        <x:v>59</x:v>
      </x:c>
      <x:c r="C66" t="s">
        <x:v>532</x:v>
      </x:c>
      <x:c r="D66" t="s">
        <x:v>533</x:v>
      </x:c>
      <x:c r="E66" t="s">
        <x:v>62</x:v>
      </x:c>
      <x:c r="F66" t="s">
        <x:v>63</x:v>
      </x:c>
      <x:c r="G66" t="s">
        <x:v>534</x:v>
      </x:c>
      <x:c r="H66" t="s">
        <x:v>488</x:v>
      </x:c>
      <x:c r="I66" t="s">
        <x:v>535</x:v>
      </x:c>
      <x:c r="J66" t="s">
        <x:v>536</x:v>
      </x:c>
      <x:c r="K66" s="19">
        <x:v>0.14000000000000001</x:v>
      </x:c>
      <x:c r="L66" t="s">
        <x:v>26</x:v>
      </x:c>
      <x:c r="M66"/>
      <x:c r="N66" t="s">
        <x:v>527</x:v>
      </x:c>
      <x:c r="O66" t="s">
        <x:v>537</x:v>
      </x:c>
      <x:c r="P66" t="s">
        <x:v>538</x:v>
      </x:c>
      <x:c r="Q66" t="s">
        <x:v>30</x:v>
      </x:c>
      <x:c r="R66" t="s">
        <x:v>539</x:v>
      </x:c>
      <x:c r="S66" t="s">
        <x:v>540</x:v>
      </x:c>
    </x:row>
    <x:row r="67" ht="15" hidden="1">
      <x:c r="A67" t="s">
        <x:v>541</x:v>
      </x:c>
      <x:c r="B67" t="s">
        <x:v>120</x:v>
      </x:c>
      <x:c r="C67" t="s">
        <x:v>542</x:v>
      </x:c>
      <x:c r="D67" t="s">
        <x:v>419</x:v>
      </x:c>
      <x:c r="E67" t="s">
        <x:v>543</x:v>
      </x:c>
      <x:c r="F67"/>
      <x:c r="G67"/>
      <x:c r="H67" t="s">
        <x:v>123</x:v>
      </x:c>
      <x:c r="I67"/>
      <x:c r="J67"/>
      <x:c r="K67" s="19"/>
      <x:c r="L67" t="s">
        <x:v>26</x:v>
      </x:c>
      <x:c r="M67"/>
      <x:c r="N67" t="s">
        <x:v>527</x:v>
      </x:c>
      <x:c r="O67"/>
      <x:c r="P67" t="s">
        <x:v>246</x:v>
      </x:c>
      <x:c r="Q67" t="s">
        <x:v>30</x:v>
      </x:c>
      <x:c r="R67" t="s">
        <x:v>421</x:v>
      </x:c>
      <x:c r="S67" t="s">
        <x:v>544</x:v>
      </x:c>
    </x:row>
    <x:row r="68" ht="15" hidden="1">
      <x:c r="A68" t="s">
        <x:v>545</x:v>
      </x:c>
      <x:c r="B68" t="s">
        <x:v>71</x:v>
      </x:c>
      <x:c r="C68" t="s">
        <x:v>546</x:v>
      </x:c>
      <x:c r="D68" t="s">
        <x:v>547</x:v>
      </x:c>
      <x:c r="E68" t="s">
        <x:v>74</x:v>
      </x:c>
      <x:c r="F68" t="s">
        <x:v>548</x:v>
      </x:c>
      <x:c r="G68" t="s">
        <x:v>549</x:v>
      </x:c>
      <x:c r="H68" t="s">
        <x:v>488</x:v>
      </x:c>
      <x:c r="I68" t="s">
        <x:v>549</x:v>
      </x:c>
      <x:c r="J68" t="s">
        <x:v>550</x:v>
      </x:c>
      <x:c r="K68" s="19">
        <x:v>0.14000000000000001</x:v>
      </x:c>
      <x:c r="L68" t="s">
        <x:v>26</x:v>
      </x:c>
      <x:c r="M68"/>
      <x:c r="N68" t="s">
        <x:v>551</x:v>
      </x:c>
      <x:c r="O68" t="s">
        <x:v>464</x:v>
      </x:c>
      <x:c r="P68" t="s">
        <x:v>538</x:v>
      </x:c>
      <x:c r="Q68" t="s">
        <x:v>30</x:v>
      </x:c>
      <x:c r="R68" t="s">
        <x:v>552</x:v>
      </x:c>
      <x:c r="S68" t="s">
        <x:v>553</x:v>
      </x:c>
    </x:row>
    <x:row r="69" ht="15" hidden="1">
      <x:c r="A69" t="s">
        <x:v>554</x:v>
      </x:c>
      <x:c r="B69" t="s">
        <x:v>71</x:v>
      </x:c>
      <x:c r="C69" t="s">
        <x:v>546</x:v>
      </x:c>
      <x:c r="D69" t="s">
        <x:v>555</x:v>
      </x:c>
      <x:c r="E69" t="s">
        <x:v>556</x:v>
      </x:c>
      <x:c r="F69" t="s">
        <x:v>548</x:v>
      </x:c>
      <x:c r="G69" t="s">
        <x:v>557</x:v>
      </x:c>
      <x:c r="H69" t="s">
        <x:v>488</x:v>
      </x:c>
      <x:c r="I69" t="s">
        <x:v>557</x:v>
      </x:c>
      <x:c r="J69" t="s">
        <x:v>558</x:v>
      </x:c>
      <x:c r="K69" s="19">
        <x:v>1.19</x:v>
      </x:c>
      <x:c r="L69" t="s">
        <x:v>26</x:v>
      </x:c>
      <x:c r="M69"/>
      <x:c r="N69" t="s">
        <x:v>551</x:v>
      </x:c>
      <x:c r="O69" t="s">
        <x:v>559</x:v>
      </x:c>
      <x:c r="P69" t="s">
        <x:v>538</x:v>
      </x:c>
      <x:c r="Q69" t="s">
        <x:v>30</x:v>
      </x:c>
      <x:c r="R69" t="s">
        <x:v>560</x:v>
      </x:c>
      <x:c r="S69" t="s">
        <x:v>561</x:v>
      </x:c>
    </x:row>
    <x:row r="70" ht="15">
      <x:c r="A70" t="s">
        <x:v>562</x:v>
      </x:c>
      <x:c r="B70" t="s">
        <x:v>274</x:v>
      </x:c>
      <x:c r="C70" t="s">
        <x:v>563</x:v>
      </x:c>
      <x:c r="D70" t="s">
        <x:v>564</x:v>
      </x:c>
      <x:c r="E70" t="s">
        <x:v>565</x:v>
      </x:c>
      <x:c r="F70"/>
      <x:c r="G70"/>
      <x:c r="H70"/>
      <x:c r="I70"/>
      <x:c r="J70"/>
      <x:c r="K70" s="19"/>
      <x:c r="L70" t="s">
        <x:v>26</x:v>
      </x:c>
      <x:c r="M70"/>
      <x:c r="N70" t="s">
        <x:v>551</x:v>
      </x:c>
      <x:c r="O70" t="s">
        <x:v>566</x:v>
      </x:c>
      <x:c r="P70" t="s">
        <x:v>246</x:v>
      </x:c>
      <x:c r="Q70" t="s">
        <x:v>410</x:v>
      </x:c>
      <x:c r="R70" t="s">
        <x:v>567</x:v>
      </x:c>
      <x:c r="S70" t="s">
        <x:v>568</x:v>
      </x:c>
    </x:row>
    <x:row r="71" ht="15" hidden="1">
      <x:c r="A71" t="s">
        <x:v>569</x:v>
      </x:c>
      <x:c r="B71" t="s">
        <x:v>570</x:v>
      </x:c>
      <x:c r="C71" t="s">
        <x:v>571</x:v>
      </x:c>
      <x:c r="D71" t="s">
        <x:v>572</x:v>
      </x:c>
      <x:c r="E71" t="s">
        <x:v>573</x:v>
      </x:c>
      <x:c r="F71" t="s">
        <x:v>447</x:v>
      </x:c>
      <x:c r="G71" t="s">
        <x:v>574</x:v>
      </x:c>
      <x:c r="H71" t="s">
        <x:v>575</x:v>
      </x:c>
      <x:c r="I71" t="s">
        <x:v>576</x:v>
      </x:c>
      <x:c r="J71" t="s">
        <x:v>577</x:v>
      </x:c>
      <x:c r="K71" s="19">
        <x:v>1.66</x:v>
      </x:c>
      <x:c r="L71" t="s">
        <x:v>26</x:v>
      </x:c>
      <x:c r="M71"/>
      <x:c r="N71" t="s">
        <x:v>551</x:v>
      </x:c>
      <x:c r="O71" t="s">
        <x:v>578</x:v>
      </x:c>
      <x:c r="P71" t="s">
        <x:v>579</x:v>
      </x:c>
      <x:c r="Q71" t="s">
        <x:v>30</x:v>
      </x:c>
      <x:c r="R71" t="s">
        <x:v>580</x:v>
      </x:c>
      <x:c r="S71" t="s">
        <x:v>581</x:v>
      </x:c>
    </x:row>
    <x:row r="72" ht="15" hidden="1">
      <x:c r="A72" t="s">
        <x:v>582</x:v>
      </x:c>
      <x:c r="B72" t="s">
        <x:v>59</x:v>
      </x:c>
      <x:c r="C72" t="s">
        <x:v>583</x:v>
      </x:c>
      <x:c r="D72" t="s">
        <x:v>584</x:v>
      </x:c>
      <x:c r="E72" t="s">
        <x:v>62</x:v>
      </x:c>
      <x:c r="F72" t="s">
        <x:v>63</x:v>
      </x:c>
      <x:c r="G72" t="s">
        <x:v>585</x:v>
      </x:c>
      <x:c r="H72" t="s">
        <x:v>488</x:v>
      </x:c>
      <x:c r="I72" t="s">
        <x:v>586</x:v>
      </x:c>
      <x:c r="J72" t="s">
        <x:v>587</x:v>
      </x:c>
      <x:c r="K72" s="19">
        <x:v>0.18</x:v>
      </x:c>
      <x:c r="L72" t="s">
        <x:v>26</x:v>
      </x:c>
      <x:c r="M72"/>
      <x:c r="N72" t="s">
        <x:v>551</x:v>
      </x:c>
      <x:c r="O72" t="s">
        <x:v>588</x:v>
      </x:c>
      <x:c r="P72" t="s">
        <x:v>538</x:v>
      </x:c>
      <x:c r="Q72" t="s">
        <x:v>30</x:v>
      </x:c>
      <x:c r="R72" t="s">
        <x:v>589</x:v>
      </x:c>
      <x:c r="S72" t="s">
        <x:v>590</x:v>
      </x:c>
    </x:row>
    <x:row r="73" ht="15" hidden="1">
      <x:c r="A73" t="s">
        <x:v>591</x:v>
      </x:c>
      <x:c r="B73" t="s">
        <x:v>59</x:v>
      </x:c>
      <x:c r="C73" t="s">
        <x:v>592</x:v>
      </x:c>
      <x:c r="D73" t="s">
        <x:v>593</x:v>
      </x:c>
      <x:c r="E73" t="s">
        <x:v>62</x:v>
      </x:c>
      <x:c r="F73" t="s">
        <x:v>399</x:v>
      </x:c>
      <x:c r="G73" t="s">
        <x:v>594</x:v>
      </x:c>
      <x:c r="H73" t="s">
        <x:v>449</x:v>
      </x:c>
      <x:c r="I73"/>
      <x:c r="J73" t="s">
        <x:v>595</x:v>
      </x:c>
      <x:c r="K73" s="19">
        <x:v>0.09</x:v>
      </x:c>
      <x:c r="L73" t="s">
        <x:v>26</x:v>
      </x:c>
      <x:c r="M73"/>
      <x:c r="N73" t="s">
        <x:v>551</x:v>
      </x:c>
      <x:c r="O73" t="s">
        <x:v>596</x:v>
      </x:c>
      <x:c r="P73" t="s">
        <x:v>597</x:v>
      </x:c>
      <x:c r="Q73" t="s">
        <x:v>30</x:v>
      </x:c>
      <x:c r="R73" t="s">
        <x:v>598</x:v>
      </x:c>
      <x:c r="S73" t="s">
        <x:v>599</x:v>
      </x:c>
    </x:row>
    <x:row r="74" ht="15" hidden="1">
      <x:c r="A74" t="s">
        <x:v>600</x:v>
      </x:c>
      <x:c r="B74" t="s">
        <x:v>59</x:v>
      </x:c>
      <x:c r="C74" t="s">
        <x:v>601</x:v>
      </x:c>
      <x:c r="D74" t="s">
        <x:v>602</x:v>
      </x:c>
      <x:c r="E74" t="s">
        <x:v>62</x:v>
      </x:c>
      <x:c r="F74" t="s">
        <x:v>603</x:v>
      </x:c>
      <x:c r="G74" t="s">
        <x:v>604</x:v>
      </x:c>
      <x:c r="H74" t="s">
        <x:v>605</x:v>
      </x:c>
      <x:c r="I74" t="s">
        <x:v>604</x:v>
      </x:c>
      <x:c r="J74" t="s">
        <x:v>606</x:v>
      </x:c>
      <x:c r="K74" s="19">
        <x:v>7.0000000000000007E-2</x:v>
      </x:c>
      <x:c r="L74" t="s">
        <x:v>26</x:v>
      </x:c>
      <x:c r="M74"/>
      <x:c r="N74" t="s">
        <x:v>551</x:v>
      </x:c>
      <x:c r="O74" t="s">
        <x:v>607</x:v>
      </x:c>
      <x:c r="P74" t="s">
        <x:v>608</x:v>
      </x:c>
      <x:c r="Q74" t="s">
        <x:v>30</x:v>
      </x:c>
      <x:c r="R74" t="s">
        <x:v>609</x:v>
      </x:c>
      <x:c r="S74" t="s">
        <x:v>610</x:v>
      </x:c>
    </x:row>
    <x:row r="75" ht="15" hidden="1">
      <x:c r="A75" t="s">
        <x:v>611</x:v>
      </x:c>
      <x:c r="B75" t="s">
        <x:v>612</x:v>
      </x:c>
      <x:c r="C75" t="s">
        <x:v>613</x:v>
      </x:c>
      <x:c r="D75" t="s">
        <x:v>614</x:v>
      </x:c>
      <x:c r="E75" t="s">
        <x:v>615</x:v>
      </x:c>
      <x:c r="F75" t="s">
        <x:v>616</x:v>
      </x:c>
      <x:c r="G75" t="s">
        <x:v>617</x:v>
      </x:c>
      <x:c r="H75" t="s">
        <x:v>575</x:v>
      </x:c>
      <x:c r="I75" t="s">
        <x:v>618</x:v>
      </x:c>
      <x:c r="J75" t="s">
        <x:v>619</x:v>
      </x:c>
      <x:c r="K75" s="19">
        <x:v>0.92</x:v>
      </x:c>
      <x:c r="L75" t="s">
        <x:v>26</x:v>
      </x:c>
      <x:c r="M75"/>
      <x:c r="N75" t="s">
        <x:v>551</x:v>
      </x:c>
      <x:c r="O75" t="s">
        <x:v>620</x:v>
      </x:c>
      <x:c r="P75" t="s">
        <x:v>621</x:v>
      </x:c>
      <x:c r="Q75" t="s">
        <x:v>30</x:v>
      </x:c>
      <x:c r="R75" t="s">
        <x:v>622</x:v>
      </x:c>
      <x:c r="S75" t="s">
        <x:v>617</x:v>
      </x:c>
    </x:row>
    <x:row r="76" ht="15" hidden="1">
      <x:c r="A76" t="s">
        <x:v>623</x:v>
      </x:c>
      <x:c r="B76" t="s">
        <x:v>376</x:v>
      </x:c>
      <x:c r="C76" t="s">
        <x:v>624</x:v>
      </x:c>
      <x:c r="D76" t="s">
        <x:v>625</x:v>
      </x:c>
      <x:c r="E76" t="s">
        <x:v>231</x:v>
      </x:c>
      <x:c r="F76" t="s">
        <x:v>626</x:v>
      </x:c>
      <x:c r="G76" t="s">
        <x:v>627</x:v>
      </x:c>
      <x:c r="H76" t="s">
        <x:v>575</x:v>
      </x:c>
      <x:c r="I76" t="s">
        <x:v>628</x:v>
      </x:c>
      <x:c r="J76" t="s">
        <x:v>629</x:v>
      </x:c>
      <x:c r="K76" s="19">
        <x:v>7.11</x:v>
      </x:c>
      <x:c r="L76" t="s">
        <x:v>26</x:v>
      </x:c>
      <x:c r="M76"/>
      <x:c r="N76" t="s">
        <x:v>551</x:v>
      </x:c>
      <x:c r="O76" t="s">
        <x:v>630</x:v>
      </x:c>
      <x:c r="P76" t="s">
        <x:v>631</x:v>
      </x:c>
      <x:c r="Q76" t="s">
        <x:v>30</x:v>
      </x:c>
      <x:c r="R76" t="s">
        <x:v>632</x:v>
      </x:c>
      <x:c r="S76" t="s">
        <x:v>633</x:v>
      </x:c>
    </x:row>
    <x:row r="77" ht="15" hidden="1">
      <x:c r="A77" t="s">
        <x:v>634</x:v>
      </x:c>
      <x:c r="B77" t="s">
        <x:v>120</x:v>
      </x:c>
      <x:c r="C77" t="s">
        <x:v>635</x:v>
      </x:c>
      <x:c r="D77" t="s">
        <x:v>419</x:v>
      </x:c>
      <x:c r="E77" t="s">
        <x:v>636</x:v>
      </x:c>
      <x:c r="F77"/>
      <x:c r="G77"/>
      <x:c r="H77" t="s">
        <x:v>123</x:v>
      </x:c>
      <x:c r="I77"/>
      <x:c r="J77"/>
      <x:c r="K77"/>
      <x:c r="L77" t="s">
        <x:v>26</x:v>
      </x:c>
      <x:c r="M77"/>
      <x:c r="N77" t="s">
        <x:v>551</x:v>
      </x:c>
      <x:c r="O77"/>
      <x:c r="P77" t="s">
        <x:v>246</x:v>
      </x:c>
      <x:c r="Q77" t="s">
        <x:v>30</x:v>
      </x:c>
      <x:c r="R77" t="s">
        <x:v>637</x:v>
      </x:c>
      <x:c r="S77" t="s">
        <x:v>638</x:v>
      </x:c>
    </x:row>
  </x:sheetData>
  <x:conditionalFormatting sqref="Q2:Q54">
    <x:cfRule type="containsText" dxfId="2" priority="1" operator="containsText" text="Prüfen"/>
    <x:cfRule type="containsText" dxfId="1" priority="2" operator="containsText" text="OK"/>
  </x:conditionalFormatting>
  <x:conditionalFormatting sqref="S2:S54">
    <x:cfRule type="duplicateValues" dxfId="0" priority="3"/>
  </x:conditionalFormatting>
  <x:dataValidations count="1">
    <x:dataValidation type="list" sqref="Q1:Q1048576">
      <x:formula1>"OK,Prüfen,Legacy"</x:formula1>
    </x:dataValidation>
  </x:dataValidations>
  <x:hyperlinks>
    <x:hyperlink xmlns:r="http://schemas.openxmlformats.org/officeDocument/2006/relationships" ref="C23" r:id="Rdc78c6c842b04acd"/>
  </x:hyperlinks>
  <x:pageMargins left="0.7" right="0.7" top="0.75" bottom="0.75" header="0.3" footer="0.3"/>
  <x:tableParts count="1">
    <x:tablePart xmlns:r="http://schemas.openxmlformats.org/officeDocument/2006/relationships" r:id="R7d58468c83574cef"/>
  </x:tableParts>
</x:worksheet>
</file>